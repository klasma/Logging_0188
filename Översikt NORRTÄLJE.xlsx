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45758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45758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45758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45758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45758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45758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45758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45758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45758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45758</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45758</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45758</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45758</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45758</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45758</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17406-2025</t>
        </is>
      </c>
      <c r="B18" s="1" t="n">
        <v>45757</v>
      </c>
      <c r="C18" s="1" t="n">
        <v>45758</v>
      </c>
      <c r="D18" t="inlineStr">
        <is>
          <t>STOCKHOLMS LÄN</t>
        </is>
      </c>
      <c r="E18" t="inlineStr">
        <is>
          <t>NORRTÄLJE</t>
        </is>
      </c>
      <c r="G18" t="n">
        <v>10.8</v>
      </c>
      <c r="H18" t="n">
        <v>0</v>
      </c>
      <c r="I18" t="n">
        <v>5</v>
      </c>
      <c r="J18" t="n">
        <v>5</v>
      </c>
      <c r="K18" t="n">
        <v>4</v>
      </c>
      <c r="L18" t="n">
        <v>0</v>
      </c>
      <c r="M18" t="n">
        <v>1</v>
      </c>
      <c r="N18" t="n">
        <v>0</v>
      </c>
      <c r="O18" t="n">
        <v>10</v>
      </c>
      <c r="P18" t="n">
        <v>5</v>
      </c>
      <c r="Q18" t="n">
        <v>15</v>
      </c>
      <c r="R18" s="2" t="inlineStr">
        <is>
          <t>Skogsalm
Grangråticka
Gul lammticka
Koppartaggsvamp
Läderdoftande fingersvamp
Grantaggsvamp
Jättespindling
Orange taggsvamp
Svart taggsvamp
Såpfingersvamp
Anisspindling
Olivspindling
Skarp dropptaggsvamp
Strimspindling
Zontaggsvamp</t>
        </is>
      </c>
      <c r="S18">
        <f>HYPERLINK("https://klasma.github.io/Logging_010188/artfynd/A 17406-2025 artfynd.xlsx", "A 17406-2025")</f>
        <v/>
      </c>
      <c r="T18">
        <f>HYPERLINK("https://klasma.github.io/Logging_010188/kartor/A 17406-2025 karta.png", "A 17406-2025")</f>
        <v/>
      </c>
      <c r="V18">
        <f>HYPERLINK("https://klasma.github.io/Logging_010188/klagomål/A 17406-2025 FSC-klagomål.docx", "A 17406-2025")</f>
        <v/>
      </c>
      <c r="W18">
        <f>HYPERLINK("https://klasma.github.io/Logging_010188/klagomålsmail/A 17406-2025 FSC-klagomål mail.docx", "A 17406-2025")</f>
        <v/>
      </c>
      <c r="X18">
        <f>HYPERLINK("https://klasma.github.io/Logging_010188/tillsyn/A 17406-2025 tillsynsbegäran.docx", "A 17406-2025")</f>
        <v/>
      </c>
      <c r="Y18">
        <f>HYPERLINK("https://klasma.github.io/Logging_010188/tillsynsmail/A 17406-2025 tillsynsbegäran mail.docx", "A 17406-2025")</f>
        <v/>
      </c>
    </row>
    <row r="19" ht="15" customHeight="1">
      <c r="A19" t="inlineStr">
        <is>
          <t>A 28411-2019</t>
        </is>
      </c>
      <c r="B19" s="1" t="n">
        <v>43626</v>
      </c>
      <c r="C19" s="1" t="n">
        <v>45758</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45758</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45758</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45758</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20632-2019</t>
        </is>
      </c>
      <c r="B23" s="1" t="n">
        <v>43572</v>
      </c>
      <c r="C23" s="1" t="n">
        <v>45758</v>
      </c>
      <c r="D23" t="inlineStr">
        <is>
          <t>STOCKHOLMS LÄN</t>
        </is>
      </c>
      <c r="E23" t="inlineStr">
        <is>
          <t>NORRTÄLJE</t>
        </is>
      </c>
      <c r="G23" t="n">
        <v>6.2</v>
      </c>
      <c r="H23" t="n">
        <v>4</v>
      </c>
      <c r="I23" t="n">
        <v>6</v>
      </c>
      <c r="J23" t="n">
        <v>1</v>
      </c>
      <c r="K23" t="n">
        <v>0</v>
      </c>
      <c r="L23" t="n">
        <v>2</v>
      </c>
      <c r="M23" t="n">
        <v>0</v>
      </c>
      <c r="N23" t="n">
        <v>0</v>
      </c>
      <c r="O23" t="n">
        <v>3</v>
      </c>
      <c r="P23" t="n">
        <v>2</v>
      </c>
      <c r="Q23" t="n">
        <v>12</v>
      </c>
      <c r="R23" s="2" t="inlineStr">
        <is>
          <t>Ask
Fältgentiana
Slåtterfibbla
Svart trolldruva
Tibast
Tvåblad
Underviol
Vätteros
Vårärt
Nattviol
Blåsippa
Gullviva</t>
        </is>
      </c>
      <c r="S23">
        <f>HYPERLINK("https://klasma.github.io/Logging_0188/artfynd/A 20632-2019 artfynd.xlsx", "A 20632-2019")</f>
        <v/>
      </c>
      <c r="T23">
        <f>HYPERLINK("https://klasma.github.io/Logging_0188/kartor/A 20632-2019 karta.png", "A 20632-2019")</f>
        <v/>
      </c>
      <c r="V23">
        <f>HYPERLINK("https://klasma.github.io/Logging_0188/klagomål/A 20632-2019 FSC-klagomål.docx", "A 20632-2019")</f>
        <v/>
      </c>
      <c r="W23">
        <f>HYPERLINK("https://klasma.github.io/Logging_0188/klagomålsmail/A 20632-2019 FSC-klagomål mail.docx", "A 20632-2019")</f>
        <v/>
      </c>
      <c r="X23">
        <f>HYPERLINK("https://klasma.github.io/Logging_0188/tillsyn/A 20632-2019 tillsynsbegäran.docx", "A 20632-2019")</f>
        <v/>
      </c>
      <c r="Y23">
        <f>HYPERLINK("https://klasma.github.io/Logging_0188/tillsynsmail/A 20632-2019 tillsynsbegäran mail.docx", "A 20632-2019")</f>
        <v/>
      </c>
    </row>
    <row r="24" ht="15" customHeight="1">
      <c r="A24" t="inlineStr">
        <is>
          <t>A 60543-2022</t>
        </is>
      </c>
      <c r="B24" s="1" t="n">
        <v>44911</v>
      </c>
      <c r="C24" s="1" t="n">
        <v>45758</v>
      </c>
      <c r="D24" t="inlineStr">
        <is>
          <t>STOCKHOLMS LÄN</t>
        </is>
      </c>
      <c r="E24" t="inlineStr">
        <is>
          <t>NORRTÄLJE</t>
        </is>
      </c>
      <c r="G24" t="n">
        <v>4.3</v>
      </c>
      <c r="H24" t="n">
        <v>2</v>
      </c>
      <c r="I24" t="n">
        <v>5</v>
      </c>
      <c r="J24" t="n">
        <v>5</v>
      </c>
      <c r="K24" t="n">
        <v>1</v>
      </c>
      <c r="L24" t="n">
        <v>0</v>
      </c>
      <c r="M24" t="n">
        <v>0</v>
      </c>
      <c r="N24" t="n">
        <v>0</v>
      </c>
      <c r="O24" t="n">
        <v>6</v>
      </c>
      <c r="P24" t="n">
        <v>1</v>
      </c>
      <c r="Q24" t="n">
        <v>12</v>
      </c>
      <c r="R24" s="2" t="inlineStr">
        <is>
          <t>Läderlappslav
Granticka
Grönhjon
Rosenticka
Tretåig hackspett
Ullticka
Bronshjon
Grönpyrola
Gulnål
Kornig nållav
Vågbandad barkbock
Blåsippa</t>
        </is>
      </c>
      <c r="S24">
        <f>HYPERLINK("https://klasma.github.io/Logging_0188/artfynd/A 60543-2022 artfynd.xlsx", "A 60543-2022")</f>
        <v/>
      </c>
      <c r="T24">
        <f>HYPERLINK("https://klasma.github.io/Logging_0188/kartor/A 60543-2022 karta.png", "A 60543-2022")</f>
        <v/>
      </c>
      <c r="V24">
        <f>HYPERLINK("https://klasma.github.io/Logging_0188/klagomål/A 60543-2022 FSC-klagomål.docx", "A 60543-2022")</f>
        <v/>
      </c>
      <c r="W24">
        <f>HYPERLINK("https://klasma.github.io/Logging_0188/klagomålsmail/A 60543-2022 FSC-klagomål mail.docx", "A 60543-2022")</f>
        <v/>
      </c>
      <c r="X24">
        <f>HYPERLINK("https://klasma.github.io/Logging_0188/tillsyn/A 60543-2022 tillsynsbegäran.docx", "A 60543-2022")</f>
        <v/>
      </c>
      <c r="Y24">
        <f>HYPERLINK("https://klasma.github.io/Logging_0188/tillsynsmail/A 60543-2022 tillsynsbegäran mail.docx", "A 60543-2022")</f>
        <v/>
      </c>
      <c r="Z24">
        <f>HYPERLINK("https://klasma.github.io/Logging_0188/fåglar/A 60543-2022 prioriterade fågelarter.docx", "A 60543-2022")</f>
        <v/>
      </c>
    </row>
    <row r="25" ht="15" customHeight="1">
      <c r="A25" t="inlineStr">
        <is>
          <t>A 31418-2023</t>
        </is>
      </c>
      <c r="B25" s="1" t="n">
        <v>45114</v>
      </c>
      <c r="C25" s="1" t="n">
        <v>45758</v>
      </c>
      <c r="D25" t="inlineStr">
        <is>
          <t>STOCKHOLMS LÄN</t>
        </is>
      </c>
      <c r="E25" t="inlineStr">
        <is>
          <t>NORRTÄLJE</t>
        </is>
      </c>
      <c r="G25" t="n">
        <v>4.1</v>
      </c>
      <c r="H25" t="n">
        <v>0</v>
      </c>
      <c r="I25" t="n">
        <v>7</v>
      </c>
      <c r="J25" t="n">
        <v>2</v>
      </c>
      <c r="K25" t="n">
        <v>3</v>
      </c>
      <c r="L25" t="n">
        <v>0</v>
      </c>
      <c r="M25" t="n">
        <v>0</v>
      </c>
      <c r="N25" t="n">
        <v>0</v>
      </c>
      <c r="O25" t="n">
        <v>5</v>
      </c>
      <c r="P25" t="n">
        <v>3</v>
      </c>
      <c r="Q25" t="n">
        <v>12</v>
      </c>
      <c r="R25" s="2" t="inlineStr">
        <is>
          <t>Duvspindling
Koppartaggsvamp
Läderdoftande fingersvamp
Odörspindling
Orange taggsvamp
Anisspindling
Dropptaggsvamp
Grönpyrola
Mörk husmossa
Skarp dropptaggsvamp
Skogshakmossa
Tjockfotad fingersvamp</t>
        </is>
      </c>
      <c r="S25">
        <f>HYPERLINK("https://klasma.github.io/Logging_0188/artfynd/A 31418-2023 artfynd.xlsx", "A 31418-2023")</f>
        <v/>
      </c>
      <c r="T25">
        <f>HYPERLINK("https://klasma.github.io/Logging_0188/kartor/A 31418-2023 karta.png", "A 31418-2023")</f>
        <v/>
      </c>
      <c r="U25">
        <f>HYPERLINK("https://klasma.github.io/Logging_0188/knärot/A 31418-2023 karta knärot.png", "A 31418-2023")</f>
        <v/>
      </c>
      <c r="V25">
        <f>HYPERLINK("https://klasma.github.io/Logging_0188/klagomål/A 31418-2023 FSC-klagomål.docx", "A 31418-2023")</f>
        <v/>
      </c>
      <c r="W25">
        <f>HYPERLINK("https://klasma.github.io/Logging_0188/klagomålsmail/A 31418-2023 FSC-klagomål mail.docx", "A 31418-2023")</f>
        <v/>
      </c>
      <c r="X25">
        <f>HYPERLINK("https://klasma.github.io/Logging_0188/tillsyn/A 31418-2023 tillsynsbegäran.docx", "A 31418-2023")</f>
        <v/>
      </c>
      <c r="Y25">
        <f>HYPERLINK("https://klasma.github.io/Logging_0188/tillsynsmail/A 31418-2023 tillsynsbegäran mail.docx", "A 31418-2023")</f>
        <v/>
      </c>
    </row>
    <row r="26" ht="15" customHeight="1">
      <c r="A26" t="inlineStr">
        <is>
          <t>A 44237-2024</t>
        </is>
      </c>
      <c r="B26" s="1" t="n">
        <v>45573</v>
      </c>
      <c r="C26" s="1" t="n">
        <v>45758</v>
      </c>
      <c r="D26" t="inlineStr">
        <is>
          <t>STOCKHOLMS LÄN</t>
        </is>
      </c>
      <c r="E26" t="inlineStr">
        <is>
          <t>NORRTÄLJE</t>
        </is>
      </c>
      <c r="G26" t="n">
        <v>7.7</v>
      </c>
      <c r="H26" t="n">
        <v>3</v>
      </c>
      <c r="I26" t="n">
        <v>5</v>
      </c>
      <c r="J26" t="n">
        <v>5</v>
      </c>
      <c r="K26" t="n">
        <v>1</v>
      </c>
      <c r="L26" t="n">
        <v>0</v>
      </c>
      <c r="M26" t="n">
        <v>0</v>
      </c>
      <c r="N26" t="n">
        <v>0</v>
      </c>
      <c r="O26" t="n">
        <v>6</v>
      </c>
      <c r="P26" t="n">
        <v>1</v>
      </c>
      <c r="Q26" t="n">
        <v>12</v>
      </c>
      <c r="R26" s="2" t="inlineStr">
        <is>
          <t>Knärot
Motaggsvamp
Tallticka
Tretåig hackspett
Vedskivlav
Vedtrappmossa
Dropptaggsvamp
Grönpyrola
Kattfotslav
Nästlav
Sårläka
Blåsippa</t>
        </is>
      </c>
      <c r="S26">
        <f>HYPERLINK("https://klasma.github.io/Logging_0188/artfynd/A 44237-2024 artfynd.xlsx", "A 44237-2024")</f>
        <v/>
      </c>
      <c r="T26">
        <f>HYPERLINK("https://klasma.github.io/Logging_0188/kartor/A 44237-2024 karta.png", "A 44237-2024")</f>
        <v/>
      </c>
      <c r="U26">
        <f>HYPERLINK("https://klasma.github.io/Logging_0188/knärot/A 44237-2024 karta knärot.png", "A 44237-2024")</f>
        <v/>
      </c>
      <c r="V26">
        <f>HYPERLINK("https://klasma.github.io/Logging_0188/klagomål/A 44237-2024 FSC-klagomål.docx", "A 44237-2024")</f>
        <v/>
      </c>
      <c r="W26">
        <f>HYPERLINK("https://klasma.github.io/Logging_0188/klagomålsmail/A 44237-2024 FSC-klagomål mail.docx", "A 44237-2024")</f>
        <v/>
      </c>
      <c r="X26">
        <f>HYPERLINK("https://klasma.github.io/Logging_0188/tillsyn/A 44237-2024 tillsynsbegäran.docx", "A 44237-2024")</f>
        <v/>
      </c>
      <c r="Y26">
        <f>HYPERLINK("https://klasma.github.io/Logging_0188/tillsynsmail/A 44237-2024 tillsynsbegäran mail.docx", "A 44237-2024")</f>
        <v/>
      </c>
      <c r="Z26">
        <f>HYPERLINK("https://klasma.github.io/Logging_0188/fåglar/A 44237-2024 prioriterade fågelarter.docx", "A 44237-2024")</f>
        <v/>
      </c>
    </row>
    <row r="27" ht="15" customHeight="1">
      <c r="A27" t="inlineStr">
        <is>
          <t>A 56743-2024</t>
        </is>
      </c>
      <c r="B27" s="1" t="n">
        <v>45628</v>
      </c>
      <c r="C27" s="1" t="n">
        <v>45758</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56743-2024 artfynd.xlsx", "A 56743-2024")</f>
        <v/>
      </c>
      <c r="T27">
        <f>HYPERLINK("https://klasma.github.io/Logging_0188/kartor/A 56743-2024 karta.png", "A 56743-2024")</f>
        <v/>
      </c>
      <c r="V27">
        <f>HYPERLINK("https://klasma.github.io/Logging_0188/klagomål/A 56743-2024 FSC-klagomål.docx", "A 56743-2024")</f>
        <v/>
      </c>
      <c r="W27">
        <f>HYPERLINK("https://klasma.github.io/Logging_0188/klagomålsmail/A 56743-2024 FSC-klagomål mail.docx", "A 56743-2024")</f>
        <v/>
      </c>
      <c r="X27">
        <f>HYPERLINK("https://klasma.github.io/Logging_0188/tillsyn/A 56743-2024 tillsynsbegäran.docx", "A 56743-2024")</f>
        <v/>
      </c>
      <c r="Y27">
        <f>HYPERLINK("https://klasma.github.io/Logging_0188/tillsynsmail/A 56743-2024 tillsynsbegäran mail.docx", "A 56743-2024")</f>
        <v/>
      </c>
      <c r="Z27">
        <f>HYPERLINK("https://klasma.github.io/Logging_0188/fåglar/A 56743-2024 prioriterade fågelarter.docx", "A 56743-2024")</f>
        <v/>
      </c>
    </row>
    <row r="28" ht="15" customHeight="1">
      <c r="A28" t="inlineStr">
        <is>
          <t>A 56742-2024</t>
        </is>
      </c>
      <c r="B28" s="1" t="n">
        <v>45628</v>
      </c>
      <c r="C28" s="1" t="n">
        <v>45758</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56742-2024 artfynd.xlsx", "A 56742-2024")</f>
        <v/>
      </c>
      <c r="T28">
        <f>HYPERLINK("https://klasma.github.io/Logging_0188/kartor/A 56742-2024 karta.png", "A 56742-2024")</f>
        <v/>
      </c>
      <c r="V28">
        <f>HYPERLINK("https://klasma.github.io/Logging_0188/klagomål/A 56742-2024 FSC-klagomål.docx", "A 56742-2024")</f>
        <v/>
      </c>
      <c r="W28">
        <f>HYPERLINK("https://klasma.github.io/Logging_0188/klagomålsmail/A 56742-2024 FSC-klagomål mail.docx", "A 56742-2024")</f>
        <v/>
      </c>
      <c r="X28">
        <f>HYPERLINK("https://klasma.github.io/Logging_0188/tillsyn/A 56742-2024 tillsynsbegäran.docx", "A 56742-2024")</f>
        <v/>
      </c>
      <c r="Y28">
        <f>HYPERLINK("https://klasma.github.io/Logging_0188/tillsynsmail/A 56742-2024 tillsynsbegäran mail.docx", "A 56742-2024")</f>
        <v/>
      </c>
      <c r="Z28">
        <f>HYPERLINK("https://klasma.github.io/Logging_0188/fåglar/A 56742-2024 prioriterade fågelarter.docx", "A 56742-2024")</f>
        <v/>
      </c>
    </row>
    <row r="29" ht="15" customHeight="1">
      <c r="A29" t="inlineStr">
        <is>
          <t>A 3472-2023</t>
        </is>
      </c>
      <c r="B29" s="1" t="n">
        <v>44949</v>
      </c>
      <c r="C29" s="1" t="n">
        <v>45758</v>
      </c>
      <c r="D29" t="inlineStr">
        <is>
          <t>STOCKHOLMS LÄN</t>
        </is>
      </c>
      <c r="E29" t="inlineStr">
        <is>
          <t>NORRTÄLJE</t>
        </is>
      </c>
      <c r="G29" t="n">
        <v>26.3</v>
      </c>
      <c r="H29" t="n">
        <v>1</v>
      </c>
      <c r="I29" t="n">
        <v>7</v>
      </c>
      <c r="J29" t="n">
        <v>2</v>
      </c>
      <c r="K29" t="n">
        <v>1</v>
      </c>
      <c r="L29" t="n">
        <v>0</v>
      </c>
      <c r="M29" t="n">
        <v>0</v>
      </c>
      <c r="N29" t="n">
        <v>0</v>
      </c>
      <c r="O29" t="n">
        <v>3</v>
      </c>
      <c r="P29" t="n">
        <v>1</v>
      </c>
      <c r="Q29" t="n">
        <v>11</v>
      </c>
      <c r="R29" s="2" t="inlineStr">
        <is>
          <t>Blackticka
Tallticka
Ullticka
Aspvedgnagare
Platt fjädermossa
Rävticka
Rökmusseron
Stor aspticka
Svavelriska
Vårärt
Blåsippa</t>
        </is>
      </c>
      <c r="S29">
        <f>HYPERLINK("https://klasma.github.io/Logging_0188/artfynd/A 3472-2023 artfynd.xlsx", "A 3472-2023")</f>
        <v/>
      </c>
      <c r="T29">
        <f>HYPERLINK("https://klasma.github.io/Logging_0188/kartor/A 3472-2023 karta.png", "A 3472-2023")</f>
        <v/>
      </c>
      <c r="V29">
        <f>HYPERLINK("https://klasma.github.io/Logging_0188/klagomål/A 3472-2023 FSC-klagomål.docx", "A 3472-2023")</f>
        <v/>
      </c>
      <c r="W29">
        <f>HYPERLINK("https://klasma.github.io/Logging_0188/klagomålsmail/A 3472-2023 FSC-klagomål mail.docx", "A 3472-2023")</f>
        <v/>
      </c>
      <c r="X29">
        <f>HYPERLINK("https://klasma.github.io/Logging_0188/tillsyn/A 3472-2023 tillsynsbegäran.docx", "A 3472-2023")</f>
        <v/>
      </c>
      <c r="Y29">
        <f>HYPERLINK("https://klasma.github.io/Logging_0188/tillsynsmail/A 3472-2023 tillsynsbegäran mail.docx", "A 3472-2023")</f>
        <v/>
      </c>
    </row>
    <row r="30" ht="15" customHeight="1">
      <c r="A30" t="inlineStr">
        <is>
          <t>A 16743-2023</t>
        </is>
      </c>
      <c r="B30" s="1" t="n">
        <v>45030</v>
      </c>
      <c r="C30" s="1" t="n">
        <v>45758</v>
      </c>
      <c r="D30" t="inlineStr">
        <is>
          <t>STOCKHOLMS LÄN</t>
        </is>
      </c>
      <c r="E30" t="inlineStr">
        <is>
          <t>NORRTÄLJE</t>
        </is>
      </c>
      <c r="G30" t="n">
        <v>6</v>
      </c>
      <c r="H30" t="n">
        <v>3</v>
      </c>
      <c r="I30" t="n">
        <v>6</v>
      </c>
      <c r="J30" t="n">
        <v>1</v>
      </c>
      <c r="K30" t="n">
        <v>2</v>
      </c>
      <c r="L30" t="n">
        <v>0</v>
      </c>
      <c r="M30" t="n">
        <v>0</v>
      </c>
      <c r="N30" t="n">
        <v>0</v>
      </c>
      <c r="O30" t="n">
        <v>3</v>
      </c>
      <c r="P30" t="n">
        <v>2</v>
      </c>
      <c r="Q30" t="n">
        <v>11</v>
      </c>
      <c r="R30" s="2" t="inlineStr">
        <is>
          <t>Grangråticka
Koppartaggsvamp
Granticka
Fjällig taggsvamp s.str.
Grönpyrola
Jättesvampmal
Skarp dropptaggsvamp
Skogsknipprot
Zontaggsvamp
Nattviol
Blåsippa</t>
        </is>
      </c>
      <c r="S30">
        <f>HYPERLINK("https://klasma.github.io/Logging_0188/artfynd/A 16743-2023 artfynd.xlsx", "A 16743-2023")</f>
        <v/>
      </c>
      <c r="T30">
        <f>HYPERLINK("https://klasma.github.io/Logging_0188/kartor/A 16743-2023 karta.png", "A 16743-2023")</f>
        <v/>
      </c>
      <c r="V30">
        <f>HYPERLINK("https://klasma.github.io/Logging_0188/klagomål/A 16743-2023 FSC-klagomål.docx", "A 16743-2023")</f>
        <v/>
      </c>
      <c r="W30">
        <f>HYPERLINK("https://klasma.github.io/Logging_0188/klagomålsmail/A 16743-2023 FSC-klagomål mail.docx", "A 16743-2023")</f>
        <v/>
      </c>
      <c r="X30">
        <f>HYPERLINK("https://klasma.github.io/Logging_0188/tillsyn/A 16743-2023 tillsynsbegäran.docx", "A 16743-2023")</f>
        <v/>
      </c>
      <c r="Y30">
        <f>HYPERLINK("https://klasma.github.io/Logging_0188/tillsynsmail/A 16743-2023 tillsynsbegäran mail.docx", "A 16743-2023")</f>
        <v/>
      </c>
    </row>
    <row r="31" ht="15" customHeight="1">
      <c r="A31" t="inlineStr">
        <is>
          <t>A 31462-2023</t>
        </is>
      </c>
      <c r="B31" s="1" t="n">
        <v>45114</v>
      </c>
      <c r="C31" s="1" t="n">
        <v>45758</v>
      </c>
      <c r="D31" t="inlineStr">
        <is>
          <t>STOCKHOLMS LÄN</t>
        </is>
      </c>
      <c r="E31" t="inlineStr">
        <is>
          <t>NORRTÄLJE</t>
        </is>
      </c>
      <c r="G31" t="n">
        <v>6.8</v>
      </c>
      <c r="H31" t="n">
        <v>7</v>
      </c>
      <c r="I31" t="n">
        <v>4</v>
      </c>
      <c r="J31" t="n">
        <v>1</v>
      </c>
      <c r="K31" t="n">
        <v>0</v>
      </c>
      <c r="L31" t="n">
        <v>0</v>
      </c>
      <c r="M31" t="n">
        <v>0</v>
      </c>
      <c r="N31" t="n">
        <v>0</v>
      </c>
      <c r="O31" t="n">
        <v>1</v>
      </c>
      <c r="P31" t="n">
        <v>0</v>
      </c>
      <c r="Q31" t="n">
        <v>11</v>
      </c>
      <c r="R31" s="2" t="inlineStr">
        <is>
          <t>Ängsstarr
Gräsull
Skogsknipprot
Terpentinmossa
Vågbandad barkbock
Gröngöling
Vanlig groda
Kärrknipprot
Ängsnycklar
Blåsippa
Revlummer</t>
        </is>
      </c>
      <c r="S31">
        <f>HYPERLINK("https://klasma.github.io/Logging_0188/artfynd/A 31462-2023 artfynd.xlsx", "A 31462-2023")</f>
        <v/>
      </c>
      <c r="T31">
        <f>HYPERLINK("https://klasma.github.io/Logging_0188/kartor/A 31462-2023 karta.png", "A 31462-2023")</f>
        <v/>
      </c>
      <c r="V31">
        <f>HYPERLINK("https://klasma.github.io/Logging_0188/klagomål/A 31462-2023 FSC-klagomål.docx", "A 31462-2023")</f>
        <v/>
      </c>
      <c r="W31">
        <f>HYPERLINK("https://klasma.github.io/Logging_0188/klagomålsmail/A 31462-2023 FSC-klagomål mail.docx", "A 31462-2023")</f>
        <v/>
      </c>
      <c r="X31">
        <f>HYPERLINK("https://klasma.github.io/Logging_0188/tillsyn/A 31462-2023 tillsynsbegäran.docx", "A 31462-2023")</f>
        <v/>
      </c>
      <c r="Y31">
        <f>HYPERLINK("https://klasma.github.io/Logging_0188/tillsynsmail/A 31462-2023 tillsynsbegäran mail.docx", "A 31462-2023")</f>
        <v/>
      </c>
      <c r="Z31">
        <f>HYPERLINK("https://klasma.github.io/Logging_0188/fåglar/A 31462-2023 prioriterade fågelarter.docx", "A 31462-2023")</f>
        <v/>
      </c>
    </row>
    <row r="32" ht="15" customHeight="1">
      <c r="A32" t="inlineStr">
        <is>
          <t>A 44481-2023</t>
        </is>
      </c>
      <c r="B32" s="1" t="n">
        <v>45189</v>
      </c>
      <c r="C32" s="1" t="n">
        <v>45758</v>
      </c>
      <c r="D32" t="inlineStr">
        <is>
          <t>STOCKHOLMS LÄN</t>
        </is>
      </c>
      <c r="E32" t="inlineStr">
        <is>
          <t>NORRTÄLJE</t>
        </is>
      </c>
      <c r="G32" t="n">
        <v>10.1</v>
      </c>
      <c r="H32" t="n">
        <v>4</v>
      </c>
      <c r="I32" t="n">
        <v>7</v>
      </c>
      <c r="J32" t="n">
        <v>0</v>
      </c>
      <c r="K32" t="n">
        <v>1</v>
      </c>
      <c r="L32" t="n">
        <v>0</v>
      </c>
      <c r="M32" t="n">
        <v>0</v>
      </c>
      <c r="N32" t="n">
        <v>0</v>
      </c>
      <c r="O32" t="n">
        <v>1</v>
      </c>
      <c r="P32" t="n">
        <v>1</v>
      </c>
      <c r="Q32" t="n">
        <v>11</v>
      </c>
      <c r="R32" s="2" t="inlineStr">
        <is>
          <t>Gul lammticka
Diskvaxskivling
Dropptaggsvamp
Fjällig taggsvamp s.str.
Rödgul trumpetsvamp
Rökmusseron
Skogsknipprot
Zontaggsvamp
Tjäder
Blåsippa
Revlummer</t>
        </is>
      </c>
      <c r="S32">
        <f>HYPERLINK("https://klasma.github.io/Logging_0188/artfynd/A 44481-2023 artfynd.xlsx", "A 44481-2023")</f>
        <v/>
      </c>
      <c r="T32">
        <f>HYPERLINK("https://klasma.github.io/Logging_0188/kartor/A 44481-2023 karta.png", "A 44481-2023")</f>
        <v/>
      </c>
      <c r="V32">
        <f>HYPERLINK("https://klasma.github.io/Logging_0188/klagomål/A 44481-2023 FSC-klagomål.docx", "A 44481-2023")</f>
        <v/>
      </c>
      <c r="W32">
        <f>HYPERLINK("https://klasma.github.io/Logging_0188/klagomålsmail/A 44481-2023 FSC-klagomål mail.docx", "A 44481-2023")</f>
        <v/>
      </c>
      <c r="X32">
        <f>HYPERLINK("https://klasma.github.io/Logging_0188/tillsyn/A 44481-2023 tillsynsbegäran.docx", "A 44481-2023")</f>
        <v/>
      </c>
      <c r="Y32">
        <f>HYPERLINK("https://klasma.github.io/Logging_0188/tillsynsmail/A 44481-2023 tillsynsbegäran mail.docx", "A 44481-2023")</f>
        <v/>
      </c>
      <c r="Z32">
        <f>HYPERLINK("https://klasma.github.io/Logging_0188/fåglar/A 44481-2023 prioriterade fågelarter.docx", "A 44481-2023")</f>
        <v/>
      </c>
    </row>
    <row r="33" ht="15" customHeight="1">
      <c r="A33" t="inlineStr">
        <is>
          <t>A 35652-2024</t>
        </is>
      </c>
      <c r="B33" s="1" t="n">
        <v>45532</v>
      </c>
      <c r="C33" s="1" t="n">
        <v>45758</v>
      </c>
      <c r="D33" t="inlineStr">
        <is>
          <t>STOCKHOLMS LÄN</t>
        </is>
      </c>
      <c r="E33" t="inlineStr">
        <is>
          <t>NORRTÄLJE</t>
        </is>
      </c>
      <c r="G33" t="n">
        <v>23.7</v>
      </c>
      <c r="H33" t="n">
        <v>0</v>
      </c>
      <c r="I33" t="n">
        <v>6</v>
      </c>
      <c r="J33" t="n">
        <v>2</v>
      </c>
      <c r="K33" t="n">
        <v>3</v>
      </c>
      <c r="L33" t="n">
        <v>0</v>
      </c>
      <c r="M33" t="n">
        <v>0</v>
      </c>
      <c r="N33" t="n">
        <v>0</v>
      </c>
      <c r="O33" t="n">
        <v>5</v>
      </c>
      <c r="P33" t="n">
        <v>3</v>
      </c>
      <c r="Q33" t="n">
        <v>11</v>
      </c>
      <c r="R33" s="2" t="inlineStr">
        <is>
          <t>Läderdoftande fingersvamp
Ostticka
Rynkskinn
Grönhjon
Ullticka
Bronshjon
Fjällig taggsvamp s.str.
Grönpyrola
Rödgul trumpetsvamp
Vedticka
Vågbandad barkbock</t>
        </is>
      </c>
      <c r="S33">
        <f>HYPERLINK("https://klasma.github.io/Logging_0188/artfynd/A 35652-2024 artfynd.xlsx", "A 35652-2024")</f>
        <v/>
      </c>
      <c r="T33">
        <f>HYPERLINK("https://klasma.github.io/Logging_0188/kartor/A 35652-2024 karta.png", "A 35652-2024")</f>
        <v/>
      </c>
      <c r="V33">
        <f>HYPERLINK("https://klasma.github.io/Logging_0188/klagomål/A 35652-2024 FSC-klagomål.docx", "A 35652-2024")</f>
        <v/>
      </c>
      <c r="W33">
        <f>HYPERLINK("https://klasma.github.io/Logging_0188/klagomålsmail/A 35652-2024 FSC-klagomål mail.docx", "A 35652-2024")</f>
        <v/>
      </c>
      <c r="X33">
        <f>HYPERLINK("https://klasma.github.io/Logging_0188/tillsyn/A 35652-2024 tillsynsbegäran.docx", "A 35652-2024")</f>
        <v/>
      </c>
      <c r="Y33">
        <f>HYPERLINK("https://klasma.github.io/Logging_0188/tillsynsmail/A 35652-2024 tillsynsbegäran mail.docx", "A 35652-2024")</f>
        <v/>
      </c>
    </row>
    <row r="34" ht="15" customHeight="1">
      <c r="A34" t="inlineStr">
        <is>
          <t>A 21999-2019</t>
        </is>
      </c>
      <c r="B34" s="1" t="n">
        <v>43584</v>
      </c>
      <c r="C34" s="1" t="n">
        <v>45758</v>
      </c>
      <c r="D34" t="inlineStr">
        <is>
          <t>STOCKHOLMS LÄN</t>
        </is>
      </c>
      <c r="E34" t="inlineStr">
        <is>
          <t>NORRTÄLJE</t>
        </is>
      </c>
      <c r="G34" t="n">
        <v>6.4</v>
      </c>
      <c r="H34" t="n">
        <v>0</v>
      </c>
      <c r="I34" t="n">
        <v>7</v>
      </c>
      <c r="J34" t="n">
        <v>3</v>
      </c>
      <c r="K34" t="n">
        <v>0</v>
      </c>
      <c r="L34" t="n">
        <v>0</v>
      </c>
      <c r="M34" t="n">
        <v>0</v>
      </c>
      <c r="N34" t="n">
        <v>0</v>
      </c>
      <c r="O34" t="n">
        <v>3</v>
      </c>
      <c r="P34" t="n">
        <v>0</v>
      </c>
      <c r="Q34" t="n">
        <v>10</v>
      </c>
      <c r="R34" s="2" t="inlineStr">
        <is>
          <t>Dofttaggsvamp
Granticka
Orange taggsvamp
Fjällig taggsvamp s.str.
Granbräken
Skarp dropptaggsvamp
Sårläka
Thomsons trägnagare
Tibast
Vårärt</t>
        </is>
      </c>
      <c r="S34">
        <f>HYPERLINK("https://klasma.github.io/Logging_0188/artfynd/A 21999-2019 artfynd.xlsx", "A 21999-2019")</f>
        <v/>
      </c>
      <c r="T34">
        <f>HYPERLINK("https://klasma.github.io/Logging_0188/kartor/A 21999-2019 karta.png", "A 21999-2019")</f>
        <v/>
      </c>
      <c r="V34">
        <f>HYPERLINK("https://klasma.github.io/Logging_0188/klagomål/A 21999-2019 FSC-klagomål.docx", "A 21999-2019")</f>
        <v/>
      </c>
      <c r="W34">
        <f>HYPERLINK("https://klasma.github.io/Logging_0188/klagomålsmail/A 21999-2019 FSC-klagomål mail.docx", "A 21999-2019")</f>
        <v/>
      </c>
      <c r="X34">
        <f>HYPERLINK("https://klasma.github.io/Logging_0188/tillsyn/A 21999-2019 tillsynsbegäran.docx", "A 21999-2019")</f>
        <v/>
      </c>
      <c r="Y34">
        <f>HYPERLINK("https://klasma.github.io/Logging_0188/tillsynsmail/A 21999-2019 tillsynsbegäran mail.docx", "A 21999-2019")</f>
        <v/>
      </c>
    </row>
    <row r="35" ht="15" customHeight="1">
      <c r="A35" t="inlineStr">
        <is>
          <t>A 27195-2019</t>
        </is>
      </c>
      <c r="B35" s="1" t="n">
        <v>43614</v>
      </c>
      <c r="C35" s="1" t="n">
        <v>45758</v>
      </c>
      <c r="D35" t="inlineStr">
        <is>
          <t>STOCKHOLMS LÄN</t>
        </is>
      </c>
      <c r="E35" t="inlineStr">
        <is>
          <t>NORRTÄLJE</t>
        </is>
      </c>
      <c r="G35" t="n">
        <v>6.8</v>
      </c>
      <c r="H35" t="n">
        <v>0</v>
      </c>
      <c r="I35" t="n">
        <v>6</v>
      </c>
      <c r="J35" t="n">
        <v>3</v>
      </c>
      <c r="K35" t="n">
        <v>1</v>
      </c>
      <c r="L35" t="n">
        <v>0</v>
      </c>
      <c r="M35" t="n">
        <v>0</v>
      </c>
      <c r="N35" t="n">
        <v>0</v>
      </c>
      <c r="O35" t="n">
        <v>4</v>
      </c>
      <c r="P35" t="n">
        <v>1</v>
      </c>
      <c r="Q35" t="n">
        <v>10</v>
      </c>
      <c r="R35" s="2" t="inlineStr">
        <is>
          <t>Violgubbe
Granticka
Gropticka
Kandelabersvamp
Barkticka
Bronshjon
Dvärgtufs
Fjällig taggsvamp s.str.
Jättesvampmal
Skarp dropptaggsvamp</t>
        </is>
      </c>
      <c r="S35">
        <f>HYPERLINK("https://klasma.github.io/Logging_0188/artfynd/A 27195-2019 artfynd.xlsx", "A 27195-2019")</f>
        <v/>
      </c>
      <c r="T35">
        <f>HYPERLINK("https://klasma.github.io/Logging_0188/kartor/A 27195-2019 karta.png", "A 27195-2019")</f>
        <v/>
      </c>
      <c r="V35">
        <f>HYPERLINK("https://klasma.github.io/Logging_0188/klagomål/A 27195-2019 FSC-klagomål.docx", "A 27195-2019")</f>
        <v/>
      </c>
      <c r="W35">
        <f>HYPERLINK("https://klasma.github.io/Logging_0188/klagomålsmail/A 27195-2019 FSC-klagomål mail.docx", "A 27195-2019")</f>
        <v/>
      </c>
      <c r="X35">
        <f>HYPERLINK("https://klasma.github.io/Logging_0188/tillsyn/A 27195-2019 tillsynsbegäran.docx", "A 27195-2019")</f>
        <v/>
      </c>
      <c r="Y35">
        <f>HYPERLINK("https://klasma.github.io/Logging_0188/tillsynsmail/A 27195-2019 tillsynsbegäran mail.docx", "A 27195-2019")</f>
        <v/>
      </c>
    </row>
    <row r="36" ht="15" customHeight="1">
      <c r="A36" t="inlineStr">
        <is>
          <t>A 11231-2021</t>
        </is>
      </c>
      <c r="B36" s="1" t="n">
        <v>44263</v>
      </c>
      <c r="C36" s="1" t="n">
        <v>45758</v>
      </c>
      <c r="D36" t="inlineStr">
        <is>
          <t>STOCKHOLMS LÄN</t>
        </is>
      </c>
      <c r="E36" t="inlineStr">
        <is>
          <t>NORRTÄLJE</t>
        </is>
      </c>
      <c r="F36" t="inlineStr">
        <is>
          <t>Holmen skog AB</t>
        </is>
      </c>
      <c r="G36" t="n">
        <v>12</v>
      </c>
      <c r="H36" t="n">
        <v>6</v>
      </c>
      <c r="I36" t="n">
        <v>2</v>
      </c>
      <c r="J36" t="n">
        <v>5</v>
      </c>
      <c r="K36" t="n">
        <v>0</v>
      </c>
      <c r="L36" t="n">
        <v>2</v>
      </c>
      <c r="M36" t="n">
        <v>0</v>
      </c>
      <c r="N36" t="n">
        <v>0</v>
      </c>
      <c r="O36" t="n">
        <v>7</v>
      </c>
      <c r="P36" t="n">
        <v>2</v>
      </c>
      <c r="Q36" t="n">
        <v>10</v>
      </c>
      <c r="R36" s="2" t="inlineStr">
        <is>
          <t>Grönfink
Tornseglare
Fiskmås
Havsörn
Motaggsvamp
Talltita
Vedskivlav
Björksplintborre
Dropptaggsvamp
Tjäder</t>
        </is>
      </c>
      <c r="S36">
        <f>HYPERLINK("https://klasma.github.io/Logging_0188/artfynd/A 11231-2021 artfynd.xlsx", "A 11231-2021")</f>
        <v/>
      </c>
      <c r="T36">
        <f>HYPERLINK("https://klasma.github.io/Logging_0188/kartor/A 11231-2021 karta.png", "A 11231-2021")</f>
        <v/>
      </c>
      <c r="V36">
        <f>HYPERLINK("https://klasma.github.io/Logging_0188/klagomål/A 11231-2021 FSC-klagomål.docx", "A 11231-2021")</f>
        <v/>
      </c>
      <c r="W36">
        <f>HYPERLINK("https://klasma.github.io/Logging_0188/klagomålsmail/A 11231-2021 FSC-klagomål mail.docx", "A 11231-2021")</f>
        <v/>
      </c>
      <c r="X36">
        <f>HYPERLINK("https://klasma.github.io/Logging_0188/tillsyn/A 11231-2021 tillsynsbegäran.docx", "A 11231-2021")</f>
        <v/>
      </c>
      <c r="Y36">
        <f>HYPERLINK("https://klasma.github.io/Logging_0188/tillsynsmail/A 11231-2021 tillsynsbegäran mail.docx", "A 11231-2021")</f>
        <v/>
      </c>
      <c r="Z36">
        <f>HYPERLINK("https://klasma.github.io/Logging_0188/fåglar/A 11231-2021 prioriterade fågelarter.docx", "A 11231-2021")</f>
        <v/>
      </c>
    </row>
    <row r="37" ht="15" customHeight="1">
      <c r="A37" t="inlineStr">
        <is>
          <t>A 4262-2023</t>
        </is>
      </c>
      <c r="B37" s="1" t="n">
        <v>44953</v>
      </c>
      <c r="C37" s="1" t="n">
        <v>45758</v>
      </c>
      <c r="D37" t="inlineStr">
        <is>
          <t>STOCKHOLMS LÄN</t>
        </is>
      </c>
      <c r="E37" t="inlineStr">
        <is>
          <t>NORRTÄLJE</t>
        </is>
      </c>
      <c r="G37" t="n">
        <v>8.699999999999999</v>
      </c>
      <c r="H37" t="n">
        <v>0</v>
      </c>
      <c r="I37" t="n">
        <v>9</v>
      </c>
      <c r="J37" t="n">
        <v>0</v>
      </c>
      <c r="K37" t="n">
        <v>1</v>
      </c>
      <c r="L37" t="n">
        <v>0</v>
      </c>
      <c r="M37" t="n">
        <v>0</v>
      </c>
      <c r="N37" t="n">
        <v>0</v>
      </c>
      <c r="O37" t="n">
        <v>1</v>
      </c>
      <c r="P37" t="n">
        <v>1</v>
      </c>
      <c r="Q37" t="n">
        <v>10</v>
      </c>
      <c r="R37" s="2" t="inlineStr">
        <is>
          <t>Grangråticka
Dofttråding
Fjällig taggsvamp s.str.
Guldkremla
Kryddspindling
Olivspindling
Rödgul trumpetsvamp
Skarp dropptaggsvamp
Strimspindling
Svavelriska</t>
        </is>
      </c>
      <c r="S37">
        <f>HYPERLINK("https://klasma.github.io/Logging_0188/artfynd/A 4262-2023 artfynd.xlsx", "A 4262-2023")</f>
        <v/>
      </c>
      <c r="T37">
        <f>HYPERLINK("https://klasma.github.io/Logging_0188/kartor/A 4262-2023 karta.png", "A 4262-2023")</f>
        <v/>
      </c>
      <c r="V37">
        <f>HYPERLINK("https://klasma.github.io/Logging_0188/klagomål/A 4262-2023 FSC-klagomål.docx", "A 4262-2023")</f>
        <v/>
      </c>
      <c r="W37">
        <f>HYPERLINK("https://klasma.github.io/Logging_0188/klagomålsmail/A 4262-2023 FSC-klagomål mail.docx", "A 4262-2023")</f>
        <v/>
      </c>
      <c r="X37">
        <f>HYPERLINK("https://klasma.github.io/Logging_0188/tillsyn/A 4262-2023 tillsynsbegäran.docx", "A 4262-2023")</f>
        <v/>
      </c>
      <c r="Y37">
        <f>HYPERLINK("https://klasma.github.io/Logging_0188/tillsynsmail/A 4262-2023 tillsynsbegäran mail.docx", "A 4262-2023")</f>
        <v/>
      </c>
    </row>
    <row r="38" ht="15" customHeight="1">
      <c r="A38" t="inlineStr">
        <is>
          <t>A 44847-2023</t>
        </is>
      </c>
      <c r="B38" s="1" t="n">
        <v>45190</v>
      </c>
      <c r="C38" s="1" t="n">
        <v>45758</v>
      </c>
      <c r="D38" t="inlineStr">
        <is>
          <t>STOCKHOLMS LÄN</t>
        </is>
      </c>
      <c r="E38" t="inlineStr">
        <is>
          <t>NORRTÄLJE</t>
        </is>
      </c>
      <c r="G38" t="n">
        <v>8.5</v>
      </c>
      <c r="H38" t="n">
        <v>10</v>
      </c>
      <c r="I38" t="n">
        <v>0</v>
      </c>
      <c r="J38" t="n">
        <v>4</v>
      </c>
      <c r="K38" t="n">
        <v>4</v>
      </c>
      <c r="L38" t="n">
        <v>1</v>
      </c>
      <c r="M38" t="n">
        <v>0</v>
      </c>
      <c r="N38" t="n">
        <v>0</v>
      </c>
      <c r="O38" t="n">
        <v>9</v>
      </c>
      <c r="P38" t="n">
        <v>5</v>
      </c>
      <c r="Q38" t="n">
        <v>10</v>
      </c>
      <c r="R38" s="2" t="inlineStr">
        <is>
          <t>Ejder
Gråtrut
Havstrut
Knärot
Stare
Fiskmås
Havsörn
Skrattmås
Strandskata
Gråkråka</t>
        </is>
      </c>
      <c r="S38">
        <f>HYPERLINK("https://klasma.github.io/Logging_0188/artfynd/A 44847-2023 artfynd.xlsx", "A 44847-2023")</f>
        <v/>
      </c>
      <c r="T38">
        <f>HYPERLINK("https://klasma.github.io/Logging_0188/kartor/A 44847-2023 karta.png", "A 44847-2023")</f>
        <v/>
      </c>
      <c r="U38">
        <f>HYPERLINK("https://klasma.github.io/Logging_0188/knärot/A 44847-2023 karta knärot.png", "A 44847-2023")</f>
        <v/>
      </c>
      <c r="V38">
        <f>HYPERLINK("https://klasma.github.io/Logging_0188/klagomål/A 44847-2023 FSC-klagomål.docx", "A 44847-2023")</f>
        <v/>
      </c>
      <c r="W38">
        <f>HYPERLINK("https://klasma.github.io/Logging_0188/klagomålsmail/A 44847-2023 FSC-klagomål mail.docx", "A 44847-2023")</f>
        <v/>
      </c>
      <c r="X38">
        <f>HYPERLINK("https://klasma.github.io/Logging_0188/tillsyn/A 44847-2023 tillsynsbegäran.docx", "A 44847-2023")</f>
        <v/>
      </c>
      <c r="Y38">
        <f>HYPERLINK("https://klasma.github.io/Logging_0188/tillsynsmail/A 44847-2023 tillsynsbegäran mail.docx", "A 44847-2023")</f>
        <v/>
      </c>
      <c r="Z38">
        <f>HYPERLINK("https://klasma.github.io/Logging_0188/fåglar/A 44847-2023 prioriterade fågelarter.docx", "A 44847-2023")</f>
        <v/>
      </c>
    </row>
    <row r="39" ht="15" customHeight="1">
      <c r="A39" t="inlineStr">
        <is>
          <t>A 20722-2024</t>
        </is>
      </c>
      <c r="B39" s="1" t="n">
        <v>45436</v>
      </c>
      <c r="C39" s="1" t="n">
        <v>45758</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60084-2024</t>
        </is>
      </c>
      <c r="B40" s="1" t="n">
        <v>45642</v>
      </c>
      <c r="C40" s="1" t="n">
        <v>45758</v>
      </c>
      <c r="D40" t="inlineStr">
        <is>
          <t>STOCKHOLMS LÄN</t>
        </is>
      </c>
      <c r="E40" t="inlineStr">
        <is>
          <t>NORRTÄLJE</t>
        </is>
      </c>
      <c r="G40" t="n">
        <v>5.3</v>
      </c>
      <c r="H40" t="n">
        <v>2</v>
      </c>
      <c r="I40" t="n">
        <v>6</v>
      </c>
      <c r="J40" t="n">
        <v>1</v>
      </c>
      <c r="K40" t="n">
        <v>0</v>
      </c>
      <c r="L40" t="n">
        <v>0</v>
      </c>
      <c r="M40" t="n">
        <v>1</v>
      </c>
      <c r="N40" t="n">
        <v>0</v>
      </c>
      <c r="O40" t="n">
        <v>2</v>
      </c>
      <c r="P40" t="n">
        <v>1</v>
      </c>
      <c r="Q40" t="n">
        <v>10</v>
      </c>
      <c r="R40" s="2" t="inlineStr">
        <is>
          <t>Skogsalm
Granticka
Fjällig taggsvamp s.str.
Hasselticka
Rödgul trumpetsvamp
Skarp dropptaggsvamp
Svavelriska
Trådticka
Blåsippa
Revlummer</t>
        </is>
      </c>
      <c r="S40">
        <f>HYPERLINK("https://klasma.github.io/Logging_0188/artfynd/A 60084-2024 artfynd.xlsx", "A 60084-2024")</f>
        <v/>
      </c>
      <c r="T40">
        <f>HYPERLINK("https://klasma.github.io/Logging_0188/kartor/A 60084-2024 karta.png", "A 60084-2024")</f>
        <v/>
      </c>
      <c r="V40">
        <f>HYPERLINK("https://klasma.github.io/Logging_0188/klagomål/A 60084-2024 FSC-klagomål.docx", "A 60084-2024")</f>
        <v/>
      </c>
      <c r="W40">
        <f>HYPERLINK("https://klasma.github.io/Logging_0188/klagomålsmail/A 60084-2024 FSC-klagomål mail.docx", "A 60084-2024")</f>
        <v/>
      </c>
      <c r="X40">
        <f>HYPERLINK("https://klasma.github.io/Logging_0188/tillsyn/A 60084-2024 tillsynsbegäran.docx", "A 60084-2024")</f>
        <v/>
      </c>
      <c r="Y40">
        <f>HYPERLINK("https://klasma.github.io/Logging_0188/tillsynsmail/A 60084-2024 tillsynsbegäran mail.docx", "A 60084-2024")</f>
        <v/>
      </c>
    </row>
    <row r="41" ht="15" customHeight="1">
      <c r="A41" t="inlineStr">
        <is>
          <t>A 52815-2021</t>
        </is>
      </c>
      <c r="B41" s="1" t="n">
        <v>44467</v>
      </c>
      <c r="C41" s="1" t="n">
        <v>45758</v>
      </c>
      <c r="D41" t="inlineStr">
        <is>
          <t>STOCKHOLMS LÄN</t>
        </is>
      </c>
      <c r="E41" t="inlineStr">
        <is>
          <t>NORRTÄLJE</t>
        </is>
      </c>
      <c r="G41" t="n">
        <v>2.8</v>
      </c>
      <c r="H41" t="n">
        <v>0</v>
      </c>
      <c r="I41" t="n">
        <v>2</v>
      </c>
      <c r="J41" t="n">
        <v>2</v>
      </c>
      <c r="K41" t="n">
        <v>4</v>
      </c>
      <c r="L41" t="n">
        <v>1</v>
      </c>
      <c r="M41" t="n">
        <v>0</v>
      </c>
      <c r="N41" t="n">
        <v>0</v>
      </c>
      <c r="O41" t="n">
        <v>7</v>
      </c>
      <c r="P41" t="n">
        <v>5</v>
      </c>
      <c r="Q41" t="n">
        <v>9</v>
      </c>
      <c r="R41" s="2" t="inlineStr">
        <is>
          <t>Raggtaggsvamp
Gul lammticka
Koppartaggsvamp
Spricktaggsvamp
Svartfjällig musseron
Bittermusseron
Flattoppad klubbsvamp
Diskvaxskivling
Fjällig taggsvamp s.str.</t>
        </is>
      </c>
      <c r="S41">
        <f>HYPERLINK("https://klasma.github.io/Logging_0188/artfynd/A 52815-2021 artfynd.xlsx", "A 52815-2021")</f>
        <v/>
      </c>
      <c r="T41">
        <f>HYPERLINK("https://klasma.github.io/Logging_0188/kartor/A 52815-2021 karta.png", "A 52815-2021")</f>
        <v/>
      </c>
      <c r="V41">
        <f>HYPERLINK("https://klasma.github.io/Logging_0188/klagomål/A 52815-2021 FSC-klagomål.docx", "A 52815-2021")</f>
        <v/>
      </c>
      <c r="W41">
        <f>HYPERLINK("https://klasma.github.io/Logging_0188/klagomålsmail/A 52815-2021 FSC-klagomål mail.docx", "A 52815-2021")</f>
        <v/>
      </c>
      <c r="X41">
        <f>HYPERLINK("https://klasma.github.io/Logging_0188/tillsyn/A 52815-2021 tillsynsbegäran.docx", "A 52815-2021")</f>
        <v/>
      </c>
      <c r="Y41">
        <f>HYPERLINK("https://klasma.github.io/Logging_0188/tillsynsmail/A 52815-2021 tillsynsbegäran mail.docx", "A 52815-2021")</f>
        <v/>
      </c>
    </row>
    <row r="42" ht="15" customHeight="1">
      <c r="A42" t="inlineStr">
        <is>
          <t>A 73093-2021</t>
        </is>
      </c>
      <c r="B42" s="1" t="n">
        <v>44550</v>
      </c>
      <c r="C42" s="1" t="n">
        <v>45758</v>
      </c>
      <c r="D42" t="inlineStr">
        <is>
          <t>STOCKHOLMS LÄN</t>
        </is>
      </c>
      <c r="E42" t="inlineStr">
        <is>
          <t>NORRTÄLJE</t>
        </is>
      </c>
      <c r="G42" t="n">
        <v>5.1</v>
      </c>
      <c r="H42" t="n">
        <v>6</v>
      </c>
      <c r="I42" t="n">
        <v>6</v>
      </c>
      <c r="J42" t="n">
        <v>1</v>
      </c>
      <c r="K42" t="n">
        <v>0</v>
      </c>
      <c r="L42" t="n">
        <v>0</v>
      </c>
      <c r="M42" t="n">
        <v>0</v>
      </c>
      <c r="N42" t="n">
        <v>0</v>
      </c>
      <c r="O42" t="n">
        <v>1</v>
      </c>
      <c r="P42" t="n">
        <v>0</v>
      </c>
      <c r="Q42" t="n">
        <v>9</v>
      </c>
      <c r="R42" s="2" t="inlineStr">
        <is>
          <t>Rödvingetrast
Guckusko
Myskmadra
Nästrot
Skogsknipprot
Tibast
Vätteros
Nattviol
Blåsippa</t>
        </is>
      </c>
      <c r="S42">
        <f>HYPERLINK("https://klasma.github.io/Logging_0188/artfynd/A 73093-2021 artfynd.xlsx", "A 73093-2021")</f>
        <v/>
      </c>
      <c r="T42">
        <f>HYPERLINK("https://klasma.github.io/Logging_0188/kartor/A 73093-2021 karta.png", "A 73093-2021")</f>
        <v/>
      </c>
      <c r="V42">
        <f>HYPERLINK("https://klasma.github.io/Logging_0188/klagomål/A 73093-2021 FSC-klagomål.docx", "A 73093-2021")</f>
        <v/>
      </c>
      <c r="W42">
        <f>HYPERLINK("https://klasma.github.io/Logging_0188/klagomålsmail/A 73093-2021 FSC-klagomål mail.docx", "A 73093-2021")</f>
        <v/>
      </c>
      <c r="X42">
        <f>HYPERLINK("https://klasma.github.io/Logging_0188/tillsyn/A 73093-2021 tillsynsbegäran.docx", "A 73093-2021")</f>
        <v/>
      </c>
      <c r="Y42">
        <f>HYPERLINK("https://klasma.github.io/Logging_0188/tillsynsmail/A 73093-2021 tillsynsbegäran mail.docx", "A 73093-2021")</f>
        <v/>
      </c>
      <c r="Z42">
        <f>HYPERLINK("https://klasma.github.io/Logging_0188/fåglar/A 73093-2021 prioriterade fågelarter.docx", "A 73093-2021")</f>
        <v/>
      </c>
    </row>
    <row r="43" ht="15" customHeight="1">
      <c r="A43" t="inlineStr">
        <is>
          <t>A 47274-2024</t>
        </is>
      </c>
      <c r="B43" s="1" t="n">
        <v>45586</v>
      </c>
      <c r="C43" s="1" t="n">
        <v>45758</v>
      </c>
      <c r="D43" t="inlineStr">
        <is>
          <t>STOCKHOLMS LÄN</t>
        </is>
      </c>
      <c r="E43" t="inlineStr">
        <is>
          <t>NORRTÄLJE</t>
        </is>
      </c>
      <c r="G43" t="n">
        <v>20.1</v>
      </c>
      <c r="H43" t="n">
        <v>2</v>
      </c>
      <c r="I43" t="n">
        <v>3</v>
      </c>
      <c r="J43" t="n">
        <v>4</v>
      </c>
      <c r="K43" t="n">
        <v>1</v>
      </c>
      <c r="L43" t="n">
        <v>0</v>
      </c>
      <c r="M43" t="n">
        <v>0</v>
      </c>
      <c r="N43" t="n">
        <v>0</v>
      </c>
      <c r="O43" t="n">
        <v>5</v>
      </c>
      <c r="P43" t="n">
        <v>1</v>
      </c>
      <c r="Q43" t="n">
        <v>9</v>
      </c>
      <c r="R43" s="2" t="inlineStr">
        <is>
          <t>Knärot
Grönhjon
Motaggsvamp
Ullticka
Vedskivlav
Dropptaggsvamp
Grönpyrola
Svavelriska
Blåsippa</t>
        </is>
      </c>
      <c r="S43">
        <f>HYPERLINK("https://klasma.github.io/Logging_0188/artfynd/A 47274-2024 artfynd.xlsx", "A 47274-2024")</f>
        <v/>
      </c>
      <c r="T43">
        <f>HYPERLINK("https://klasma.github.io/Logging_0188/kartor/A 47274-2024 karta.png", "A 47274-2024")</f>
        <v/>
      </c>
      <c r="U43">
        <f>HYPERLINK("https://klasma.github.io/Logging_0188/knärot/A 47274-2024 karta knärot.png", "A 47274-2024")</f>
        <v/>
      </c>
      <c r="V43">
        <f>HYPERLINK("https://klasma.github.io/Logging_0188/klagomål/A 47274-2024 FSC-klagomål.docx", "A 47274-2024")</f>
        <v/>
      </c>
      <c r="W43">
        <f>HYPERLINK("https://klasma.github.io/Logging_0188/klagomålsmail/A 47274-2024 FSC-klagomål mail.docx", "A 47274-2024")</f>
        <v/>
      </c>
      <c r="X43">
        <f>HYPERLINK("https://klasma.github.io/Logging_0188/tillsyn/A 47274-2024 tillsynsbegäran.docx", "A 47274-2024")</f>
        <v/>
      </c>
      <c r="Y43">
        <f>HYPERLINK("https://klasma.github.io/Logging_0188/tillsynsmail/A 47274-2024 tillsynsbegäran mail.docx", "A 47274-2024")</f>
        <v/>
      </c>
    </row>
    <row r="44" ht="15" customHeight="1">
      <c r="A44" t="inlineStr">
        <is>
          <t>A 24687-2022</t>
        </is>
      </c>
      <c r="B44" s="1" t="n">
        <v>44727</v>
      </c>
      <c r="C44" s="1" t="n">
        <v>45758</v>
      </c>
      <c r="D44" t="inlineStr">
        <is>
          <t>STOCKHOLMS LÄN</t>
        </is>
      </c>
      <c r="E44" t="inlineStr">
        <is>
          <t>NORRTÄLJE</t>
        </is>
      </c>
      <c r="G44" t="n">
        <v>5.8</v>
      </c>
      <c r="H44" t="n">
        <v>3</v>
      </c>
      <c r="I44" t="n">
        <v>4</v>
      </c>
      <c r="J44" t="n">
        <v>0</v>
      </c>
      <c r="K44" t="n">
        <v>1</v>
      </c>
      <c r="L44" t="n">
        <v>0</v>
      </c>
      <c r="M44" t="n">
        <v>0</v>
      </c>
      <c r="N44" t="n">
        <v>0</v>
      </c>
      <c r="O44" t="n">
        <v>1</v>
      </c>
      <c r="P44" t="n">
        <v>1</v>
      </c>
      <c r="Q44" t="n">
        <v>8</v>
      </c>
      <c r="R44" s="2" t="inlineStr">
        <is>
          <t>Gul lammticka
Anisspindling
Diskvaxskivling
Fjällig taggsvamp s.str.
Rödgul trumpetsvamp
Tjäder
Blåsippa
Revlummer</t>
        </is>
      </c>
      <c r="S44">
        <f>HYPERLINK("https://klasma.github.io/Logging_0188/artfynd/A 24687-2022 artfynd.xlsx", "A 24687-2022")</f>
        <v/>
      </c>
      <c r="T44">
        <f>HYPERLINK("https://klasma.github.io/Logging_0188/kartor/A 24687-2022 karta.png", "A 24687-2022")</f>
        <v/>
      </c>
      <c r="V44">
        <f>HYPERLINK("https://klasma.github.io/Logging_0188/klagomål/A 24687-2022 FSC-klagomål.docx", "A 24687-2022")</f>
        <v/>
      </c>
      <c r="W44">
        <f>HYPERLINK("https://klasma.github.io/Logging_0188/klagomålsmail/A 24687-2022 FSC-klagomål mail.docx", "A 24687-2022")</f>
        <v/>
      </c>
      <c r="X44">
        <f>HYPERLINK("https://klasma.github.io/Logging_0188/tillsyn/A 24687-2022 tillsynsbegäran.docx", "A 24687-2022")</f>
        <v/>
      </c>
      <c r="Y44">
        <f>HYPERLINK("https://klasma.github.io/Logging_0188/tillsynsmail/A 24687-2022 tillsynsbegäran mail.docx", "A 24687-2022")</f>
        <v/>
      </c>
      <c r="Z44">
        <f>HYPERLINK("https://klasma.github.io/Logging_0188/fåglar/A 24687-2022 prioriterade fågelarter.docx", "A 24687-2022")</f>
        <v/>
      </c>
    </row>
    <row r="45" ht="15" customHeight="1">
      <c r="A45" t="inlineStr">
        <is>
          <t>A 59582-2024</t>
        </is>
      </c>
      <c r="B45" s="1" t="n">
        <v>45638</v>
      </c>
      <c r="C45" s="1" t="n">
        <v>45758</v>
      </c>
      <c r="D45" t="inlineStr">
        <is>
          <t>STOCKHOLMS LÄN</t>
        </is>
      </c>
      <c r="E45" t="inlineStr">
        <is>
          <t>NORRTÄLJE</t>
        </is>
      </c>
      <c r="F45" t="inlineStr">
        <is>
          <t>Holmen skog AB</t>
        </is>
      </c>
      <c r="G45" t="n">
        <v>2.7</v>
      </c>
      <c r="H45" t="n">
        <v>3</v>
      </c>
      <c r="I45" t="n">
        <v>4</v>
      </c>
      <c r="J45" t="n">
        <v>3</v>
      </c>
      <c r="K45" t="n">
        <v>0</v>
      </c>
      <c r="L45" t="n">
        <v>0</v>
      </c>
      <c r="M45" t="n">
        <v>0</v>
      </c>
      <c r="N45" t="n">
        <v>0</v>
      </c>
      <c r="O45" t="n">
        <v>3</v>
      </c>
      <c r="P45" t="n">
        <v>0</v>
      </c>
      <c r="Q45" t="n">
        <v>8</v>
      </c>
      <c r="R45" s="2" t="inlineStr">
        <is>
          <t>Duvhök
Skogshare
Spillkråka
Bronshjon
Granbräken
Spädstarr
Vågbandad barkbock
Revlummer</t>
        </is>
      </c>
      <c r="S45">
        <f>HYPERLINK("https://klasma.github.io/Logging_0188/artfynd/A 59582-2024 artfynd.xlsx", "A 59582-2024")</f>
        <v/>
      </c>
      <c r="T45">
        <f>HYPERLINK("https://klasma.github.io/Logging_0188/kartor/A 59582-2024 karta.png", "A 59582-2024")</f>
        <v/>
      </c>
      <c r="V45">
        <f>HYPERLINK("https://klasma.github.io/Logging_0188/klagomål/A 59582-2024 FSC-klagomål.docx", "A 59582-2024")</f>
        <v/>
      </c>
      <c r="W45">
        <f>HYPERLINK("https://klasma.github.io/Logging_0188/klagomålsmail/A 59582-2024 FSC-klagomål mail.docx", "A 59582-2024")</f>
        <v/>
      </c>
      <c r="X45">
        <f>HYPERLINK("https://klasma.github.io/Logging_0188/tillsyn/A 59582-2024 tillsynsbegäran.docx", "A 59582-2024")</f>
        <v/>
      </c>
      <c r="Y45">
        <f>HYPERLINK("https://klasma.github.io/Logging_0188/tillsynsmail/A 59582-2024 tillsynsbegäran mail.docx", "A 59582-2024")</f>
        <v/>
      </c>
      <c r="Z45">
        <f>HYPERLINK("https://klasma.github.io/Logging_0188/fåglar/A 59582-2024 prioriterade fågelarter.docx", "A 59582-2024")</f>
        <v/>
      </c>
    </row>
    <row r="46" ht="15" customHeight="1">
      <c r="A46" t="inlineStr">
        <is>
          <t>A 4705-2025</t>
        </is>
      </c>
      <c r="B46" s="1" t="n">
        <v>45688</v>
      </c>
      <c r="C46" s="1" t="n">
        <v>45758</v>
      </c>
      <c r="D46" t="inlineStr">
        <is>
          <t>STOCKHOLMS LÄN</t>
        </is>
      </c>
      <c r="E46" t="inlineStr">
        <is>
          <t>NORRTÄLJE</t>
        </is>
      </c>
      <c r="G46" t="n">
        <v>5.7</v>
      </c>
      <c r="H46" t="n">
        <v>0</v>
      </c>
      <c r="I46" t="n">
        <v>5</v>
      </c>
      <c r="J46" t="n">
        <v>3</v>
      </c>
      <c r="K46" t="n">
        <v>0</v>
      </c>
      <c r="L46" t="n">
        <v>0</v>
      </c>
      <c r="M46" t="n">
        <v>0</v>
      </c>
      <c r="N46" t="n">
        <v>0</v>
      </c>
      <c r="O46" t="n">
        <v>3</v>
      </c>
      <c r="P46" t="n">
        <v>0</v>
      </c>
      <c r="Q46" t="n">
        <v>8</v>
      </c>
      <c r="R46" s="2" t="inlineStr">
        <is>
          <t>Dofttaggsvamp
Granticka
Ullticka
Fjällig taggsvamp s.str.
Skarp dropptaggsvamp
Sårläka
Thomsons trägnagare
Tibast</t>
        </is>
      </c>
      <c r="S46">
        <f>HYPERLINK("https://klasma.github.io/Logging_0188/artfynd/A 4705-2025 artfynd.xlsx", "A 4705-2025")</f>
        <v/>
      </c>
      <c r="T46">
        <f>HYPERLINK("https://klasma.github.io/Logging_0188/kartor/A 4705-2025 karta.png", "A 4705-2025")</f>
        <v/>
      </c>
      <c r="V46">
        <f>HYPERLINK("https://klasma.github.io/Logging_0188/klagomål/A 4705-2025 FSC-klagomål.docx", "A 4705-2025")</f>
        <v/>
      </c>
      <c r="W46">
        <f>HYPERLINK("https://klasma.github.io/Logging_0188/klagomålsmail/A 4705-2025 FSC-klagomål mail.docx", "A 4705-2025")</f>
        <v/>
      </c>
      <c r="X46">
        <f>HYPERLINK("https://klasma.github.io/Logging_0188/tillsyn/A 4705-2025 tillsynsbegäran.docx", "A 4705-2025")</f>
        <v/>
      </c>
      <c r="Y46">
        <f>HYPERLINK("https://klasma.github.io/Logging_0188/tillsynsmail/A 4705-2025 tillsynsbegäran mail.docx", "A 4705-2025")</f>
        <v/>
      </c>
    </row>
    <row r="47" ht="15" customHeight="1">
      <c r="A47" t="inlineStr">
        <is>
          <t>A 17530-2025</t>
        </is>
      </c>
      <c r="B47" s="1" t="n">
        <v>45757</v>
      </c>
      <c r="C47" s="1" t="n">
        <v>45758</v>
      </c>
      <c r="D47" t="inlineStr">
        <is>
          <t>STOCKHOLMS LÄN</t>
        </is>
      </c>
      <c r="E47" t="inlineStr">
        <is>
          <t>NORRTÄLJE</t>
        </is>
      </c>
      <c r="G47" t="n">
        <v>2.1</v>
      </c>
      <c r="H47" t="n">
        <v>3</v>
      </c>
      <c r="I47" t="n">
        <v>5</v>
      </c>
      <c r="J47" t="n">
        <v>1</v>
      </c>
      <c r="K47" t="n">
        <v>0</v>
      </c>
      <c r="L47" t="n">
        <v>0</v>
      </c>
      <c r="M47" t="n">
        <v>0</v>
      </c>
      <c r="N47" t="n">
        <v>0</v>
      </c>
      <c r="O47" t="n">
        <v>1</v>
      </c>
      <c r="P47" t="n">
        <v>0</v>
      </c>
      <c r="Q47" t="n">
        <v>8</v>
      </c>
      <c r="R47" s="2" t="inlineStr">
        <is>
          <t>Mindre hackspett
Bronshjon
Grönpyrola
Mindre märgborre
Thomsons trägnagare
Vågbandad barkbock
Kungsfågel
Blåsippa</t>
        </is>
      </c>
      <c r="S47">
        <f>HYPERLINK("https://klasma.github.io/Logging_010188/artfynd/A 17530-2025 artfynd.xlsx", "A 17530-2025")</f>
        <v/>
      </c>
      <c r="T47">
        <f>HYPERLINK("https://klasma.github.io/Logging_010188/kartor/A 17530-2025 karta.png", "A 17530-2025")</f>
        <v/>
      </c>
      <c r="V47">
        <f>HYPERLINK("https://klasma.github.io/Logging_010188/klagomål/A 17530-2025 FSC-klagomål.docx", "A 17530-2025")</f>
        <v/>
      </c>
      <c r="W47">
        <f>HYPERLINK("https://klasma.github.io/Logging_010188/klagomålsmail/A 17530-2025 FSC-klagomål mail.docx", "A 17530-2025")</f>
        <v/>
      </c>
      <c r="X47">
        <f>HYPERLINK("https://klasma.github.io/Logging_010188/tillsyn/A 17530-2025 tillsynsbegäran.docx", "A 17530-2025")</f>
        <v/>
      </c>
      <c r="Y47">
        <f>HYPERLINK("https://klasma.github.io/Logging_010188/tillsynsmail/A 17530-2025 tillsynsbegäran mail.docx", "A 17530-2025")</f>
        <v/>
      </c>
      <c r="Z47">
        <f>HYPERLINK("https://klasma.github.io/Logging_010188/fåglar/A 17530-2025 prioriterade fågelarter.docx", "A 17530-2025")</f>
        <v/>
      </c>
    </row>
    <row r="48" ht="15" customHeight="1">
      <c r="A48" t="inlineStr">
        <is>
          <t>A 47346-2021</t>
        </is>
      </c>
      <c r="B48" s="1" t="n">
        <v>44447</v>
      </c>
      <c r="C48" s="1" t="n">
        <v>45758</v>
      </c>
      <c r="D48" t="inlineStr">
        <is>
          <t>STOCKHOLMS LÄN</t>
        </is>
      </c>
      <c r="E48" t="inlineStr">
        <is>
          <t>NORRTÄLJE</t>
        </is>
      </c>
      <c r="G48" t="n">
        <v>5.5</v>
      </c>
      <c r="H48" t="n">
        <v>1</v>
      </c>
      <c r="I48" t="n">
        <v>4</v>
      </c>
      <c r="J48" t="n">
        <v>0</v>
      </c>
      <c r="K48" t="n">
        <v>2</v>
      </c>
      <c r="L48" t="n">
        <v>0</v>
      </c>
      <c r="M48" t="n">
        <v>0</v>
      </c>
      <c r="N48" t="n">
        <v>0</v>
      </c>
      <c r="O48" t="n">
        <v>2</v>
      </c>
      <c r="P48" t="n">
        <v>2</v>
      </c>
      <c r="Q48" t="n">
        <v>7</v>
      </c>
      <c r="R48" s="2" t="inlineStr">
        <is>
          <t>Grangråticka
Violgubbe
Anisspindling
Fjällig taggsvamp s.str.
Skarp dropptaggsvamp
Toppvaxing
Revlummer</t>
        </is>
      </c>
      <c r="S48">
        <f>HYPERLINK("https://klasma.github.io/Logging_0188/artfynd/A 47346-2021 artfynd.xlsx", "A 47346-2021")</f>
        <v/>
      </c>
      <c r="T48">
        <f>HYPERLINK("https://klasma.github.io/Logging_0188/kartor/A 47346-2021 karta.png", "A 47346-2021")</f>
        <v/>
      </c>
      <c r="V48">
        <f>HYPERLINK("https://klasma.github.io/Logging_0188/klagomål/A 47346-2021 FSC-klagomål.docx", "A 47346-2021")</f>
        <v/>
      </c>
      <c r="W48">
        <f>HYPERLINK("https://klasma.github.io/Logging_0188/klagomålsmail/A 47346-2021 FSC-klagomål mail.docx", "A 47346-2021")</f>
        <v/>
      </c>
      <c r="X48">
        <f>HYPERLINK("https://klasma.github.io/Logging_0188/tillsyn/A 47346-2021 tillsynsbegäran.docx", "A 47346-2021")</f>
        <v/>
      </c>
      <c r="Y48">
        <f>HYPERLINK("https://klasma.github.io/Logging_0188/tillsynsmail/A 47346-2021 tillsynsbegäran mail.docx", "A 47346-2021")</f>
        <v/>
      </c>
    </row>
    <row r="49" ht="15" customHeight="1">
      <c r="A49" t="inlineStr">
        <is>
          <t>A 8644-2022</t>
        </is>
      </c>
      <c r="B49" s="1" t="n">
        <v>44613</v>
      </c>
      <c r="C49" s="1" t="n">
        <v>45758</v>
      </c>
      <c r="D49" t="inlineStr">
        <is>
          <t>STOCKHOLMS LÄN</t>
        </is>
      </c>
      <c r="E49" t="inlineStr">
        <is>
          <t>NORRTÄLJE</t>
        </is>
      </c>
      <c r="G49" t="n">
        <v>5.7</v>
      </c>
      <c r="H49" t="n">
        <v>1</v>
      </c>
      <c r="I49" t="n">
        <v>4</v>
      </c>
      <c r="J49" t="n">
        <v>1</v>
      </c>
      <c r="K49" t="n">
        <v>1</v>
      </c>
      <c r="L49" t="n">
        <v>0</v>
      </c>
      <c r="M49" t="n">
        <v>0</v>
      </c>
      <c r="N49" t="n">
        <v>0</v>
      </c>
      <c r="O49" t="n">
        <v>2</v>
      </c>
      <c r="P49" t="n">
        <v>1</v>
      </c>
      <c r="Q49" t="n">
        <v>7</v>
      </c>
      <c r="R49" s="2" t="inlineStr">
        <is>
          <t>Vågticka
Såpfingersvamp
Blomkålssvamp
Diskvaxskivling
Grönpyrola
Hasselticka
Blåsippa</t>
        </is>
      </c>
      <c r="S49">
        <f>HYPERLINK("https://klasma.github.io/Logging_0188/artfynd/A 8644-2022 artfynd.xlsx", "A 8644-2022")</f>
        <v/>
      </c>
      <c r="T49">
        <f>HYPERLINK("https://klasma.github.io/Logging_0188/kartor/A 8644-2022 karta.png", "A 8644-2022")</f>
        <v/>
      </c>
      <c r="V49">
        <f>HYPERLINK("https://klasma.github.io/Logging_0188/klagomål/A 8644-2022 FSC-klagomål.docx", "A 8644-2022")</f>
        <v/>
      </c>
      <c r="W49">
        <f>HYPERLINK("https://klasma.github.io/Logging_0188/klagomålsmail/A 8644-2022 FSC-klagomål mail.docx", "A 8644-2022")</f>
        <v/>
      </c>
      <c r="X49">
        <f>HYPERLINK("https://klasma.github.io/Logging_0188/tillsyn/A 8644-2022 tillsynsbegäran.docx", "A 8644-2022")</f>
        <v/>
      </c>
      <c r="Y49">
        <f>HYPERLINK("https://klasma.github.io/Logging_0188/tillsynsmail/A 8644-2022 tillsynsbegäran mail.docx", "A 8644-2022")</f>
        <v/>
      </c>
    </row>
    <row r="50" ht="15" customHeight="1">
      <c r="A50" t="inlineStr">
        <is>
          <t>A 13933-2022</t>
        </is>
      </c>
      <c r="B50" s="1" t="n">
        <v>44650</v>
      </c>
      <c r="C50" s="1" t="n">
        <v>45758</v>
      </c>
      <c r="D50" t="inlineStr">
        <is>
          <t>STOCKHOLMS LÄN</t>
        </is>
      </c>
      <c r="E50" t="inlineStr">
        <is>
          <t>NORRTÄLJE</t>
        </is>
      </c>
      <c r="G50" t="n">
        <v>4.4</v>
      </c>
      <c r="H50" t="n">
        <v>3</v>
      </c>
      <c r="I50" t="n">
        <v>5</v>
      </c>
      <c r="J50" t="n">
        <v>1</v>
      </c>
      <c r="K50" t="n">
        <v>0</v>
      </c>
      <c r="L50" t="n">
        <v>0</v>
      </c>
      <c r="M50" t="n">
        <v>0</v>
      </c>
      <c r="N50" t="n">
        <v>0</v>
      </c>
      <c r="O50" t="n">
        <v>1</v>
      </c>
      <c r="P50" t="n">
        <v>0</v>
      </c>
      <c r="Q50" t="n">
        <v>7</v>
      </c>
      <c r="R50" s="2" t="inlineStr">
        <is>
          <t>Ullticka
Grön sköldmossa
Nästrot
Skogshakmossa
Tibast
Ögonpyrola
Blåsippa</t>
        </is>
      </c>
      <c r="S50">
        <f>HYPERLINK("https://klasma.github.io/Logging_0188/artfynd/A 13933-2022 artfynd.xlsx", "A 13933-2022")</f>
        <v/>
      </c>
      <c r="T50">
        <f>HYPERLINK("https://klasma.github.io/Logging_0188/kartor/A 13933-2022 karta.png", "A 13933-2022")</f>
        <v/>
      </c>
      <c r="V50">
        <f>HYPERLINK("https://klasma.github.io/Logging_0188/klagomål/A 13933-2022 FSC-klagomål.docx", "A 13933-2022")</f>
        <v/>
      </c>
      <c r="W50">
        <f>HYPERLINK("https://klasma.github.io/Logging_0188/klagomålsmail/A 13933-2022 FSC-klagomål mail.docx", "A 13933-2022")</f>
        <v/>
      </c>
      <c r="X50">
        <f>HYPERLINK("https://klasma.github.io/Logging_0188/tillsyn/A 13933-2022 tillsynsbegäran.docx", "A 13933-2022")</f>
        <v/>
      </c>
      <c r="Y50">
        <f>HYPERLINK("https://klasma.github.io/Logging_0188/tillsynsmail/A 13933-2022 tillsynsbegäran mail.docx", "A 13933-2022")</f>
        <v/>
      </c>
    </row>
    <row r="51" ht="15" customHeight="1">
      <c r="A51" t="inlineStr">
        <is>
          <t>A 24150-2022</t>
        </is>
      </c>
      <c r="B51" s="1" t="n">
        <v>44725</v>
      </c>
      <c r="C51" s="1" t="n">
        <v>45758</v>
      </c>
      <c r="D51" t="inlineStr">
        <is>
          <t>STOCKHOLMS LÄN</t>
        </is>
      </c>
      <c r="E51" t="inlineStr">
        <is>
          <t>NORRTÄLJE</t>
        </is>
      </c>
      <c r="G51" t="n">
        <v>7</v>
      </c>
      <c r="H51" t="n">
        <v>7</v>
      </c>
      <c r="I51" t="n">
        <v>0</v>
      </c>
      <c r="J51" t="n">
        <v>2</v>
      </c>
      <c r="K51" t="n">
        <v>0</v>
      </c>
      <c r="L51" t="n">
        <v>0</v>
      </c>
      <c r="M51" t="n">
        <v>0</v>
      </c>
      <c r="N51" t="n">
        <v>0</v>
      </c>
      <c r="O51" t="n">
        <v>2</v>
      </c>
      <c r="P51" t="n">
        <v>0</v>
      </c>
      <c r="Q51" t="n">
        <v>7</v>
      </c>
      <c r="R51" s="2" t="inlineStr">
        <is>
          <t>Brunlångöra
Nordfladdermus
Dvärgpipistrell
Gråskimlig fladdermus
Större brunfladdermus
Trollpipistrell
Vattenfladdermus</t>
        </is>
      </c>
      <c r="S51">
        <f>HYPERLINK("https://klasma.github.io/Logging_0188/artfynd/A 24150-2022 artfynd.xlsx", "A 24150-2022")</f>
        <v/>
      </c>
      <c r="T51">
        <f>HYPERLINK("https://klasma.github.io/Logging_0188/kartor/A 24150-2022 karta.png", "A 24150-2022")</f>
        <v/>
      </c>
      <c r="V51">
        <f>HYPERLINK("https://klasma.github.io/Logging_0188/klagomål/A 24150-2022 FSC-klagomål.docx", "A 24150-2022")</f>
        <v/>
      </c>
      <c r="W51">
        <f>HYPERLINK("https://klasma.github.io/Logging_0188/klagomålsmail/A 24150-2022 FSC-klagomål mail.docx", "A 24150-2022")</f>
        <v/>
      </c>
      <c r="X51">
        <f>HYPERLINK("https://klasma.github.io/Logging_0188/tillsyn/A 24150-2022 tillsynsbegäran.docx", "A 24150-2022")</f>
        <v/>
      </c>
      <c r="Y51">
        <f>HYPERLINK("https://klasma.github.io/Logging_0188/tillsynsmail/A 24150-2022 tillsynsbegäran mail.docx", "A 24150-2022")</f>
        <v/>
      </c>
    </row>
    <row r="52" ht="15" customHeight="1">
      <c r="A52" t="inlineStr">
        <is>
          <t>A 45811-2022</t>
        </is>
      </c>
      <c r="B52" s="1" t="n">
        <v>44846</v>
      </c>
      <c r="C52" s="1" t="n">
        <v>45758</v>
      </c>
      <c r="D52" t="inlineStr">
        <is>
          <t>STOCKHOLMS LÄN</t>
        </is>
      </c>
      <c r="E52" t="inlineStr">
        <is>
          <t>NORRTÄLJE</t>
        </is>
      </c>
      <c r="G52" t="n">
        <v>0.8</v>
      </c>
      <c r="H52" t="n">
        <v>0</v>
      </c>
      <c r="I52" t="n">
        <v>5</v>
      </c>
      <c r="J52" t="n">
        <v>0</v>
      </c>
      <c r="K52" t="n">
        <v>0</v>
      </c>
      <c r="L52" t="n">
        <v>1</v>
      </c>
      <c r="M52" t="n">
        <v>1</v>
      </c>
      <c r="N52" t="n">
        <v>0</v>
      </c>
      <c r="O52" t="n">
        <v>2</v>
      </c>
      <c r="P52" t="n">
        <v>2</v>
      </c>
      <c r="Q52" t="n">
        <v>7</v>
      </c>
      <c r="R52" s="2" t="inlineStr">
        <is>
          <t>Skogsalm
Ask
Hässleklocka
Myskmadra
Strävlosta
Tibast
Underviol</t>
        </is>
      </c>
      <c r="S52">
        <f>HYPERLINK("https://klasma.github.io/Logging_0188/artfynd/A 45811-2022 artfynd.xlsx", "A 45811-2022")</f>
        <v/>
      </c>
      <c r="T52">
        <f>HYPERLINK("https://klasma.github.io/Logging_0188/kartor/A 45811-2022 karta.png", "A 45811-2022")</f>
        <v/>
      </c>
      <c r="V52">
        <f>HYPERLINK("https://klasma.github.io/Logging_0188/klagomål/A 45811-2022 FSC-klagomål.docx", "A 45811-2022")</f>
        <v/>
      </c>
      <c r="W52">
        <f>HYPERLINK("https://klasma.github.io/Logging_0188/klagomålsmail/A 45811-2022 FSC-klagomål mail.docx", "A 45811-2022")</f>
        <v/>
      </c>
      <c r="X52">
        <f>HYPERLINK("https://klasma.github.io/Logging_0188/tillsyn/A 45811-2022 tillsynsbegäran.docx", "A 45811-2022")</f>
        <v/>
      </c>
      <c r="Y52">
        <f>HYPERLINK("https://klasma.github.io/Logging_0188/tillsynsmail/A 45811-2022 tillsynsbegäran mail.docx", "A 45811-2022")</f>
        <v/>
      </c>
    </row>
    <row r="53" ht="15" customHeight="1">
      <c r="A53" t="inlineStr">
        <is>
          <t>A 48490-2022</t>
        </is>
      </c>
      <c r="B53" s="1" t="n">
        <v>44858</v>
      </c>
      <c r="C53" s="1" t="n">
        <v>45758</v>
      </c>
      <c r="D53" t="inlineStr">
        <is>
          <t>STOCKHOLMS LÄN</t>
        </is>
      </c>
      <c r="E53" t="inlineStr">
        <is>
          <t>NORRTÄLJE</t>
        </is>
      </c>
      <c r="G53" t="n">
        <v>15.8</v>
      </c>
      <c r="H53" t="n">
        <v>2</v>
      </c>
      <c r="I53" t="n">
        <v>6</v>
      </c>
      <c r="J53" t="n">
        <v>0</v>
      </c>
      <c r="K53" t="n">
        <v>0</v>
      </c>
      <c r="L53" t="n">
        <v>0</v>
      </c>
      <c r="M53" t="n">
        <v>0</v>
      </c>
      <c r="N53" t="n">
        <v>0</v>
      </c>
      <c r="O53" t="n">
        <v>0</v>
      </c>
      <c r="P53" t="n">
        <v>0</v>
      </c>
      <c r="Q53" t="n">
        <v>7</v>
      </c>
      <c r="R53" s="2" t="inlineStr">
        <is>
          <t>Kragjordstjärna
Skogsknipprot
Svart trolldruva
Svavelriska
Tibast
Vårärt
Blåsippa</t>
        </is>
      </c>
      <c r="S53">
        <f>HYPERLINK("https://klasma.github.io/Logging_0188/artfynd/A 48490-2022 artfynd.xlsx", "A 48490-2022")</f>
        <v/>
      </c>
      <c r="T53">
        <f>HYPERLINK("https://klasma.github.io/Logging_0188/kartor/A 48490-2022 karta.png", "A 48490-2022")</f>
        <v/>
      </c>
      <c r="V53">
        <f>HYPERLINK("https://klasma.github.io/Logging_0188/klagomål/A 48490-2022 FSC-klagomål.docx", "A 48490-2022")</f>
        <v/>
      </c>
      <c r="W53">
        <f>HYPERLINK("https://klasma.github.io/Logging_0188/klagomålsmail/A 48490-2022 FSC-klagomål mail.docx", "A 48490-2022")</f>
        <v/>
      </c>
      <c r="X53">
        <f>HYPERLINK("https://klasma.github.io/Logging_0188/tillsyn/A 48490-2022 tillsynsbegäran.docx", "A 48490-2022")</f>
        <v/>
      </c>
      <c r="Y53">
        <f>HYPERLINK("https://klasma.github.io/Logging_0188/tillsynsmail/A 48490-2022 tillsynsbegäran mail.docx", "A 48490-2022")</f>
        <v/>
      </c>
    </row>
    <row r="54" ht="15" customHeight="1">
      <c r="A54" t="inlineStr">
        <is>
          <t>A 15278-2024</t>
        </is>
      </c>
      <c r="B54" s="1" t="n">
        <v>45400</v>
      </c>
      <c r="C54" s="1" t="n">
        <v>45758</v>
      </c>
      <c r="D54" t="inlineStr">
        <is>
          <t>STOCKHOLMS LÄN</t>
        </is>
      </c>
      <c r="E54" t="inlineStr">
        <is>
          <t>NORRTÄLJE</t>
        </is>
      </c>
      <c r="G54" t="n">
        <v>7.4</v>
      </c>
      <c r="H54" t="n">
        <v>2</v>
      </c>
      <c r="I54" t="n">
        <v>4</v>
      </c>
      <c r="J54" t="n">
        <v>1</v>
      </c>
      <c r="K54" t="n">
        <v>1</v>
      </c>
      <c r="L54" t="n">
        <v>0</v>
      </c>
      <c r="M54" t="n">
        <v>0</v>
      </c>
      <c r="N54" t="n">
        <v>0</v>
      </c>
      <c r="O54" t="n">
        <v>2</v>
      </c>
      <c r="P54" t="n">
        <v>1</v>
      </c>
      <c r="Q54" t="n">
        <v>7</v>
      </c>
      <c r="R54" s="2" t="inlineStr">
        <is>
          <t>Knärot
Ullticka
Fjällig taggsvamp s.str.
Grönpyrola
Kattfotslav
Vedticka
Blåsippa</t>
        </is>
      </c>
      <c r="S54">
        <f>HYPERLINK("https://klasma.github.io/Logging_0188/artfynd/A 15278-2024 artfynd.xlsx", "A 15278-2024")</f>
        <v/>
      </c>
      <c r="T54">
        <f>HYPERLINK("https://klasma.github.io/Logging_0188/kartor/A 15278-2024 karta.png", "A 15278-2024")</f>
        <v/>
      </c>
      <c r="U54">
        <f>HYPERLINK("https://klasma.github.io/Logging_0188/knärot/A 15278-2024 karta knärot.png", "A 15278-2024")</f>
        <v/>
      </c>
      <c r="V54">
        <f>HYPERLINK("https://klasma.github.io/Logging_0188/klagomål/A 15278-2024 FSC-klagomål.docx", "A 15278-2024")</f>
        <v/>
      </c>
      <c r="W54">
        <f>HYPERLINK("https://klasma.github.io/Logging_0188/klagomålsmail/A 15278-2024 FSC-klagomål mail.docx", "A 15278-2024")</f>
        <v/>
      </c>
      <c r="X54">
        <f>HYPERLINK("https://klasma.github.io/Logging_0188/tillsyn/A 15278-2024 tillsynsbegäran.docx", "A 15278-2024")</f>
        <v/>
      </c>
      <c r="Y54">
        <f>HYPERLINK("https://klasma.github.io/Logging_0188/tillsynsmail/A 15278-2024 tillsynsbegäran mail.docx", "A 15278-2024")</f>
        <v/>
      </c>
    </row>
    <row r="55" ht="15" customHeight="1">
      <c r="A55" t="inlineStr">
        <is>
          <t>A 9362-2025</t>
        </is>
      </c>
      <c r="B55" s="1" t="n">
        <v>45715</v>
      </c>
      <c r="C55" s="1" t="n">
        <v>45758</v>
      </c>
      <c r="D55" t="inlineStr">
        <is>
          <t>STOCKHOLMS LÄN</t>
        </is>
      </c>
      <c r="E55" t="inlineStr">
        <is>
          <t>NORRTÄLJE</t>
        </is>
      </c>
      <c r="G55" t="n">
        <v>5.9</v>
      </c>
      <c r="H55" t="n">
        <v>2</v>
      </c>
      <c r="I55" t="n">
        <v>5</v>
      </c>
      <c r="J55" t="n">
        <v>0</v>
      </c>
      <c r="K55" t="n">
        <v>1</v>
      </c>
      <c r="L55" t="n">
        <v>0</v>
      </c>
      <c r="M55" t="n">
        <v>0</v>
      </c>
      <c r="N55" t="n">
        <v>0</v>
      </c>
      <c r="O55" t="n">
        <v>1</v>
      </c>
      <c r="P55" t="n">
        <v>1</v>
      </c>
      <c r="Q55" t="n">
        <v>7</v>
      </c>
      <c r="R55" s="2" t="inlineStr">
        <is>
          <t>Grangråticka
Nästrot
Rödgul trumpetsvamp
Svavelriska
Tibast
Trådticka
Blåsippa</t>
        </is>
      </c>
      <c r="S55">
        <f>HYPERLINK("https://klasma.github.io/Logging_010188/artfynd/A 9362-2025 artfynd.xlsx", "A 9362-2025")</f>
        <v/>
      </c>
      <c r="T55">
        <f>HYPERLINK("https://klasma.github.io/Logging_010188/kartor/A 9362-2025 karta.png", "A 9362-2025")</f>
        <v/>
      </c>
      <c r="V55">
        <f>HYPERLINK("https://klasma.github.io/Logging_010188/klagomål/A 9362-2025 FSC-klagomål.docx", "A 9362-2025")</f>
        <v/>
      </c>
      <c r="W55">
        <f>HYPERLINK("https://klasma.github.io/Logging_010188/klagomålsmail/A 9362-2025 FSC-klagomål mail.docx", "A 9362-2025")</f>
        <v/>
      </c>
      <c r="X55">
        <f>HYPERLINK("https://klasma.github.io/Logging_010188/tillsyn/A 9362-2025 tillsynsbegäran.docx", "A 9362-2025")</f>
        <v/>
      </c>
      <c r="Y55">
        <f>HYPERLINK("https://klasma.github.io/Logging_010188/tillsynsmail/A 9362-2025 tillsynsbegäran mail.docx", "A 9362-2025")</f>
        <v/>
      </c>
    </row>
    <row r="56" ht="15" customHeight="1">
      <c r="A56" t="inlineStr">
        <is>
          <t>A 18284-2019</t>
        </is>
      </c>
      <c r="B56" s="1" t="n">
        <v>43558</v>
      </c>
      <c r="C56" s="1" t="n">
        <v>45758</v>
      </c>
      <c r="D56" t="inlineStr">
        <is>
          <t>STOCKHOLMS LÄN</t>
        </is>
      </c>
      <c r="E56" t="inlineStr">
        <is>
          <t>NORRTÄLJE</t>
        </is>
      </c>
      <c r="G56" t="n">
        <v>20.4</v>
      </c>
      <c r="H56" t="n">
        <v>0</v>
      </c>
      <c r="I56" t="n">
        <v>2</v>
      </c>
      <c r="J56" t="n">
        <v>3</v>
      </c>
      <c r="K56" t="n">
        <v>1</v>
      </c>
      <c r="L56" t="n">
        <v>0</v>
      </c>
      <c r="M56" t="n">
        <v>0</v>
      </c>
      <c r="N56" t="n">
        <v>0</v>
      </c>
      <c r="O56" t="n">
        <v>4</v>
      </c>
      <c r="P56" t="n">
        <v>1</v>
      </c>
      <c r="Q56" t="n">
        <v>6</v>
      </c>
      <c r="R56" s="2" t="inlineStr">
        <is>
          <t>Grangråticka
Motaggsvamp
Orange taggsvamp
Vedtrappmossa
Rödgul trumpetsvamp
Skarp dropptaggsvamp</t>
        </is>
      </c>
      <c r="S56">
        <f>HYPERLINK("https://klasma.github.io/Logging_0188/artfynd/A 18284-2019 artfynd.xlsx", "A 18284-2019")</f>
        <v/>
      </c>
      <c r="T56">
        <f>HYPERLINK("https://klasma.github.io/Logging_0188/kartor/A 18284-2019 karta.png", "A 18284-2019")</f>
        <v/>
      </c>
      <c r="V56">
        <f>HYPERLINK("https://klasma.github.io/Logging_0188/klagomål/A 18284-2019 FSC-klagomål.docx", "A 18284-2019")</f>
        <v/>
      </c>
      <c r="W56">
        <f>HYPERLINK("https://klasma.github.io/Logging_0188/klagomålsmail/A 18284-2019 FSC-klagomål mail.docx", "A 18284-2019")</f>
        <v/>
      </c>
      <c r="X56">
        <f>HYPERLINK("https://klasma.github.io/Logging_0188/tillsyn/A 18284-2019 tillsynsbegäran.docx", "A 18284-2019")</f>
        <v/>
      </c>
      <c r="Y56">
        <f>HYPERLINK("https://klasma.github.io/Logging_0188/tillsynsmail/A 18284-2019 tillsynsbegäran mail.docx", "A 18284-2019")</f>
        <v/>
      </c>
    </row>
    <row r="57" ht="15" customHeight="1">
      <c r="A57" t="inlineStr">
        <is>
          <t>A 20255-2019</t>
        </is>
      </c>
      <c r="B57" s="1" t="n">
        <v>43571</v>
      </c>
      <c r="C57" s="1" t="n">
        <v>45758</v>
      </c>
      <c r="D57" t="inlineStr">
        <is>
          <t>STOCKHOLMS LÄN</t>
        </is>
      </c>
      <c r="E57" t="inlineStr">
        <is>
          <t>NORRTÄLJE</t>
        </is>
      </c>
      <c r="F57" t="inlineStr">
        <is>
          <t>Kommuner</t>
        </is>
      </c>
      <c r="G57" t="n">
        <v>6.2</v>
      </c>
      <c r="H57" t="n">
        <v>3</v>
      </c>
      <c r="I57" t="n">
        <v>3</v>
      </c>
      <c r="J57" t="n">
        <v>1</v>
      </c>
      <c r="K57" t="n">
        <v>1</v>
      </c>
      <c r="L57" t="n">
        <v>0</v>
      </c>
      <c r="M57" t="n">
        <v>0</v>
      </c>
      <c r="N57" t="n">
        <v>0</v>
      </c>
      <c r="O57" t="n">
        <v>2</v>
      </c>
      <c r="P57" t="n">
        <v>1</v>
      </c>
      <c r="Q57" t="n">
        <v>6</v>
      </c>
      <c r="R57" s="2" t="inlineStr">
        <is>
          <t>Violettfläckig spindling
Kråka
Nästrot
Svart trolldruva
Underviol
Blåsippa</t>
        </is>
      </c>
      <c r="S57">
        <f>HYPERLINK("https://klasma.github.io/Logging_0188/artfynd/A 20255-2019 artfynd.xlsx", "A 20255-2019")</f>
        <v/>
      </c>
      <c r="T57">
        <f>HYPERLINK("https://klasma.github.io/Logging_0188/kartor/A 20255-2019 karta.png", "A 20255-2019")</f>
        <v/>
      </c>
      <c r="V57">
        <f>HYPERLINK("https://klasma.github.io/Logging_0188/klagomål/A 20255-2019 FSC-klagomål.docx", "A 20255-2019")</f>
        <v/>
      </c>
      <c r="W57">
        <f>HYPERLINK("https://klasma.github.io/Logging_0188/klagomålsmail/A 20255-2019 FSC-klagomål mail.docx", "A 20255-2019")</f>
        <v/>
      </c>
      <c r="X57">
        <f>HYPERLINK("https://klasma.github.io/Logging_0188/tillsyn/A 20255-2019 tillsynsbegäran.docx", "A 20255-2019")</f>
        <v/>
      </c>
      <c r="Y57">
        <f>HYPERLINK("https://klasma.github.io/Logging_0188/tillsynsmail/A 20255-2019 tillsynsbegäran mail.docx", "A 20255-2019")</f>
        <v/>
      </c>
      <c r="Z57">
        <f>HYPERLINK("https://klasma.github.io/Logging_0188/fåglar/A 20255-2019 prioriterade fågelarter.docx", "A 20255-2019")</f>
        <v/>
      </c>
    </row>
    <row r="58" ht="15" customHeight="1">
      <c r="A58" t="inlineStr">
        <is>
          <t>A 59328-2019</t>
        </is>
      </c>
      <c r="B58" s="1" t="n">
        <v>43775</v>
      </c>
      <c r="C58" s="1" t="n">
        <v>45758</v>
      </c>
      <c r="D58" t="inlineStr">
        <is>
          <t>STOCKHOLMS LÄN</t>
        </is>
      </c>
      <c r="E58" t="inlineStr">
        <is>
          <t>NORRTÄLJE</t>
        </is>
      </c>
      <c r="G58" t="n">
        <v>1.2</v>
      </c>
      <c r="H58" t="n">
        <v>0</v>
      </c>
      <c r="I58" t="n">
        <v>3</v>
      </c>
      <c r="J58" t="n">
        <v>1</v>
      </c>
      <c r="K58" t="n">
        <v>2</v>
      </c>
      <c r="L58" t="n">
        <v>0</v>
      </c>
      <c r="M58" t="n">
        <v>0</v>
      </c>
      <c r="N58" t="n">
        <v>0</v>
      </c>
      <c r="O58" t="n">
        <v>3</v>
      </c>
      <c r="P58" t="n">
        <v>2</v>
      </c>
      <c r="Q58" t="n">
        <v>6</v>
      </c>
      <c r="R58" s="2" t="inlineStr">
        <is>
          <t>Koppartaggsvamp
Violgubbe
Orange taggsvamp
Blåmossa
Bronshjon
Kattfotslav</t>
        </is>
      </c>
      <c r="S58">
        <f>HYPERLINK("https://klasma.github.io/Logging_0188/artfynd/A 59328-2019 artfynd.xlsx", "A 59328-2019")</f>
        <v/>
      </c>
      <c r="T58">
        <f>HYPERLINK("https://klasma.github.io/Logging_0188/kartor/A 59328-2019 karta.png", "A 59328-2019")</f>
        <v/>
      </c>
      <c r="V58">
        <f>HYPERLINK("https://klasma.github.io/Logging_0188/klagomål/A 59328-2019 FSC-klagomål.docx", "A 59328-2019")</f>
        <v/>
      </c>
      <c r="W58">
        <f>HYPERLINK("https://klasma.github.io/Logging_0188/klagomålsmail/A 59328-2019 FSC-klagomål mail.docx", "A 59328-2019")</f>
        <v/>
      </c>
      <c r="X58">
        <f>HYPERLINK("https://klasma.github.io/Logging_0188/tillsyn/A 59328-2019 tillsynsbegäran.docx", "A 59328-2019")</f>
        <v/>
      </c>
      <c r="Y58">
        <f>HYPERLINK("https://klasma.github.io/Logging_0188/tillsynsmail/A 59328-2019 tillsynsbegäran mail.docx", "A 59328-2019")</f>
        <v/>
      </c>
    </row>
    <row r="59" ht="15" customHeight="1">
      <c r="A59" t="inlineStr">
        <is>
          <t>A 21729-2023</t>
        </is>
      </c>
      <c r="B59" s="1" t="n">
        <v>45063</v>
      </c>
      <c r="C59" s="1" t="n">
        <v>45758</v>
      </c>
      <c r="D59" t="inlineStr">
        <is>
          <t>STOCKHOLMS LÄN</t>
        </is>
      </c>
      <c r="E59" t="inlineStr">
        <is>
          <t>NORRTÄLJE</t>
        </is>
      </c>
      <c r="G59" t="n">
        <v>17.2</v>
      </c>
      <c r="H59" t="n">
        <v>1</v>
      </c>
      <c r="I59" t="n">
        <v>0</v>
      </c>
      <c r="J59" t="n">
        <v>5</v>
      </c>
      <c r="K59" t="n">
        <v>0</v>
      </c>
      <c r="L59" t="n">
        <v>0</v>
      </c>
      <c r="M59" t="n">
        <v>0</v>
      </c>
      <c r="N59" t="n">
        <v>0</v>
      </c>
      <c r="O59" t="n">
        <v>5</v>
      </c>
      <c r="P59" t="n">
        <v>0</v>
      </c>
      <c r="Q59" t="n">
        <v>6</v>
      </c>
      <c r="R59" s="2" t="inlineStr">
        <is>
          <t>Backklöver
Gullklöver
Klofibbla
Pilblad
Slåtterfibbla
Adam och eva</t>
        </is>
      </c>
      <c r="S59">
        <f>HYPERLINK("https://klasma.github.io/Logging_0188/artfynd/A 21729-2023 artfynd.xlsx", "A 21729-2023")</f>
        <v/>
      </c>
      <c r="T59">
        <f>HYPERLINK("https://klasma.github.io/Logging_0188/kartor/A 21729-2023 karta.png", "A 21729-2023")</f>
        <v/>
      </c>
      <c r="V59">
        <f>HYPERLINK("https://klasma.github.io/Logging_0188/klagomål/A 21729-2023 FSC-klagomål.docx", "A 21729-2023")</f>
        <v/>
      </c>
      <c r="W59">
        <f>HYPERLINK("https://klasma.github.io/Logging_0188/klagomålsmail/A 21729-2023 FSC-klagomål mail.docx", "A 21729-2023")</f>
        <v/>
      </c>
      <c r="X59">
        <f>HYPERLINK("https://klasma.github.io/Logging_0188/tillsyn/A 21729-2023 tillsynsbegäran.docx", "A 21729-2023")</f>
        <v/>
      </c>
      <c r="Y59">
        <f>HYPERLINK("https://klasma.github.io/Logging_0188/tillsynsmail/A 21729-2023 tillsynsbegäran mail.docx", "A 21729-2023")</f>
        <v/>
      </c>
    </row>
    <row r="60" ht="15" customHeight="1">
      <c r="A60" t="inlineStr">
        <is>
          <t>A 34394-2023</t>
        </is>
      </c>
      <c r="B60" s="1" t="n">
        <v>45139</v>
      </c>
      <c r="C60" s="1" t="n">
        <v>45758</v>
      </c>
      <c r="D60" t="inlineStr">
        <is>
          <t>STOCKHOLMS LÄN</t>
        </is>
      </c>
      <c r="E60" t="inlineStr">
        <is>
          <t>NORRTÄLJE</t>
        </is>
      </c>
      <c r="G60" t="n">
        <v>8.5</v>
      </c>
      <c r="H60" t="n">
        <v>1</v>
      </c>
      <c r="I60" t="n">
        <v>2</v>
      </c>
      <c r="J60" t="n">
        <v>3</v>
      </c>
      <c r="K60" t="n">
        <v>0</v>
      </c>
      <c r="L60" t="n">
        <v>0</v>
      </c>
      <c r="M60" t="n">
        <v>0</v>
      </c>
      <c r="N60" t="n">
        <v>0</v>
      </c>
      <c r="O60" t="n">
        <v>3</v>
      </c>
      <c r="P60" t="n">
        <v>0</v>
      </c>
      <c r="Q60" t="n">
        <v>6</v>
      </c>
      <c r="R60" s="2" t="inlineStr">
        <is>
          <t>Grantaggsvamp
Motaggsvamp
Orange taggsvamp
Granriska
Grönpyrola
Blåsippa</t>
        </is>
      </c>
      <c r="S60">
        <f>HYPERLINK("https://klasma.github.io/Logging_0188/artfynd/A 34394-2023 artfynd.xlsx", "A 34394-2023")</f>
        <v/>
      </c>
      <c r="T60">
        <f>HYPERLINK("https://klasma.github.io/Logging_0188/kartor/A 34394-2023 karta.png", "A 34394-2023")</f>
        <v/>
      </c>
      <c r="V60">
        <f>HYPERLINK("https://klasma.github.io/Logging_0188/klagomål/A 34394-2023 FSC-klagomål.docx", "A 34394-2023")</f>
        <v/>
      </c>
      <c r="W60">
        <f>HYPERLINK("https://klasma.github.io/Logging_0188/klagomålsmail/A 34394-2023 FSC-klagomål mail.docx", "A 34394-2023")</f>
        <v/>
      </c>
      <c r="X60">
        <f>HYPERLINK("https://klasma.github.io/Logging_0188/tillsyn/A 34394-2023 tillsynsbegäran.docx", "A 34394-2023")</f>
        <v/>
      </c>
      <c r="Y60">
        <f>HYPERLINK("https://klasma.github.io/Logging_0188/tillsynsmail/A 34394-2023 tillsynsbegäran mail.docx", "A 34394-2023")</f>
        <v/>
      </c>
    </row>
    <row r="61" ht="15" customHeight="1">
      <c r="A61" t="inlineStr">
        <is>
          <t>A 51476-2023</t>
        </is>
      </c>
      <c r="B61" s="1" t="n">
        <v>45221</v>
      </c>
      <c r="C61" s="1" t="n">
        <v>45758</v>
      </c>
      <c r="D61" t="inlineStr">
        <is>
          <t>STOCKHOLMS LÄN</t>
        </is>
      </c>
      <c r="E61" t="inlineStr">
        <is>
          <t>NORRTÄLJE</t>
        </is>
      </c>
      <c r="G61" t="n">
        <v>4.6</v>
      </c>
      <c r="H61" t="n">
        <v>3</v>
      </c>
      <c r="I61" t="n">
        <v>3</v>
      </c>
      <c r="J61" t="n">
        <v>1</v>
      </c>
      <c r="K61" t="n">
        <v>1</v>
      </c>
      <c r="L61" t="n">
        <v>0</v>
      </c>
      <c r="M61" t="n">
        <v>0</v>
      </c>
      <c r="N61" t="n">
        <v>0</v>
      </c>
      <c r="O61" t="n">
        <v>2</v>
      </c>
      <c r="P61" t="n">
        <v>1</v>
      </c>
      <c r="Q61" t="n">
        <v>6</v>
      </c>
      <c r="R61" s="2" t="inlineStr">
        <is>
          <t>Knärot
Spillkråka
Grönpyrola
Rödgul trumpetsvamp
Vågbandad barkbock
Kungsfågel</t>
        </is>
      </c>
      <c r="S61">
        <f>HYPERLINK("https://klasma.github.io/Logging_0188/artfynd/A 51476-2023 artfynd.xlsx", "A 51476-2023")</f>
        <v/>
      </c>
      <c r="T61">
        <f>HYPERLINK("https://klasma.github.io/Logging_0188/kartor/A 51476-2023 karta.png", "A 51476-2023")</f>
        <v/>
      </c>
      <c r="U61">
        <f>HYPERLINK("https://klasma.github.io/Logging_0188/knärot/A 51476-2023 karta knärot.png", "A 51476-2023")</f>
        <v/>
      </c>
      <c r="V61">
        <f>HYPERLINK("https://klasma.github.io/Logging_0188/klagomål/A 51476-2023 FSC-klagomål.docx", "A 51476-2023")</f>
        <v/>
      </c>
      <c r="W61">
        <f>HYPERLINK("https://klasma.github.io/Logging_0188/klagomålsmail/A 51476-2023 FSC-klagomål mail.docx", "A 51476-2023")</f>
        <v/>
      </c>
      <c r="X61">
        <f>HYPERLINK("https://klasma.github.io/Logging_0188/tillsyn/A 51476-2023 tillsynsbegäran.docx", "A 51476-2023")</f>
        <v/>
      </c>
      <c r="Y61">
        <f>HYPERLINK("https://klasma.github.io/Logging_0188/tillsynsmail/A 51476-2023 tillsynsbegäran mail.docx", "A 51476-2023")</f>
        <v/>
      </c>
      <c r="Z61">
        <f>HYPERLINK("https://klasma.github.io/Logging_0188/fåglar/A 51476-2023 prioriterade fågelarter.docx", "A 51476-2023")</f>
        <v/>
      </c>
    </row>
    <row r="62" ht="15" customHeight="1">
      <c r="A62" t="inlineStr">
        <is>
          <t>A 56792-2024</t>
        </is>
      </c>
      <c r="B62" s="1" t="n">
        <v>45628</v>
      </c>
      <c r="C62" s="1" t="n">
        <v>45758</v>
      </c>
      <c r="D62" t="inlineStr">
        <is>
          <t>STOCKHOLMS LÄN</t>
        </is>
      </c>
      <c r="E62" t="inlineStr">
        <is>
          <t>NORRTÄLJE</t>
        </is>
      </c>
      <c r="G62" t="n">
        <v>9.699999999999999</v>
      </c>
      <c r="H62" t="n">
        <v>4</v>
      </c>
      <c r="I62" t="n">
        <v>1</v>
      </c>
      <c r="J62" t="n">
        <v>2</v>
      </c>
      <c r="K62" t="n">
        <v>0</v>
      </c>
      <c r="L62" t="n">
        <v>0</v>
      </c>
      <c r="M62" t="n">
        <v>0</v>
      </c>
      <c r="N62" t="n">
        <v>0</v>
      </c>
      <c r="O62" t="n">
        <v>2</v>
      </c>
      <c r="P62" t="n">
        <v>0</v>
      </c>
      <c r="Q62" t="n">
        <v>6</v>
      </c>
      <c r="R62" s="2" t="inlineStr">
        <is>
          <t>Fyrflikig jordstjärna
Kandelabersvamp
Nästrot
Tjäder
Blåsippa
Revlummer</t>
        </is>
      </c>
      <c r="S62">
        <f>HYPERLINK("https://klasma.github.io/Logging_0188/artfynd/A 56792-2024 artfynd.xlsx", "A 56792-2024")</f>
        <v/>
      </c>
      <c r="T62">
        <f>HYPERLINK("https://klasma.github.io/Logging_0188/kartor/A 56792-2024 karta.png", "A 56792-2024")</f>
        <v/>
      </c>
      <c r="V62">
        <f>HYPERLINK("https://klasma.github.io/Logging_0188/klagomål/A 56792-2024 FSC-klagomål.docx", "A 56792-2024")</f>
        <v/>
      </c>
      <c r="W62">
        <f>HYPERLINK("https://klasma.github.io/Logging_0188/klagomålsmail/A 56792-2024 FSC-klagomål mail.docx", "A 56792-2024")</f>
        <v/>
      </c>
      <c r="X62">
        <f>HYPERLINK("https://klasma.github.io/Logging_0188/tillsyn/A 56792-2024 tillsynsbegäran.docx", "A 56792-2024")</f>
        <v/>
      </c>
      <c r="Y62">
        <f>HYPERLINK("https://klasma.github.io/Logging_0188/tillsynsmail/A 56792-2024 tillsynsbegäran mail.docx", "A 56792-2024")</f>
        <v/>
      </c>
      <c r="Z62">
        <f>HYPERLINK("https://klasma.github.io/Logging_0188/fåglar/A 56792-2024 prioriterade fågelarter.docx", "A 56792-2024")</f>
        <v/>
      </c>
    </row>
    <row r="63" ht="15" customHeight="1">
      <c r="A63" t="inlineStr">
        <is>
          <t>A 45469-2019</t>
        </is>
      </c>
      <c r="B63" s="1" t="n">
        <v>43714</v>
      </c>
      <c r="C63" s="1" t="n">
        <v>45758</v>
      </c>
      <c r="D63" t="inlineStr">
        <is>
          <t>STOCKHOLMS LÄN</t>
        </is>
      </c>
      <c r="E63" t="inlineStr">
        <is>
          <t>NORRTÄLJE</t>
        </is>
      </c>
      <c r="F63" t="inlineStr">
        <is>
          <t>Övriga statliga verk och myndigheter</t>
        </is>
      </c>
      <c r="G63" t="n">
        <v>10.6</v>
      </c>
      <c r="H63" t="n">
        <v>2</v>
      </c>
      <c r="I63" t="n">
        <v>3</v>
      </c>
      <c r="J63" t="n">
        <v>0</v>
      </c>
      <c r="K63" t="n">
        <v>0</v>
      </c>
      <c r="L63" t="n">
        <v>1</v>
      </c>
      <c r="M63" t="n">
        <v>0</v>
      </c>
      <c r="N63" t="n">
        <v>0</v>
      </c>
      <c r="O63" t="n">
        <v>1</v>
      </c>
      <c r="P63" t="n">
        <v>1</v>
      </c>
      <c r="Q63" t="n">
        <v>5</v>
      </c>
      <c r="R63" s="2" t="inlineStr">
        <is>
          <t>Ask
Hasselticka
Sårläka
Tvåblad
Blåsippa</t>
        </is>
      </c>
      <c r="S63">
        <f>HYPERLINK("https://klasma.github.io/Logging_0188/artfynd/A 45469-2019 artfynd.xlsx", "A 45469-2019")</f>
        <v/>
      </c>
      <c r="T63">
        <f>HYPERLINK("https://klasma.github.io/Logging_0188/kartor/A 45469-2019 karta.png", "A 45469-2019")</f>
        <v/>
      </c>
      <c r="V63">
        <f>HYPERLINK("https://klasma.github.io/Logging_0188/klagomål/A 45469-2019 FSC-klagomål.docx", "A 45469-2019")</f>
        <v/>
      </c>
      <c r="W63">
        <f>HYPERLINK("https://klasma.github.io/Logging_0188/klagomålsmail/A 45469-2019 FSC-klagomål mail.docx", "A 45469-2019")</f>
        <v/>
      </c>
      <c r="X63">
        <f>HYPERLINK("https://klasma.github.io/Logging_0188/tillsyn/A 45469-2019 tillsynsbegäran.docx", "A 45469-2019")</f>
        <v/>
      </c>
      <c r="Y63">
        <f>HYPERLINK("https://klasma.github.io/Logging_0188/tillsynsmail/A 45469-2019 tillsynsbegäran mail.docx", "A 45469-2019")</f>
        <v/>
      </c>
    </row>
    <row r="64" ht="15" customHeight="1">
      <c r="A64" t="inlineStr">
        <is>
          <t>A 42457-2020</t>
        </is>
      </c>
      <c r="B64" s="1" t="n">
        <v>44076</v>
      </c>
      <c r="C64" s="1" t="n">
        <v>45758</v>
      </c>
      <c r="D64" t="inlineStr">
        <is>
          <t>STOCKHOLMS LÄN</t>
        </is>
      </c>
      <c r="E64" t="inlineStr">
        <is>
          <t>NORRTÄLJE</t>
        </is>
      </c>
      <c r="F64" t="inlineStr">
        <is>
          <t>Kommuner</t>
        </is>
      </c>
      <c r="G64" t="n">
        <v>3.1</v>
      </c>
      <c r="H64" t="n">
        <v>2</v>
      </c>
      <c r="I64" t="n">
        <v>3</v>
      </c>
      <c r="J64" t="n">
        <v>1</v>
      </c>
      <c r="K64" t="n">
        <v>0</v>
      </c>
      <c r="L64" t="n">
        <v>0</v>
      </c>
      <c r="M64" t="n">
        <v>0</v>
      </c>
      <c r="N64" t="n">
        <v>0</v>
      </c>
      <c r="O64" t="n">
        <v>1</v>
      </c>
      <c r="P64" t="n">
        <v>0</v>
      </c>
      <c r="Q64" t="n">
        <v>5</v>
      </c>
      <c r="R64" s="2" t="inlineStr">
        <is>
          <t>Spillkråka
Granbräken
Jättesvampmal
Thomsons trägnagare
Blåsippa</t>
        </is>
      </c>
      <c r="S64">
        <f>HYPERLINK("https://klasma.github.io/Logging_0188/artfynd/A 42457-2020 artfynd.xlsx", "A 42457-2020")</f>
        <v/>
      </c>
      <c r="T64">
        <f>HYPERLINK("https://klasma.github.io/Logging_0188/kartor/A 42457-2020 karta.png", "A 42457-2020")</f>
        <v/>
      </c>
      <c r="V64">
        <f>HYPERLINK("https://klasma.github.io/Logging_0188/klagomål/A 42457-2020 FSC-klagomål.docx", "A 42457-2020")</f>
        <v/>
      </c>
      <c r="W64">
        <f>HYPERLINK("https://klasma.github.io/Logging_0188/klagomålsmail/A 42457-2020 FSC-klagomål mail.docx", "A 42457-2020")</f>
        <v/>
      </c>
      <c r="X64">
        <f>HYPERLINK("https://klasma.github.io/Logging_0188/tillsyn/A 42457-2020 tillsynsbegäran.docx", "A 42457-2020")</f>
        <v/>
      </c>
      <c r="Y64">
        <f>HYPERLINK("https://klasma.github.io/Logging_0188/tillsynsmail/A 42457-2020 tillsynsbegäran mail.docx", "A 42457-2020")</f>
        <v/>
      </c>
      <c r="Z64">
        <f>HYPERLINK("https://klasma.github.io/Logging_0188/fåglar/A 42457-2020 prioriterade fågelarter.docx", "A 42457-2020")</f>
        <v/>
      </c>
    </row>
    <row r="65" ht="15" customHeight="1">
      <c r="A65" t="inlineStr">
        <is>
          <t>A 72111-2021</t>
        </is>
      </c>
      <c r="B65" s="1" t="n">
        <v>44544</v>
      </c>
      <c r="C65" s="1" t="n">
        <v>45758</v>
      </c>
      <c r="D65" t="inlineStr">
        <is>
          <t>STOCKHOLMS LÄN</t>
        </is>
      </c>
      <c r="E65" t="inlineStr">
        <is>
          <t>NORRTÄLJE</t>
        </is>
      </c>
      <c r="G65" t="n">
        <v>5.1</v>
      </c>
      <c r="H65" t="n">
        <v>1</v>
      </c>
      <c r="I65" t="n">
        <v>3</v>
      </c>
      <c r="J65" t="n">
        <v>1</v>
      </c>
      <c r="K65" t="n">
        <v>0</v>
      </c>
      <c r="L65" t="n">
        <v>0</v>
      </c>
      <c r="M65" t="n">
        <v>0</v>
      </c>
      <c r="N65" t="n">
        <v>0</v>
      </c>
      <c r="O65" t="n">
        <v>1</v>
      </c>
      <c r="P65" t="n">
        <v>0</v>
      </c>
      <c r="Q65" t="n">
        <v>5</v>
      </c>
      <c r="R65" s="2" t="inlineStr">
        <is>
          <t>Lunglav
Scharlakansvårskål agg.
Sårläka
Vårärt
Blåsippa</t>
        </is>
      </c>
      <c r="S65">
        <f>HYPERLINK("https://klasma.github.io/Logging_0188/artfynd/A 72111-2021 artfynd.xlsx", "A 72111-2021")</f>
        <v/>
      </c>
      <c r="T65">
        <f>HYPERLINK("https://klasma.github.io/Logging_0188/kartor/A 72111-2021 karta.png", "A 72111-2021")</f>
        <v/>
      </c>
      <c r="V65">
        <f>HYPERLINK("https://klasma.github.io/Logging_0188/klagomål/A 72111-2021 FSC-klagomål.docx", "A 72111-2021")</f>
        <v/>
      </c>
      <c r="W65">
        <f>HYPERLINK("https://klasma.github.io/Logging_0188/klagomålsmail/A 72111-2021 FSC-klagomål mail.docx", "A 72111-2021")</f>
        <v/>
      </c>
      <c r="X65">
        <f>HYPERLINK("https://klasma.github.io/Logging_0188/tillsyn/A 72111-2021 tillsynsbegäran.docx", "A 72111-2021")</f>
        <v/>
      </c>
      <c r="Y65">
        <f>HYPERLINK("https://klasma.github.io/Logging_0188/tillsynsmail/A 72111-2021 tillsynsbegäran mail.docx", "A 72111-2021")</f>
        <v/>
      </c>
    </row>
    <row r="66" ht="15" customHeight="1">
      <c r="A66" t="inlineStr">
        <is>
          <t>A 21922-2023</t>
        </is>
      </c>
      <c r="B66" s="1" t="n">
        <v>45068</v>
      </c>
      <c r="C66" s="1" t="n">
        <v>45758</v>
      </c>
      <c r="D66" t="inlineStr">
        <is>
          <t>STOCKHOLMS LÄN</t>
        </is>
      </c>
      <c r="E66" t="inlineStr">
        <is>
          <t>NORRTÄLJE</t>
        </is>
      </c>
      <c r="G66" t="n">
        <v>4.9</v>
      </c>
      <c r="H66" t="n">
        <v>2</v>
      </c>
      <c r="I66" t="n">
        <v>2</v>
      </c>
      <c r="J66" t="n">
        <v>1</v>
      </c>
      <c r="K66" t="n">
        <v>0</v>
      </c>
      <c r="L66" t="n">
        <v>0</v>
      </c>
      <c r="M66" t="n">
        <v>0</v>
      </c>
      <c r="N66" t="n">
        <v>0</v>
      </c>
      <c r="O66" t="n">
        <v>1</v>
      </c>
      <c r="P66" t="n">
        <v>0</v>
      </c>
      <c r="Q66" t="n">
        <v>5</v>
      </c>
      <c r="R66" s="2" t="inlineStr">
        <is>
          <t>Asppraktbagge
Stor aspticka
Svavelriska
Blåsippa
Gullviva</t>
        </is>
      </c>
      <c r="S66">
        <f>HYPERLINK("https://klasma.github.io/Logging_0188/artfynd/A 21922-2023 artfynd.xlsx", "A 21922-2023")</f>
        <v/>
      </c>
      <c r="T66">
        <f>HYPERLINK("https://klasma.github.io/Logging_0188/kartor/A 21922-2023 karta.png", "A 21922-2023")</f>
        <v/>
      </c>
      <c r="V66">
        <f>HYPERLINK("https://klasma.github.io/Logging_0188/klagomål/A 21922-2023 FSC-klagomål.docx", "A 21922-2023")</f>
        <v/>
      </c>
      <c r="W66">
        <f>HYPERLINK("https://klasma.github.io/Logging_0188/klagomålsmail/A 21922-2023 FSC-klagomål mail.docx", "A 21922-2023")</f>
        <v/>
      </c>
      <c r="X66">
        <f>HYPERLINK("https://klasma.github.io/Logging_0188/tillsyn/A 21922-2023 tillsynsbegäran.docx", "A 21922-2023")</f>
        <v/>
      </c>
      <c r="Y66">
        <f>HYPERLINK("https://klasma.github.io/Logging_0188/tillsynsmail/A 21922-2023 tillsynsbegäran mail.docx", "A 21922-2023")</f>
        <v/>
      </c>
    </row>
    <row r="67" ht="15" customHeight="1">
      <c r="A67" t="inlineStr">
        <is>
          <t>A 21927-2023</t>
        </is>
      </c>
      <c r="B67" s="1" t="n">
        <v>45068</v>
      </c>
      <c r="C67" s="1" t="n">
        <v>45758</v>
      </c>
      <c r="D67" t="inlineStr">
        <is>
          <t>STOCKHOLMS LÄN</t>
        </is>
      </c>
      <c r="E67" t="inlineStr">
        <is>
          <t>NORRTÄLJE</t>
        </is>
      </c>
      <c r="G67" t="n">
        <v>1.4</v>
      </c>
      <c r="H67" t="n">
        <v>4</v>
      </c>
      <c r="I67" t="n">
        <v>2</v>
      </c>
      <c r="J67" t="n">
        <v>1</v>
      </c>
      <c r="K67" t="n">
        <v>0</v>
      </c>
      <c r="L67" t="n">
        <v>0</v>
      </c>
      <c r="M67" t="n">
        <v>0</v>
      </c>
      <c r="N67" t="n">
        <v>0</v>
      </c>
      <c r="O67" t="n">
        <v>1</v>
      </c>
      <c r="P67" t="n">
        <v>0</v>
      </c>
      <c r="Q67" t="n">
        <v>5</v>
      </c>
      <c r="R67" s="2" t="inlineStr">
        <is>
          <t>Slåtterfibbla
Skogsknipprot
Tvåblad
Blåsippa
Gullviva</t>
        </is>
      </c>
      <c r="S67">
        <f>HYPERLINK("https://klasma.github.io/Logging_0188/artfynd/A 21927-2023 artfynd.xlsx", "A 21927-2023")</f>
        <v/>
      </c>
      <c r="T67">
        <f>HYPERLINK("https://klasma.github.io/Logging_0188/kartor/A 21927-2023 karta.png", "A 21927-2023")</f>
        <v/>
      </c>
      <c r="V67">
        <f>HYPERLINK("https://klasma.github.io/Logging_0188/klagomål/A 21927-2023 FSC-klagomål.docx", "A 21927-2023")</f>
        <v/>
      </c>
      <c r="W67">
        <f>HYPERLINK("https://klasma.github.io/Logging_0188/klagomålsmail/A 21927-2023 FSC-klagomål mail.docx", "A 21927-2023")</f>
        <v/>
      </c>
      <c r="X67">
        <f>HYPERLINK("https://klasma.github.io/Logging_0188/tillsyn/A 21927-2023 tillsynsbegäran.docx", "A 21927-2023")</f>
        <v/>
      </c>
      <c r="Y67">
        <f>HYPERLINK("https://klasma.github.io/Logging_0188/tillsynsmail/A 21927-2023 tillsynsbegäran mail.docx", "A 21927-2023")</f>
        <v/>
      </c>
    </row>
    <row r="68" ht="15" customHeight="1">
      <c r="A68" t="inlineStr">
        <is>
          <t>A 28298-2024</t>
        </is>
      </c>
      <c r="B68" s="1" t="n">
        <v>45477</v>
      </c>
      <c r="C68" s="1" t="n">
        <v>45758</v>
      </c>
      <c r="D68" t="inlineStr">
        <is>
          <t>STOCKHOLMS LÄN</t>
        </is>
      </c>
      <c r="E68" t="inlineStr">
        <is>
          <t>NORRTÄLJE</t>
        </is>
      </c>
      <c r="G68" t="n">
        <v>4.4</v>
      </c>
      <c r="H68" t="n">
        <v>3</v>
      </c>
      <c r="I68" t="n">
        <v>1</v>
      </c>
      <c r="J68" t="n">
        <v>1</v>
      </c>
      <c r="K68" t="n">
        <v>1</v>
      </c>
      <c r="L68" t="n">
        <v>0</v>
      </c>
      <c r="M68" t="n">
        <v>0</v>
      </c>
      <c r="N68" t="n">
        <v>0</v>
      </c>
      <c r="O68" t="n">
        <v>2</v>
      </c>
      <c r="P68" t="n">
        <v>1</v>
      </c>
      <c r="Q68" t="n">
        <v>5</v>
      </c>
      <c r="R68" s="2" t="inlineStr">
        <is>
          <t>Tallbit
Mindre bastardsvärmare
Vätteros
Adam och eva
Gullviva</t>
        </is>
      </c>
      <c r="S68">
        <f>HYPERLINK("https://klasma.github.io/Logging_0188/artfynd/A 28298-2024 artfynd.xlsx", "A 28298-2024")</f>
        <v/>
      </c>
      <c r="T68">
        <f>HYPERLINK("https://klasma.github.io/Logging_0188/kartor/A 28298-2024 karta.png", "A 28298-2024")</f>
        <v/>
      </c>
      <c r="V68">
        <f>HYPERLINK("https://klasma.github.io/Logging_0188/klagomål/A 28298-2024 FSC-klagomål.docx", "A 28298-2024")</f>
        <v/>
      </c>
      <c r="W68">
        <f>HYPERLINK("https://klasma.github.io/Logging_0188/klagomålsmail/A 28298-2024 FSC-klagomål mail.docx", "A 28298-2024")</f>
        <v/>
      </c>
      <c r="X68">
        <f>HYPERLINK("https://klasma.github.io/Logging_0188/tillsyn/A 28298-2024 tillsynsbegäran.docx", "A 28298-2024")</f>
        <v/>
      </c>
      <c r="Y68">
        <f>HYPERLINK("https://klasma.github.io/Logging_0188/tillsynsmail/A 28298-2024 tillsynsbegäran mail.docx", "A 28298-2024")</f>
        <v/>
      </c>
      <c r="Z68">
        <f>HYPERLINK("https://klasma.github.io/Logging_0188/fåglar/A 28298-2024 prioriterade fågelarter.docx", "A 28298-2024")</f>
        <v/>
      </c>
    </row>
    <row r="69" ht="15" customHeight="1">
      <c r="A69" t="inlineStr">
        <is>
          <t>A 46807-2024</t>
        </is>
      </c>
      <c r="B69" s="1" t="n">
        <v>45583</v>
      </c>
      <c r="C69" s="1" t="n">
        <v>45758</v>
      </c>
      <c r="D69" t="inlineStr">
        <is>
          <t>STOCKHOLMS LÄN</t>
        </is>
      </c>
      <c r="E69" t="inlineStr">
        <is>
          <t>NORRTÄLJE</t>
        </is>
      </c>
      <c r="G69" t="n">
        <v>6.5</v>
      </c>
      <c r="H69" t="n">
        <v>2</v>
      </c>
      <c r="I69" t="n">
        <v>2</v>
      </c>
      <c r="J69" t="n">
        <v>2</v>
      </c>
      <c r="K69" t="n">
        <v>0</v>
      </c>
      <c r="L69" t="n">
        <v>0</v>
      </c>
      <c r="M69" t="n">
        <v>0</v>
      </c>
      <c r="N69" t="n">
        <v>0</v>
      </c>
      <c r="O69" t="n">
        <v>2</v>
      </c>
      <c r="P69" t="n">
        <v>0</v>
      </c>
      <c r="Q69" t="n">
        <v>5</v>
      </c>
      <c r="R69" s="2" t="inlineStr">
        <is>
          <t>Loppstarr
Talltita
Rödgul trumpetsvamp
Zontaggsvamp
Blåsippa</t>
        </is>
      </c>
      <c r="S69">
        <f>HYPERLINK("https://klasma.github.io/Logging_0188/artfynd/A 46807-2024 artfynd.xlsx", "A 46807-2024")</f>
        <v/>
      </c>
      <c r="T69">
        <f>HYPERLINK("https://klasma.github.io/Logging_0188/kartor/A 46807-2024 karta.png", "A 46807-2024")</f>
        <v/>
      </c>
      <c r="V69">
        <f>HYPERLINK("https://klasma.github.io/Logging_0188/klagomål/A 46807-2024 FSC-klagomål.docx", "A 46807-2024")</f>
        <v/>
      </c>
      <c r="W69">
        <f>HYPERLINK("https://klasma.github.io/Logging_0188/klagomålsmail/A 46807-2024 FSC-klagomål mail.docx", "A 46807-2024")</f>
        <v/>
      </c>
      <c r="X69">
        <f>HYPERLINK("https://klasma.github.io/Logging_0188/tillsyn/A 46807-2024 tillsynsbegäran.docx", "A 46807-2024")</f>
        <v/>
      </c>
      <c r="Y69">
        <f>HYPERLINK("https://klasma.github.io/Logging_0188/tillsynsmail/A 46807-2024 tillsynsbegäran mail.docx", "A 46807-2024")</f>
        <v/>
      </c>
      <c r="Z69">
        <f>HYPERLINK("https://klasma.github.io/Logging_0188/fåglar/A 46807-2024 prioriterade fågelarter.docx", "A 46807-2024")</f>
        <v/>
      </c>
    </row>
    <row r="70" ht="15" customHeight="1">
      <c r="A70" t="inlineStr">
        <is>
          <t>A 25507-2019</t>
        </is>
      </c>
      <c r="B70" s="1" t="n">
        <v>43606</v>
      </c>
      <c r="C70" s="1" t="n">
        <v>45758</v>
      </c>
      <c r="D70" t="inlineStr">
        <is>
          <t>STOCKHOLMS LÄN</t>
        </is>
      </c>
      <c r="E70" t="inlineStr">
        <is>
          <t>NORRTÄLJE</t>
        </is>
      </c>
      <c r="G70" t="n">
        <v>3.1</v>
      </c>
      <c r="H70" t="n">
        <v>1</v>
      </c>
      <c r="I70" t="n">
        <v>2</v>
      </c>
      <c r="J70" t="n">
        <v>0</v>
      </c>
      <c r="K70" t="n">
        <v>0</v>
      </c>
      <c r="L70" t="n">
        <v>1</v>
      </c>
      <c r="M70" t="n">
        <v>0</v>
      </c>
      <c r="N70" t="n">
        <v>0</v>
      </c>
      <c r="O70" t="n">
        <v>1</v>
      </c>
      <c r="P70" t="n">
        <v>1</v>
      </c>
      <c r="Q70" t="n">
        <v>4</v>
      </c>
      <c r="R70" s="2" t="inlineStr">
        <is>
          <t>Ask
Tibast
Vårärt
Blåsippa</t>
        </is>
      </c>
      <c r="S70">
        <f>HYPERLINK("https://klasma.github.io/Logging_0188/artfynd/A 25507-2019 artfynd.xlsx", "A 25507-2019")</f>
        <v/>
      </c>
      <c r="T70">
        <f>HYPERLINK("https://klasma.github.io/Logging_0188/kartor/A 25507-2019 karta.png", "A 25507-2019")</f>
        <v/>
      </c>
      <c r="V70">
        <f>HYPERLINK("https://klasma.github.io/Logging_0188/klagomål/A 25507-2019 FSC-klagomål.docx", "A 25507-2019")</f>
        <v/>
      </c>
      <c r="W70">
        <f>HYPERLINK("https://klasma.github.io/Logging_0188/klagomålsmail/A 25507-2019 FSC-klagomål mail.docx", "A 25507-2019")</f>
        <v/>
      </c>
      <c r="X70">
        <f>HYPERLINK("https://klasma.github.io/Logging_0188/tillsyn/A 25507-2019 tillsynsbegäran.docx", "A 25507-2019")</f>
        <v/>
      </c>
      <c r="Y70">
        <f>HYPERLINK("https://klasma.github.io/Logging_0188/tillsynsmail/A 25507-2019 tillsynsbegäran mail.docx", "A 25507-2019")</f>
        <v/>
      </c>
    </row>
    <row r="71" ht="15" customHeight="1">
      <c r="A71" t="inlineStr">
        <is>
          <t>A 28408-2019</t>
        </is>
      </c>
      <c r="B71" s="1" t="n">
        <v>43626</v>
      </c>
      <c r="C71" s="1" t="n">
        <v>45758</v>
      </c>
      <c r="D71" t="inlineStr">
        <is>
          <t>STOCKHOLMS LÄN</t>
        </is>
      </c>
      <c r="E71" t="inlineStr">
        <is>
          <t>NORRTÄLJE</t>
        </is>
      </c>
      <c r="G71" t="n">
        <v>1.1</v>
      </c>
      <c r="H71" t="n">
        <v>2</v>
      </c>
      <c r="I71" t="n">
        <v>2</v>
      </c>
      <c r="J71" t="n">
        <v>1</v>
      </c>
      <c r="K71" t="n">
        <v>1</v>
      </c>
      <c r="L71" t="n">
        <v>0</v>
      </c>
      <c r="M71" t="n">
        <v>0</v>
      </c>
      <c r="N71" t="n">
        <v>0</v>
      </c>
      <c r="O71" t="n">
        <v>2</v>
      </c>
      <c r="P71" t="n">
        <v>1</v>
      </c>
      <c r="Q71" t="n">
        <v>4</v>
      </c>
      <c r="R71" s="2" t="inlineStr">
        <is>
          <t>Knärot
Granticka
Grönpyrola
Nästrot</t>
        </is>
      </c>
      <c r="S71">
        <f>HYPERLINK("https://klasma.github.io/Logging_0188/artfynd/A 28408-2019 artfynd.xlsx", "A 28408-2019")</f>
        <v/>
      </c>
      <c r="T71">
        <f>HYPERLINK("https://klasma.github.io/Logging_0188/kartor/A 28408-2019 karta.png", "A 28408-2019")</f>
        <v/>
      </c>
      <c r="U71">
        <f>HYPERLINK("https://klasma.github.io/Logging_0188/knärot/A 28408-2019 karta knärot.png", "A 28408-2019")</f>
        <v/>
      </c>
      <c r="V71">
        <f>HYPERLINK("https://klasma.github.io/Logging_0188/klagomål/A 28408-2019 FSC-klagomål.docx", "A 28408-2019")</f>
        <v/>
      </c>
      <c r="W71">
        <f>HYPERLINK("https://klasma.github.io/Logging_0188/klagomålsmail/A 28408-2019 FSC-klagomål mail.docx", "A 28408-2019")</f>
        <v/>
      </c>
      <c r="X71">
        <f>HYPERLINK("https://klasma.github.io/Logging_0188/tillsyn/A 28408-2019 tillsynsbegäran.docx", "A 28408-2019")</f>
        <v/>
      </c>
      <c r="Y71">
        <f>HYPERLINK("https://klasma.github.io/Logging_0188/tillsynsmail/A 28408-2019 tillsynsbegäran mail.docx", "A 28408-2019")</f>
        <v/>
      </c>
    </row>
    <row r="72" ht="15" customHeight="1">
      <c r="A72" t="inlineStr">
        <is>
          <t>A 2803-2020</t>
        </is>
      </c>
      <c r="B72" s="1" t="n">
        <v>43850</v>
      </c>
      <c r="C72" s="1" t="n">
        <v>45758</v>
      </c>
      <c r="D72" t="inlineStr">
        <is>
          <t>STOCKHOLMS LÄN</t>
        </is>
      </c>
      <c r="E72" t="inlineStr">
        <is>
          <t>NORRTÄLJE</t>
        </is>
      </c>
      <c r="G72" t="n">
        <v>1.2</v>
      </c>
      <c r="H72" t="n">
        <v>2</v>
      </c>
      <c r="I72" t="n">
        <v>2</v>
      </c>
      <c r="J72" t="n">
        <v>0</v>
      </c>
      <c r="K72" t="n">
        <v>1</v>
      </c>
      <c r="L72" t="n">
        <v>0</v>
      </c>
      <c r="M72" t="n">
        <v>0</v>
      </c>
      <c r="N72" t="n">
        <v>0</v>
      </c>
      <c r="O72" t="n">
        <v>1</v>
      </c>
      <c r="P72" t="n">
        <v>1</v>
      </c>
      <c r="Q72" t="n">
        <v>4</v>
      </c>
      <c r="R72" s="2" t="inlineStr">
        <is>
          <t>Knärot
Brandticka
Tibast
Tjäder</t>
        </is>
      </c>
      <c r="S72">
        <f>HYPERLINK("https://klasma.github.io/Logging_0188/artfynd/A 2803-2020 artfynd.xlsx", "A 2803-2020")</f>
        <v/>
      </c>
      <c r="T72">
        <f>HYPERLINK("https://klasma.github.io/Logging_0188/kartor/A 2803-2020 karta.png", "A 2803-2020")</f>
        <v/>
      </c>
      <c r="U72">
        <f>HYPERLINK("https://klasma.github.io/Logging_0188/knärot/A 2803-2020 karta knärot.png", "A 2803-2020")</f>
        <v/>
      </c>
      <c r="V72">
        <f>HYPERLINK("https://klasma.github.io/Logging_0188/klagomål/A 2803-2020 FSC-klagomål.docx", "A 2803-2020")</f>
        <v/>
      </c>
      <c r="W72">
        <f>HYPERLINK("https://klasma.github.io/Logging_0188/klagomålsmail/A 2803-2020 FSC-klagomål mail.docx", "A 2803-2020")</f>
        <v/>
      </c>
      <c r="X72">
        <f>HYPERLINK("https://klasma.github.io/Logging_0188/tillsyn/A 2803-2020 tillsynsbegäran.docx", "A 2803-2020")</f>
        <v/>
      </c>
      <c r="Y72">
        <f>HYPERLINK("https://klasma.github.io/Logging_0188/tillsynsmail/A 2803-2020 tillsynsbegäran mail.docx", "A 2803-2020")</f>
        <v/>
      </c>
      <c r="Z72">
        <f>HYPERLINK("https://klasma.github.io/Logging_0188/fåglar/A 2803-2020 prioriterade fågelarter.docx", "A 2803-2020")</f>
        <v/>
      </c>
    </row>
    <row r="73" ht="15" customHeight="1">
      <c r="A73" t="inlineStr">
        <is>
          <t>A 5732-2020</t>
        </is>
      </c>
      <c r="B73" s="1" t="n">
        <v>43863</v>
      </c>
      <c r="C73" s="1" t="n">
        <v>45758</v>
      </c>
      <c r="D73" t="inlineStr">
        <is>
          <t>STOCKHOLMS LÄN</t>
        </is>
      </c>
      <c r="E73" t="inlineStr">
        <is>
          <t>NORRTÄLJE</t>
        </is>
      </c>
      <c r="G73" t="n">
        <v>1.8</v>
      </c>
      <c r="H73" t="n">
        <v>0</v>
      </c>
      <c r="I73" t="n">
        <v>2</v>
      </c>
      <c r="J73" t="n">
        <v>2</v>
      </c>
      <c r="K73" t="n">
        <v>0</v>
      </c>
      <c r="L73" t="n">
        <v>0</v>
      </c>
      <c r="M73" t="n">
        <v>0</v>
      </c>
      <c r="N73" t="n">
        <v>0</v>
      </c>
      <c r="O73" t="n">
        <v>2</v>
      </c>
      <c r="P73" t="n">
        <v>0</v>
      </c>
      <c r="Q73" t="n">
        <v>4</v>
      </c>
      <c r="R73" s="2" t="inlineStr">
        <is>
          <t>Svart taggsvamp
Äggspindling
Kryddspindling
Strimspindling</t>
        </is>
      </c>
      <c r="S73">
        <f>HYPERLINK("https://klasma.github.io/Logging_0188/artfynd/A 5732-2020 artfynd.xlsx", "A 5732-2020")</f>
        <v/>
      </c>
      <c r="T73">
        <f>HYPERLINK("https://klasma.github.io/Logging_0188/kartor/A 5732-2020 karta.png", "A 5732-2020")</f>
        <v/>
      </c>
      <c r="V73">
        <f>HYPERLINK("https://klasma.github.io/Logging_0188/klagomål/A 5732-2020 FSC-klagomål.docx", "A 5732-2020")</f>
        <v/>
      </c>
      <c r="W73">
        <f>HYPERLINK("https://klasma.github.io/Logging_0188/klagomålsmail/A 5732-2020 FSC-klagomål mail.docx", "A 5732-2020")</f>
        <v/>
      </c>
      <c r="X73">
        <f>HYPERLINK("https://klasma.github.io/Logging_0188/tillsyn/A 5732-2020 tillsynsbegäran.docx", "A 5732-2020")</f>
        <v/>
      </c>
      <c r="Y73">
        <f>HYPERLINK("https://klasma.github.io/Logging_0188/tillsynsmail/A 5732-2020 tillsynsbegäran mail.docx", "A 5732-2020")</f>
        <v/>
      </c>
    </row>
    <row r="74" ht="15" customHeight="1">
      <c r="A74" t="inlineStr">
        <is>
          <t>A 24052-2021</t>
        </is>
      </c>
      <c r="B74" s="1" t="n">
        <v>44336</v>
      </c>
      <c r="C74" s="1" t="n">
        <v>45758</v>
      </c>
      <c r="D74" t="inlineStr">
        <is>
          <t>STOCKHOLMS LÄN</t>
        </is>
      </c>
      <c r="E74" t="inlineStr">
        <is>
          <t>NORRTÄLJE</t>
        </is>
      </c>
      <c r="G74" t="n">
        <v>8.6</v>
      </c>
      <c r="H74" t="n">
        <v>4</v>
      </c>
      <c r="I74" t="n">
        <v>0</v>
      </c>
      <c r="J74" t="n">
        <v>2</v>
      </c>
      <c r="K74" t="n">
        <v>0</v>
      </c>
      <c r="L74" t="n">
        <v>0</v>
      </c>
      <c r="M74" t="n">
        <v>0</v>
      </c>
      <c r="N74" t="n">
        <v>0</v>
      </c>
      <c r="O74" t="n">
        <v>2</v>
      </c>
      <c r="P74" t="n">
        <v>0</v>
      </c>
      <c r="Q74" t="n">
        <v>4</v>
      </c>
      <c r="R74" s="2" t="inlineStr">
        <is>
          <t>Brunlångöra
Nordfladdermus
Dvärgpipistrell
Större brunfladdermus</t>
        </is>
      </c>
      <c r="S74">
        <f>HYPERLINK("https://klasma.github.io/Logging_0188/artfynd/A 24052-2021 artfynd.xlsx", "A 24052-2021")</f>
        <v/>
      </c>
      <c r="T74">
        <f>HYPERLINK("https://klasma.github.io/Logging_0188/kartor/A 24052-2021 karta.png", "A 24052-2021")</f>
        <v/>
      </c>
      <c r="V74">
        <f>HYPERLINK("https://klasma.github.io/Logging_0188/klagomål/A 24052-2021 FSC-klagomål.docx", "A 24052-2021")</f>
        <v/>
      </c>
      <c r="W74">
        <f>HYPERLINK("https://klasma.github.io/Logging_0188/klagomålsmail/A 24052-2021 FSC-klagomål mail.docx", "A 24052-2021")</f>
        <v/>
      </c>
      <c r="X74">
        <f>HYPERLINK("https://klasma.github.io/Logging_0188/tillsyn/A 24052-2021 tillsynsbegäran.docx", "A 24052-2021")</f>
        <v/>
      </c>
      <c r="Y74">
        <f>HYPERLINK("https://klasma.github.io/Logging_0188/tillsynsmail/A 24052-2021 tillsynsbegäran mail.docx", "A 24052-2021")</f>
        <v/>
      </c>
    </row>
    <row r="75" ht="15" customHeight="1">
      <c r="A75" t="inlineStr">
        <is>
          <t>A 72305-2021</t>
        </is>
      </c>
      <c r="B75" s="1" t="n">
        <v>44545</v>
      </c>
      <c r="C75" s="1" t="n">
        <v>45758</v>
      </c>
      <c r="D75" t="inlineStr">
        <is>
          <t>STOCKHOLMS LÄN</t>
        </is>
      </c>
      <c r="E75" t="inlineStr">
        <is>
          <t>NORRTÄLJE</t>
        </is>
      </c>
      <c r="G75" t="n">
        <v>1.5</v>
      </c>
      <c r="H75" t="n">
        <v>1</v>
      </c>
      <c r="I75" t="n">
        <v>3</v>
      </c>
      <c r="J75" t="n">
        <v>0</v>
      </c>
      <c r="K75" t="n">
        <v>0</v>
      </c>
      <c r="L75" t="n">
        <v>0</v>
      </c>
      <c r="M75" t="n">
        <v>0</v>
      </c>
      <c r="N75" t="n">
        <v>0</v>
      </c>
      <c r="O75" t="n">
        <v>0</v>
      </c>
      <c r="P75" t="n">
        <v>0</v>
      </c>
      <c r="Q75" t="n">
        <v>4</v>
      </c>
      <c r="R75" s="2" t="inlineStr">
        <is>
          <t>Svart trolldruva
Sårläka
Vårärt
Blåsippa</t>
        </is>
      </c>
      <c r="S75">
        <f>HYPERLINK("https://klasma.github.io/Logging_0188/artfynd/A 72305-2021 artfynd.xlsx", "A 72305-2021")</f>
        <v/>
      </c>
      <c r="T75">
        <f>HYPERLINK("https://klasma.github.io/Logging_0188/kartor/A 72305-2021 karta.png", "A 72305-2021")</f>
        <v/>
      </c>
      <c r="V75">
        <f>HYPERLINK("https://klasma.github.io/Logging_0188/klagomål/A 72305-2021 FSC-klagomål.docx", "A 72305-2021")</f>
        <v/>
      </c>
      <c r="W75">
        <f>HYPERLINK("https://klasma.github.io/Logging_0188/klagomålsmail/A 72305-2021 FSC-klagomål mail.docx", "A 72305-2021")</f>
        <v/>
      </c>
      <c r="X75">
        <f>HYPERLINK("https://klasma.github.io/Logging_0188/tillsyn/A 72305-2021 tillsynsbegäran.docx", "A 72305-2021")</f>
        <v/>
      </c>
      <c r="Y75">
        <f>HYPERLINK("https://klasma.github.io/Logging_0188/tillsynsmail/A 72305-2021 tillsynsbegäran mail.docx", "A 72305-2021")</f>
        <v/>
      </c>
    </row>
    <row r="76" ht="15" customHeight="1">
      <c r="A76" t="inlineStr">
        <is>
          <t>A 8024-2022</t>
        </is>
      </c>
      <c r="B76" s="1" t="n">
        <v>44609</v>
      </c>
      <c r="C76" s="1" t="n">
        <v>45758</v>
      </c>
      <c r="D76" t="inlineStr">
        <is>
          <t>STOCKHOLMS LÄN</t>
        </is>
      </c>
      <c r="E76" t="inlineStr">
        <is>
          <t>NORRTÄLJE</t>
        </is>
      </c>
      <c r="F76" t="inlineStr">
        <is>
          <t>Kyrkan</t>
        </is>
      </c>
      <c r="G76" t="n">
        <v>28.2</v>
      </c>
      <c r="H76" t="n">
        <v>4</v>
      </c>
      <c r="I76" t="n">
        <v>0</v>
      </c>
      <c r="J76" t="n">
        <v>2</v>
      </c>
      <c r="K76" t="n">
        <v>0</v>
      </c>
      <c r="L76" t="n">
        <v>0</v>
      </c>
      <c r="M76" t="n">
        <v>0</v>
      </c>
      <c r="N76" t="n">
        <v>0</v>
      </c>
      <c r="O76" t="n">
        <v>2</v>
      </c>
      <c r="P76" t="n">
        <v>0</v>
      </c>
      <c r="Q76" t="n">
        <v>4</v>
      </c>
      <c r="R76" s="2" t="inlineStr">
        <is>
          <t>Björktrast
Havsörn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56785-2023</t>
        </is>
      </c>
      <c r="B77" s="1" t="n">
        <v>45244</v>
      </c>
      <c r="C77" s="1" t="n">
        <v>45758</v>
      </c>
      <c r="D77" t="inlineStr">
        <is>
          <t>STOCKHOLMS LÄN</t>
        </is>
      </c>
      <c r="E77" t="inlineStr">
        <is>
          <t>NORRTÄLJE</t>
        </is>
      </c>
      <c r="G77" t="n">
        <v>7.7</v>
      </c>
      <c r="H77" t="n">
        <v>0</v>
      </c>
      <c r="I77" t="n">
        <v>1</v>
      </c>
      <c r="J77" t="n">
        <v>3</v>
      </c>
      <c r="K77" t="n">
        <v>0</v>
      </c>
      <c r="L77" t="n">
        <v>0</v>
      </c>
      <c r="M77" t="n">
        <v>0</v>
      </c>
      <c r="N77" t="n">
        <v>0</v>
      </c>
      <c r="O77" t="n">
        <v>3</v>
      </c>
      <c r="P77" t="n">
        <v>0</v>
      </c>
      <c r="Q77" t="n">
        <v>4</v>
      </c>
      <c r="R77" s="2" t="inlineStr">
        <is>
          <t>Plattad lövvedborre
Skeppsvarvsfluga
Triplax rufipes
Dorcatoma chrysomelina</t>
        </is>
      </c>
      <c r="S77">
        <f>HYPERLINK("https://klasma.github.io/Logging_0188/artfynd/A 56785-2023 artfynd.xlsx", "A 56785-2023")</f>
        <v/>
      </c>
      <c r="T77">
        <f>HYPERLINK("https://klasma.github.io/Logging_0188/kartor/A 56785-2023 karta.png", "A 56785-2023")</f>
        <v/>
      </c>
      <c r="V77">
        <f>HYPERLINK("https://klasma.github.io/Logging_0188/klagomål/A 56785-2023 FSC-klagomål.docx", "A 56785-2023")</f>
        <v/>
      </c>
      <c r="W77">
        <f>HYPERLINK("https://klasma.github.io/Logging_0188/klagomålsmail/A 56785-2023 FSC-klagomål mail.docx", "A 56785-2023")</f>
        <v/>
      </c>
      <c r="X77">
        <f>HYPERLINK("https://klasma.github.io/Logging_0188/tillsyn/A 56785-2023 tillsynsbegäran.docx", "A 56785-2023")</f>
        <v/>
      </c>
      <c r="Y77">
        <f>HYPERLINK("https://klasma.github.io/Logging_0188/tillsynsmail/A 56785-2023 tillsynsbegäran mail.docx", "A 56785-2023")</f>
        <v/>
      </c>
    </row>
    <row r="78" ht="15" customHeight="1">
      <c r="A78" t="inlineStr">
        <is>
          <t>A 10876-2025</t>
        </is>
      </c>
      <c r="B78" s="1" t="n">
        <v>45722</v>
      </c>
      <c r="C78" s="1" t="n">
        <v>45758</v>
      </c>
      <c r="D78" t="inlineStr">
        <is>
          <t>STOCKHOLMS LÄN</t>
        </is>
      </c>
      <c r="E78" t="inlineStr">
        <is>
          <t>NORRTÄLJE</t>
        </is>
      </c>
      <c r="F78" t="inlineStr">
        <is>
          <t>Holmen skog AB</t>
        </is>
      </c>
      <c r="G78" t="n">
        <v>9.300000000000001</v>
      </c>
      <c r="H78" t="n">
        <v>4</v>
      </c>
      <c r="I78" t="n">
        <v>0</v>
      </c>
      <c r="J78" t="n">
        <v>1</v>
      </c>
      <c r="K78" t="n">
        <v>1</v>
      </c>
      <c r="L78" t="n">
        <v>1</v>
      </c>
      <c r="M78" t="n">
        <v>0</v>
      </c>
      <c r="N78" t="n">
        <v>0</v>
      </c>
      <c r="O78" t="n">
        <v>3</v>
      </c>
      <c r="P78" t="n">
        <v>2</v>
      </c>
      <c r="Q78" t="n">
        <v>4</v>
      </c>
      <c r="R78" s="2" t="inlineStr">
        <is>
          <t>Asknätfjäril
Hällebräcka
Utter
Gullviva</t>
        </is>
      </c>
      <c r="S78">
        <f>HYPERLINK("https://klasma.github.io/Logging_010188/artfynd/A 10876-2025 artfynd.xlsx", "A 10876-2025")</f>
        <v/>
      </c>
      <c r="T78">
        <f>HYPERLINK("https://klasma.github.io/Logging_010188/kartor/A 10876-2025 karta.png", "A 10876-2025")</f>
        <v/>
      </c>
      <c r="V78">
        <f>HYPERLINK("https://klasma.github.io/Logging_010188/klagomål/A 10876-2025 FSC-klagomål.docx", "A 10876-2025")</f>
        <v/>
      </c>
      <c r="W78">
        <f>HYPERLINK("https://klasma.github.io/Logging_010188/klagomålsmail/A 10876-2025 FSC-klagomål mail.docx", "A 10876-2025")</f>
        <v/>
      </c>
      <c r="X78">
        <f>HYPERLINK("https://klasma.github.io/Logging_010188/tillsyn/A 10876-2025 tillsynsbegäran.docx", "A 10876-2025")</f>
        <v/>
      </c>
      <c r="Y78">
        <f>HYPERLINK("https://klasma.github.io/Logging_010188/tillsynsmail/A 10876-2025 tillsynsbegäran mail.docx", "A 10876-2025")</f>
        <v/>
      </c>
    </row>
    <row r="79" ht="15" customHeight="1">
      <c r="A79" t="inlineStr">
        <is>
          <t>A 19617-2019</t>
        </is>
      </c>
      <c r="B79" s="1" t="n">
        <v>43566</v>
      </c>
      <c r="C79" s="1" t="n">
        <v>45758</v>
      </c>
      <c r="D79" t="inlineStr">
        <is>
          <t>STOCKHOLMS LÄN</t>
        </is>
      </c>
      <c r="E79" t="inlineStr">
        <is>
          <t>NORRTÄLJE</t>
        </is>
      </c>
      <c r="G79" t="n">
        <v>16.1</v>
      </c>
      <c r="H79" t="n">
        <v>2</v>
      </c>
      <c r="I79" t="n">
        <v>1</v>
      </c>
      <c r="J79" t="n">
        <v>1</v>
      </c>
      <c r="K79" t="n">
        <v>0</v>
      </c>
      <c r="L79" t="n">
        <v>0</v>
      </c>
      <c r="M79" t="n">
        <v>0</v>
      </c>
      <c r="N79" t="n">
        <v>0</v>
      </c>
      <c r="O79" t="n">
        <v>1</v>
      </c>
      <c r="P79" t="n">
        <v>0</v>
      </c>
      <c r="Q79" t="n">
        <v>3</v>
      </c>
      <c r="R79" s="2" t="inlineStr">
        <is>
          <t>Havsörn
Myskbock
Blåsippa</t>
        </is>
      </c>
      <c r="S79">
        <f>HYPERLINK("https://klasma.github.io/Logging_0188/artfynd/A 19617-2019 artfynd.xlsx", "A 19617-2019")</f>
        <v/>
      </c>
      <c r="T79">
        <f>HYPERLINK("https://klasma.github.io/Logging_0188/kartor/A 19617-2019 karta.png", "A 19617-2019")</f>
        <v/>
      </c>
      <c r="V79">
        <f>HYPERLINK("https://klasma.github.io/Logging_0188/klagomål/A 19617-2019 FSC-klagomål.docx", "A 19617-2019")</f>
        <v/>
      </c>
      <c r="W79">
        <f>HYPERLINK("https://klasma.github.io/Logging_0188/klagomålsmail/A 19617-2019 FSC-klagomål mail.docx", "A 19617-2019")</f>
        <v/>
      </c>
      <c r="X79">
        <f>HYPERLINK("https://klasma.github.io/Logging_0188/tillsyn/A 19617-2019 tillsynsbegäran.docx", "A 19617-2019")</f>
        <v/>
      </c>
      <c r="Y79">
        <f>HYPERLINK("https://klasma.github.io/Logging_0188/tillsynsmail/A 19617-2019 tillsynsbegäran mail.docx", "A 19617-2019")</f>
        <v/>
      </c>
      <c r="Z79">
        <f>HYPERLINK("https://klasma.github.io/Logging_0188/fåglar/A 19617-2019 prioriterade fågelarter.docx", "A 19617-2019")</f>
        <v/>
      </c>
    </row>
    <row r="80" ht="15" customHeight="1">
      <c r="A80" t="inlineStr">
        <is>
          <t>A 28495-2020</t>
        </is>
      </c>
      <c r="B80" s="1" t="n">
        <v>43999</v>
      </c>
      <c r="C80" s="1" t="n">
        <v>45758</v>
      </c>
      <c r="D80" t="inlineStr">
        <is>
          <t>STOCKHOLMS LÄN</t>
        </is>
      </c>
      <c r="E80" t="inlineStr">
        <is>
          <t>NORRTÄLJE</t>
        </is>
      </c>
      <c r="G80" t="n">
        <v>0.5</v>
      </c>
      <c r="H80" t="n">
        <v>1</v>
      </c>
      <c r="I80" t="n">
        <v>0</v>
      </c>
      <c r="J80" t="n">
        <v>2</v>
      </c>
      <c r="K80" t="n">
        <v>0</v>
      </c>
      <c r="L80" t="n">
        <v>0</v>
      </c>
      <c r="M80" t="n">
        <v>0</v>
      </c>
      <c r="N80" t="n">
        <v>0</v>
      </c>
      <c r="O80" t="n">
        <v>2</v>
      </c>
      <c r="P80" t="n">
        <v>0</v>
      </c>
      <c r="Q80" t="n">
        <v>3</v>
      </c>
      <c r="R80" s="2" t="inlineStr">
        <is>
          <t>Backklöver
Slåtterfibbla
Grönvit nattviol</t>
        </is>
      </c>
      <c r="S80">
        <f>HYPERLINK("https://klasma.github.io/Logging_0188/artfynd/A 28495-2020 artfynd.xlsx", "A 28495-2020")</f>
        <v/>
      </c>
      <c r="T80">
        <f>HYPERLINK("https://klasma.github.io/Logging_0188/kartor/A 28495-2020 karta.png", "A 28495-2020")</f>
        <v/>
      </c>
      <c r="V80">
        <f>HYPERLINK("https://klasma.github.io/Logging_0188/klagomål/A 28495-2020 FSC-klagomål.docx", "A 28495-2020")</f>
        <v/>
      </c>
      <c r="W80">
        <f>HYPERLINK("https://klasma.github.io/Logging_0188/klagomålsmail/A 28495-2020 FSC-klagomål mail.docx", "A 28495-2020")</f>
        <v/>
      </c>
      <c r="X80">
        <f>HYPERLINK("https://klasma.github.io/Logging_0188/tillsyn/A 28495-2020 tillsynsbegäran.docx", "A 28495-2020")</f>
        <v/>
      </c>
      <c r="Y80">
        <f>HYPERLINK("https://klasma.github.io/Logging_0188/tillsynsmail/A 28495-2020 tillsynsbegäran mail.docx", "A 28495-2020")</f>
        <v/>
      </c>
    </row>
    <row r="81" ht="15" customHeight="1">
      <c r="A81" t="inlineStr">
        <is>
          <t>A 14560-2021</t>
        </is>
      </c>
      <c r="B81" s="1" t="n">
        <v>44279</v>
      </c>
      <c r="C81" s="1" t="n">
        <v>45758</v>
      </c>
      <c r="D81" t="inlineStr">
        <is>
          <t>STOCKHOLMS LÄN</t>
        </is>
      </c>
      <c r="E81" t="inlineStr">
        <is>
          <t>NORRTÄLJE</t>
        </is>
      </c>
      <c r="G81" t="n">
        <v>1.8</v>
      </c>
      <c r="H81" t="n">
        <v>0</v>
      </c>
      <c r="I81" t="n">
        <v>2</v>
      </c>
      <c r="J81" t="n">
        <v>1</v>
      </c>
      <c r="K81" t="n">
        <v>0</v>
      </c>
      <c r="L81" t="n">
        <v>0</v>
      </c>
      <c r="M81" t="n">
        <v>0</v>
      </c>
      <c r="N81" t="n">
        <v>0</v>
      </c>
      <c r="O81" t="n">
        <v>1</v>
      </c>
      <c r="P81" t="n">
        <v>0</v>
      </c>
      <c r="Q81" t="n">
        <v>3</v>
      </c>
      <c r="R81" s="2" t="inlineStr">
        <is>
          <t>Vit vedfingersvamp
Stor aspticka
Vedticka</t>
        </is>
      </c>
      <c r="S81">
        <f>HYPERLINK("https://klasma.github.io/Logging_0188/artfynd/A 14560-2021 artfynd.xlsx", "A 14560-2021")</f>
        <v/>
      </c>
      <c r="T81">
        <f>HYPERLINK("https://klasma.github.io/Logging_0188/kartor/A 14560-2021 karta.png", "A 14560-2021")</f>
        <v/>
      </c>
      <c r="V81">
        <f>HYPERLINK("https://klasma.github.io/Logging_0188/klagomål/A 14560-2021 FSC-klagomål.docx", "A 14560-2021")</f>
        <v/>
      </c>
      <c r="W81">
        <f>HYPERLINK("https://klasma.github.io/Logging_0188/klagomålsmail/A 14560-2021 FSC-klagomål mail.docx", "A 14560-2021")</f>
        <v/>
      </c>
      <c r="X81">
        <f>HYPERLINK("https://klasma.github.io/Logging_0188/tillsyn/A 14560-2021 tillsynsbegäran.docx", "A 14560-2021")</f>
        <v/>
      </c>
      <c r="Y81">
        <f>HYPERLINK("https://klasma.github.io/Logging_0188/tillsynsmail/A 14560-2021 tillsynsbegäran mail.docx", "A 14560-2021")</f>
        <v/>
      </c>
    </row>
    <row r="82" ht="15" customHeight="1">
      <c r="A82" t="inlineStr">
        <is>
          <t>A 17673-2021</t>
        </is>
      </c>
      <c r="B82" s="1" t="n">
        <v>44300</v>
      </c>
      <c r="C82" s="1" t="n">
        <v>45758</v>
      </c>
      <c r="D82" t="inlineStr">
        <is>
          <t>STOCKHOLMS LÄN</t>
        </is>
      </c>
      <c r="E82" t="inlineStr">
        <is>
          <t>NORRTÄLJE</t>
        </is>
      </c>
      <c r="G82" t="n">
        <v>10.4</v>
      </c>
      <c r="H82" t="n">
        <v>3</v>
      </c>
      <c r="I82" t="n">
        <v>0</v>
      </c>
      <c r="J82" t="n">
        <v>2</v>
      </c>
      <c r="K82" t="n">
        <v>0</v>
      </c>
      <c r="L82" t="n">
        <v>0</v>
      </c>
      <c r="M82" t="n">
        <v>0</v>
      </c>
      <c r="N82" t="n">
        <v>0</v>
      </c>
      <c r="O82" t="n">
        <v>2</v>
      </c>
      <c r="P82" t="n">
        <v>0</v>
      </c>
      <c r="Q82" t="n">
        <v>3</v>
      </c>
      <c r="R82" s="2" t="inlineStr">
        <is>
          <t>Grönsångare
Havsörn
Blåsippa</t>
        </is>
      </c>
      <c r="S82">
        <f>HYPERLINK("https://klasma.github.io/Logging_0188/artfynd/A 17673-2021 artfynd.xlsx", "A 17673-2021")</f>
        <v/>
      </c>
      <c r="T82">
        <f>HYPERLINK("https://klasma.github.io/Logging_0188/kartor/A 17673-2021 karta.png", "A 17673-2021")</f>
        <v/>
      </c>
      <c r="V82">
        <f>HYPERLINK("https://klasma.github.io/Logging_0188/klagomål/A 17673-2021 FSC-klagomål.docx", "A 17673-2021")</f>
        <v/>
      </c>
      <c r="W82">
        <f>HYPERLINK("https://klasma.github.io/Logging_0188/klagomålsmail/A 17673-2021 FSC-klagomål mail.docx", "A 17673-2021")</f>
        <v/>
      </c>
      <c r="X82">
        <f>HYPERLINK("https://klasma.github.io/Logging_0188/tillsyn/A 17673-2021 tillsynsbegäran.docx", "A 17673-2021")</f>
        <v/>
      </c>
      <c r="Y82">
        <f>HYPERLINK("https://klasma.github.io/Logging_0188/tillsynsmail/A 17673-2021 tillsynsbegäran mail.docx", "A 17673-2021")</f>
        <v/>
      </c>
      <c r="Z82">
        <f>HYPERLINK("https://klasma.github.io/Logging_0188/fåglar/A 17673-2021 prioriterade fågelarter.docx", "A 17673-2021")</f>
        <v/>
      </c>
    </row>
    <row r="83" ht="15" customHeight="1">
      <c r="A83" t="inlineStr">
        <is>
          <t>A 65629-2021</t>
        </is>
      </c>
      <c r="B83" s="1" t="n">
        <v>44516</v>
      </c>
      <c r="C83" s="1" t="n">
        <v>45758</v>
      </c>
      <c r="D83" t="inlineStr">
        <is>
          <t>STOCKHOLMS LÄN</t>
        </is>
      </c>
      <c r="E83" t="inlineStr">
        <is>
          <t>NORRTÄLJE</t>
        </is>
      </c>
      <c r="G83" t="n">
        <v>3</v>
      </c>
      <c r="H83" t="n">
        <v>0</v>
      </c>
      <c r="I83" t="n">
        <v>1</v>
      </c>
      <c r="J83" t="n">
        <v>2</v>
      </c>
      <c r="K83" t="n">
        <v>0</v>
      </c>
      <c r="L83" t="n">
        <v>0</v>
      </c>
      <c r="M83" t="n">
        <v>0</v>
      </c>
      <c r="N83" t="n">
        <v>0</v>
      </c>
      <c r="O83" t="n">
        <v>2</v>
      </c>
      <c r="P83" t="n">
        <v>0</v>
      </c>
      <c r="Q83" t="n">
        <v>3</v>
      </c>
      <c r="R83" s="2" t="inlineStr">
        <is>
          <t>Granticka
Ullticka
Granbarkgnagare</t>
        </is>
      </c>
      <c r="S83">
        <f>HYPERLINK("https://klasma.github.io/Logging_0188/artfynd/A 65629-2021 artfynd.xlsx", "A 65629-2021")</f>
        <v/>
      </c>
      <c r="T83">
        <f>HYPERLINK("https://klasma.github.io/Logging_0188/kartor/A 65629-2021 karta.png", "A 65629-2021")</f>
        <v/>
      </c>
      <c r="V83">
        <f>HYPERLINK("https://klasma.github.io/Logging_0188/klagomål/A 65629-2021 FSC-klagomål.docx", "A 65629-2021")</f>
        <v/>
      </c>
      <c r="W83">
        <f>HYPERLINK("https://klasma.github.io/Logging_0188/klagomålsmail/A 65629-2021 FSC-klagomål mail.docx", "A 65629-2021")</f>
        <v/>
      </c>
      <c r="X83">
        <f>HYPERLINK("https://klasma.github.io/Logging_0188/tillsyn/A 65629-2021 tillsynsbegäran.docx", "A 65629-2021")</f>
        <v/>
      </c>
      <c r="Y83">
        <f>HYPERLINK("https://klasma.github.io/Logging_0188/tillsynsmail/A 65629-2021 tillsynsbegäran mail.docx", "A 65629-2021")</f>
        <v/>
      </c>
    </row>
    <row r="84" ht="15" customHeight="1">
      <c r="A84" t="inlineStr">
        <is>
          <t>A 12215-2022</t>
        </is>
      </c>
      <c r="B84" s="1" t="n">
        <v>44637</v>
      </c>
      <c r="C84" s="1" t="n">
        <v>45758</v>
      </c>
      <c r="D84" t="inlineStr">
        <is>
          <t>STOCKHOLMS LÄN</t>
        </is>
      </c>
      <c r="E84" t="inlineStr">
        <is>
          <t>NORRTÄLJE</t>
        </is>
      </c>
      <c r="G84" t="n">
        <v>3.1</v>
      </c>
      <c r="H84" t="n">
        <v>3</v>
      </c>
      <c r="I84" t="n">
        <v>3</v>
      </c>
      <c r="J84" t="n">
        <v>0</v>
      </c>
      <c r="K84" t="n">
        <v>0</v>
      </c>
      <c r="L84" t="n">
        <v>0</v>
      </c>
      <c r="M84" t="n">
        <v>0</v>
      </c>
      <c r="N84" t="n">
        <v>0</v>
      </c>
      <c r="O84" t="n">
        <v>0</v>
      </c>
      <c r="P84" t="n">
        <v>0</v>
      </c>
      <c r="Q84" t="n">
        <v>3</v>
      </c>
      <c r="R84" s="2" t="inlineStr">
        <is>
          <t>Guckusko
Skogsknipprot
Tvåblad</t>
        </is>
      </c>
      <c r="S84">
        <f>HYPERLINK("https://klasma.github.io/Logging_0188/artfynd/A 12215-2022 artfynd.xlsx", "A 12215-2022")</f>
        <v/>
      </c>
      <c r="T84">
        <f>HYPERLINK("https://klasma.github.io/Logging_0188/kartor/A 12215-2022 karta.png", "A 12215-2022")</f>
        <v/>
      </c>
      <c r="V84">
        <f>HYPERLINK("https://klasma.github.io/Logging_0188/klagomål/A 12215-2022 FSC-klagomål.docx", "A 12215-2022")</f>
        <v/>
      </c>
      <c r="W84">
        <f>HYPERLINK("https://klasma.github.io/Logging_0188/klagomålsmail/A 12215-2022 FSC-klagomål mail.docx", "A 12215-2022")</f>
        <v/>
      </c>
      <c r="X84">
        <f>HYPERLINK("https://klasma.github.io/Logging_0188/tillsyn/A 12215-2022 tillsynsbegäran.docx", "A 12215-2022")</f>
        <v/>
      </c>
      <c r="Y84">
        <f>HYPERLINK("https://klasma.github.io/Logging_0188/tillsynsmail/A 12215-2022 tillsynsbegäran mail.docx", "A 12215-2022")</f>
        <v/>
      </c>
    </row>
    <row r="85" ht="15" customHeight="1">
      <c r="A85" t="inlineStr">
        <is>
          <t>A 20185-2022</t>
        </is>
      </c>
      <c r="B85" s="1" t="n">
        <v>44698</v>
      </c>
      <c r="C85" s="1" t="n">
        <v>45758</v>
      </c>
      <c r="D85" t="inlineStr">
        <is>
          <t>STOCKHOLMS LÄN</t>
        </is>
      </c>
      <c r="E85" t="inlineStr">
        <is>
          <t>NORRTÄLJE</t>
        </is>
      </c>
      <c r="G85" t="n">
        <v>8.4</v>
      </c>
      <c r="H85" t="n">
        <v>1</v>
      </c>
      <c r="I85" t="n">
        <v>2</v>
      </c>
      <c r="J85" t="n">
        <v>0</v>
      </c>
      <c r="K85" t="n">
        <v>1</v>
      </c>
      <c r="L85" t="n">
        <v>0</v>
      </c>
      <c r="M85" t="n">
        <v>0</v>
      </c>
      <c r="N85" t="n">
        <v>0</v>
      </c>
      <c r="O85" t="n">
        <v>1</v>
      </c>
      <c r="P85" t="n">
        <v>1</v>
      </c>
      <c r="Q85" t="n">
        <v>3</v>
      </c>
      <c r="R85" s="2" t="inlineStr">
        <is>
          <t>Tallbit
Gullgröppa
Vedticka</t>
        </is>
      </c>
      <c r="S85">
        <f>HYPERLINK("https://klasma.github.io/Logging_0188/artfynd/A 20185-2022 artfynd.xlsx", "A 20185-2022")</f>
        <v/>
      </c>
      <c r="T85">
        <f>HYPERLINK("https://klasma.github.io/Logging_0188/kartor/A 20185-2022 karta.png", "A 20185-2022")</f>
        <v/>
      </c>
      <c r="V85">
        <f>HYPERLINK("https://klasma.github.io/Logging_0188/klagomål/A 20185-2022 FSC-klagomål.docx", "A 20185-2022")</f>
        <v/>
      </c>
      <c r="W85">
        <f>HYPERLINK("https://klasma.github.io/Logging_0188/klagomålsmail/A 20185-2022 FSC-klagomål mail.docx", "A 20185-2022")</f>
        <v/>
      </c>
      <c r="X85">
        <f>HYPERLINK("https://klasma.github.io/Logging_0188/tillsyn/A 20185-2022 tillsynsbegäran.docx", "A 20185-2022")</f>
        <v/>
      </c>
      <c r="Y85">
        <f>HYPERLINK("https://klasma.github.io/Logging_0188/tillsynsmail/A 20185-2022 tillsynsbegäran mail.docx", "A 20185-2022")</f>
        <v/>
      </c>
      <c r="Z85">
        <f>HYPERLINK("https://klasma.github.io/Logging_0188/fåglar/A 20185-2022 prioriterade fågelarter.docx", "A 20185-2022")</f>
        <v/>
      </c>
    </row>
    <row r="86" ht="15" customHeight="1">
      <c r="A86" t="inlineStr">
        <is>
          <t>A 28836-2022</t>
        </is>
      </c>
      <c r="B86" s="1" t="n">
        <v>44749</v>
      </c>
      <c r="C86" s="1" t="n">
        <v>45758</v>
      </c>
      <c r="D86" t="inlineStr">
        <is>
          <t>STOCKHOLMS LÄN</t>
        </is>
      </c>
      <c r="E86" t="inlineStr">
        <is>
          <t>NORRTÄLJE</t>
        </is>
      </c>
      <c r="G86" t="n">
        <v>25</v>
      </c>
      <c r="H86" t="n">
        <v>2</v>
      </c>
      <c r="I86" t="n">
        <v>0</v>
      </c>
      <c r="J86" t="n">
        <v>2</v>
      </c>
      <c r="K86" t="n">
        <v>0</v>
      </c>
      <c r="L86" t="n">
        <v>0</v>
      </c>
      <c r="M86" t="n">
        <v>0</v>
      </c>
      <c r="N86" t="n">
        <v>0</v>
      </c>
      <c r="O86" t="n">
        <v>2</v>
      </c>
      <c r="P86" t="n">
        <v>0</v>
      </c>
      <c r="Q86" t="n">
        <v>3</v>
      </c>
      <c r="R86" s="2" t="inlineStr">
        <is>
          <t>Backklöver
Svartvit flugsnappare
Skogsödla</t>
        </is>
      </c>
      <c r="S86">
        <f>HYPERLINK("https://klasma.github.io/Logging_0188/artfynd/A 28836-2022 artfynd.xlsx", "A 28836-2022")</f>
        <v/>
      </c>
      <c r="T86">
        <f>HYPERLINK("https://klasma.github.io/Logging_0188/kartor/A 28836-2022 karta.png", "A 28836-2022")</f>
        <v/>
      </c>
      <c r="V86">
        <f>HYPERLINK("https://klasma.github.io/Logging_0188/klagomål/A 28836-2022 FSC-klagomål.docx", "A 28836-2022")</f>
        <v/>
      </c>
      <c r="W86">
        <f>HYPERLINK("https://klasma.github.io/Logging_0188/klagomålsmail/A 28836-2022 FSC-klagomål mail.docx", "A 28836-2022")</f>
        <v/>
      </c>
      <c r="X86">
        <f>HYPERLINK("https://klasma.github.io/Logging_0188/tillsyn/A 28836-2022 tillsynsbegäran.docx", "A 28836-2022")</f>
        <v/>
      </c>
      <c r="Y86">
        <f>HYPERLINK("https://klasma.github.io/Logging_0188/tillsynsmail/A 28836-2022 tillsynsbegäran mail.docx", "A 28836-2022")</f>
        <v/>
      </c>
      <c r="Z86">
        <f>HYPERLINK("https://klasma.github.io/Logging_0188/fåglar/A 28836-2022 prioriterade fågelarter.docx", "A 28836-2022")</f>
        <v/>
      </c>
    </row>
    <row r="87" ht="15" customHeight="1">
      <c r="A87" t="inlineStr">
        <is>
          <t>A 45113-2022</t>
        </is>
      </c>
      <c r="B87" s="1" t="n">
        <v>44843</v>
      </c>
      <c r="C87" s="1" t="n">
        <v>45758</v>
      </c>
      <c r="D87" t="inlineStr">
        <is>
          <t>STOCKHOLMS LÄN</t>
        </is>
      </c>
      <c r="E87" t="inlineStr">
        <is>
          <t>NORRTÄLJE</t>
        </is>
      </c>
      <c r="G87" t="n">
        <v>1.7</v>
      </c>
      <c r="H87" t="n">
        <v>0</v>
      </c>
      <c r="I87" t="n">
        <v>1</v>
      </c>
      <c r="J87" t="n">
        <v>1</v>
      </c>
      <c r="K87" t="n">
        <v>1</v>
      </c>
      <c r="L87" t="n">
        <v>0</v>
      </c>
      <c r="M87" t="n">
        <v>0</v>
      </c>
      <c r="N87" t="n">
        <v>0</v>
      </c>
      <c r="O87" t="n">
        <v>2</v>
      </c>
      <c r="P87" t="n">
        <v>1</v>
      </c>
      <c r="Q87" t="n">
        <v>3</v>
      </c>
      <c r="R87" s="2" t="inlineStr">
        <is>
          <t>Violett fingersvamp
Kandelabersvamp
Slät lönnlav</t>
        </is>
      </c>
      <c r="S87">
        <f>HYPERLINK("https://klasma.github.io/Logging_0188/artfynd/A 45113-2022 artfynd.xlsx", "A 45113-2022")</f>
        <v/>
      </c>
      <c r="T87">
        <f>HYPERLINK("https://klasma.github.io/Logging_0188/kartor/A 45113-2022 karta.png", "A 45113-2022")</f>
        <v/>
      </c>
      <c r="V87">
        <f>HYPERLINK("https://klasma.github.io/Logging_0188/klagomål/A 45113-2022 FSC-klagomål.docx", "A 45113-2022")</f>
        <v/>
      </c>
      <c r="W87">
        <f>HYPERLINK("https://klasma.github.io/Logging_0188/klagomålsmail/A 45113-2022 FSC-klagomål mail.docx", "A 45113-2022")</f>
        <v/>
      </c>
      <c r="X87">
        <f>HYPERLINK("https://klasma.github.io/Logging_0188/tillsyn/A 45113-2022 tillsynsbegäran.docx", "A 45113-2022")</f>
        <v/>
      </c>
      <c r="Y87">
        <f>HYPERLINK("https://klasma.github.io/Logging_0188/tillsynsmail/A 45113-2022 tillsynsbegäran mail.docx", "A 45113-2022")</f>
        <v/>
      </c>
    </row>
    <row r="88" ht="15" customHeight="1">
      <c r="A88" t="inlineStr">
        <is>
          <t>A 50618-2022</t>
        </is>
      </c>
      <c r="B88" s="1" t="n">
        <v>44866</v>
      </c>
      <c r="C88" s="1" t="n">
        <v>45758</v>
      </c>
      <c r="D88" t="inlineStr">
        <is>
          <t>STOCKHOLMS LÄN</t>
        </is>
      </c>
      <c r="E88" t="inlineStr">
        <is>
          <t>NORRTÄLJE</t>
        </is>
      </c>
      <c r="G88" t="n">
        <v>7.8</v>
      </c>
      <c r="H88" t="n">
        <v>2</v>
      </c>
      <c r="I88" t="n">
        <v>2</v>
      </c>
      <c r="J88" t="n">
        <v>0</v>
      </c>
      <c r="K88" t="n">
        <v>0</v>
      </c>
      <c r="L88" t="n">
        <v>0</v>
      </c>
      <c r="M88" t="n">
        <v>0</v>
      </c>
      <c r="N88" t="n">
        <v>0</v>
      </c>
      <c r="O88" t="n">
        <v>0</v>
      </c>
      <c r="P88" t="n">
        <v>0</v>
      </c>
      <c r="Q88" t="n">
        <v>3</v>
      </c>
      <c r="R88" s="2" t="inlineStr">
        <is>
          <t>Skogsknipprot
Vårärt
Blåsippa</t>
        </is>
      </c>
      <c r="S88">
        <f>HYPERLINK("https://klasma.github.io/Logging_0188/artfynd/A 50618-2022 artfynd.xlsx", "A 50618-2022")</f>
        <v/>
      </c>
      <c r="T88">
        <f>HYPERLINK("https://klasma.github.io/Logging_0188/kartor/A 50618-2022 karta.png", "A 50618-2022")</f>
        <v/>
      </c>
      <c r="V88">
        <f>HYPERLINK("https://klasma.github.io/Logging_0188/klagomål/A 50618-2022 FSC-klagomål.docx", "A 50618-2022")</f>
        <v/>
      </c>
      <c r="W88">
        <f>HYPERLINK("https://klasma.github.io/Logging_0188/klagomålsmail/A 50618-2022 FSC-klagomål mail.docx", "A 50618-2022")</f>
        <v/>
      </c>
      <c r="X88">
        <f>HYPERLINK("https://klasma.github.io/Logging_0188/tillsyn/A 50618-2022 tillsynsbegäran.docx", "A 50618-2022")</f>
        <v/>
      </c>
      <c r="Y88">
        <f>HYPERLINK("https://klasma.github.io/Logging_0188/tillsynsmail/A 50618-2022 tillsynsbegäran mail.docx", "A 50618-2022")</f>
        <v/>
      </c>
    </row>
    <row r="89" ht="15" customHeight="1">
      <c r="A89" t="inlineStr">
        <is>
          <t>A 2851-2023</t>
        </is>
      </c>
      <c r="B89" s="1" t="n">
        <v>44945</v>
      </c>
      <c r="C89" s="1" t="n">
        <v>45758</v>
      </c>
      <c r="D89" t="inlineStr">
        <is>
          <t>STOCKHOLMS LÄN</t>
        </is>
      </c>
      <c r="E89" t="inlineStr">
        <is>
          <t>NORRTÄLJE</t>
        </is>
      </c>
      <c r="G89" t="n">
        <v>5.8</v>
      </c>
      <c r="H89" t="n">
        <v>1</v>
      </c>
      <c r="I89" t="n">
        <v>1</v>
      </c>
      <c r="J89" t="n">
        <v>2</v>
      </c>
      <c r="K89" t="n">
        <v>0</v>
      </c>
      <c r="L89" t="n">
        <v>0</v>
      </c>
      <c r="M89" t="n">
        <v>0</v>
      </c>
      <c r="N89" t="n">
        <v>0</v>
      </c>
      <c r="O89" t="n">
        <v>2</v>
      </c>
      <c r="P89" t="n">
        <v>0</v>
      </c>
      <c r="Q89" t="n">
        <v>3</v>
      </c>
      <c r="R89" s="2" t="inlineStr">
        <is>
          <t>Gulsparv
Vedflikmossa
Terpentinmossa</t>
        </is>
      </c>
      <c r="S89">
        <f>HYPERLINK("https://klasma.github.io/Logging_0188/artfynd/A 2851-2023 artfynd.xlsx", "A 2851-2023")</f>
        <v/>
      </c>
      <c r="T89">
        <f>HYPERLINK("https://klasma.github.io/Logging_0188/kartor/A 2851-2023 karta.png", "A 2851-2023")</f>
        <v/>
      </c>
      <c r="V89">
        <f>HYPERLINK("https://klasma.github.io/Logging_0188/klagomål/A 2851-2023 FSC-klagomål.docx", "A 2851-2023")</f>
        <v/>
      </c>
      <c r="W89">
        <f>HYPERLINK("https://klasma.github.io/Logging_0188/klagomålsmail/A 2851-2023 FSC-klagomål mail.docx", "A 2851-2023")</f>
        <v/>
      </c>
      <c r="X89">
        <f>HYPERLINK("https://klasma.github.io/Logging_0188/tillsyn/A 2851-2023 tillsynsbegäran.docx", "A 2851-2023")</f>
        <v/>
      </c>
      <c r="Y89">
        <f>HYPERLINK("https://klasma.github.io/Logging_0188/tillsynsmail/A 2851-2023 tillsynsbegäran mail.docx", "A 2851-2023")</f>
        <v/>
      </c>
      <c r="Z89">
        <f>HYPERLINK("https://klasma.github.io/Logging_0188/fåglar/A 2851-2023 prioriterade fågelarter.docx", "A 2851-2023")</f>
        <v/>
      </c>
    </row>
    <row r="90" ht="15" customHeight="1">
      <c r="A90" t="inlineStr">
        <is>
          <t>A 17916-2023</t>
        </is>
      </c>
      <c r="B90" s="1" t="n">
        <v>45040</v>
      </c>
      <c r="C90" s="1" t="n">
        <v>45758</v>
      </c>
      <c r="D90" t="inlineStr">
        <is>
          <t>STOCKHOLMS LÄN</t>
        </is>
      </c>
      <c r="E90" t="inlineStr">
        <is>
          <t>NORRTÄLJE</t>
        </is>
      </c>
      <c r="G90" t="n">
        <v>9.1</v>
      </c>
      <c r="H90" t="n">
        <v>1</v>
      </c>
      <c r="I90" t="n">
        <v>2</v>
      </c>
      <c r="J90" t="n">
        <v>0</v>
      </c>
      <c r="K90" t="n">
        <v>0</v>
      </c>
      <c r="L90" t="n">
        <v>0</v>
      </c>
      <c r="M90" t="n">
        <v>0</v>
      </c>
      <c r="N90" t="n">
        <v>0</v>
      </c>
      <c r="O90" t="n">
        <v>0</v>
      </c>
      <c r="P90" t="n">
        <v>0</v>
      </c>
      <c r="Q90" t="n">
        <v>3</v>
      </c>
      <c r="R90" s="2" t="inlineStr">
        <is>
          <t>Skarp dropptaggsvamp
Sårläka
Blåsippa</t>
        </is>
      </c>
      <c r="S90">
        <f>HYPERLINK("https://klasma.github.io/Logging_0188/artfynd/A 17916-2023 artfynd.xlsx", "A 17916-2023")</f>
        <v/>
      </c>
      <c r="T90">
        <f>HYPERLINK("https://klasma.github.io/Logging_0188/kartor/A 17916-2023 karta.png", "A 17916-2023")</f>
        <v/>
      </c>
      <c r="V90">
        <f>HYPERLINK("https://klasma.github.io/Logging_0188/klagomål/A 17916-2023 FSC-klagomål.docx", "A 17916-2023")</f>
        <v/>
      </c>
      <c r="W90">
        <f>HYPERLINK("https://klasma.github.io/Logging_0188/klagomålsmail/A 17916-2023 FSC-klagomål mail.docx", "A 17916-2023")</f>
        <v/>
      </c>
      <c r="X90">
        <f>HYPERLINK("https://klasma.github.io/Logging_0188/tillsyn/A 17916-2023 tillsynsbegäran.docx", "A 17916-2023")</f>
        <v/>
      </c>
      <c r="Y90">
        <f>HYPERLINK("https://klasma.github.io/Logging_0188/tillsynsmail/A 17916-2023 tillsynsbegäran mail.docx", "A 17916-2023")</f>
        <v/>
      </c>
    </row>
    <row r="91" ht="15" customHeight="1">
      <c r="A91" t="inlineStr">
        <is>
          <t>A 36662-2023</t>
        </is>
      </c>
      <c r="B91" s="1" t="n">
        <v>45153</v>
      </c>
      <c r="C91" s="1" t="n">
        <v>45758</v>
      </c>
      <c r="D91" t="inlineStr">
        <is>
          <t>STOCKHOLMS LÄN</t>
        </is>
      </c>
      <c r="E91" t="inlineStr">
        <is>
          <t>NORRTÄLJE</t>
        </is>
      </c>
      <c r="G91" t="n">
        <v>3.1</v>
      </c>
      <c r="H91" t="n">
        <v>1</v>
      </c>
      <c r="I91" t="n">
        <v>2</v>
      </c>
      <c r="J91" t="n">
        <v>1</v>
      </c>
      <c r="K91" t="n">
        <v>0</v>
      </c>
      <c r="L91" t="n">
        <v>0</v>
      </c>
      <c r="M91" t="n">
        <v>0</v>
      </c>
      <c r="N91" t="n">
        <v>0</v>
      </c>
      <c r="O91" t="n">
        <v>1</v>
      </c>
      <c r="P91" t="n">
        <v>0</v>
      </c>
      <c r="Q91" t="n">
        <v>3</v>
      </c>
      <c r="R91" s="2" t="inlineStr">
        <is>
          <t>Svartvit taggsvamp
Skogsknipprot
Svavelriska</t>
        </is>
      </c>
      <c r="S91">
        <f>HYPERLINK("https://klasma.github.io/Logging_0188/artfynd/A 36662-2023 artfynd.xlsx", "A 36662-2023")</f>
        <v/>
      </c>
      <c r="T91">
        <f>HYPERLINK("https://klasma.github.io/Logging_0188/kartor/A 36662-2023 karta.png", "A 36662-2023")</f>
        <v/>
      </c>
      <c r="V91">
        <f>HYPERLINK("https://klasma.github.io/Logging_0188/klagomål/A 36662-2023 FSC-klagomål.docx", "A 36662-2023")</f>
        <v/>
      </c>
      <c r="W91">
        <f>HYPERLINK("https://klasma.github.io/Logging_0188/klagomålsmail/A 36662-2023 FSC-klagomål mail.docx", "A 36662-2023")</f>
        <v/>
      </c>
      <c r="X91">
        <f>HYPERLINK("https://klasma.github.io/Logging_0188/tillsyn/A 36662-2023 tillsynsbegäran.docx", "A 36662-2023")</f>
        <v/>
      </c>
      <c r="Y91">
        <f>HYPERLINK("https://klasma.github.io/Logging_0188/tillsynsmail/A 36662-2023 tillsynsbegäran mail.docx", "A 36662-2023")</f>
        <v/>
      </c>
    </row>
    <row r="92" ht="15" customHeight="1">
      <c r="A92" t="inlineStr">
        <is>
          <t>A 43304-2023</t>
        </is>
      </c>
      <c r="B92" s="1" t="n">
        <v>45183</v>
      </c>
      <c r="C92" s="1" t="n">
        <v>45758</v>
      </c>
      <c r="D92" t="inlineStr">
        <is>
          <t>STOCKHOLMS LÄN</t>
        </is>
      </c>
      <c r="E92" t="inlineStr">
        <is>
          <t>NORRTÄLJE</t>
        </is>
      </c>
      <c r="G92" t="n">
        <v>1.5</v>
      </c>
      <c r="H92" t="n">
        <v>0</v>
      </c>
      <c r="I92" t="n">
        <v>0</v>
      </c>
      <c r="J92" t="n">
        <v>2</v>
      </c>
      <c r="K92" t="n">
        <v>1</v>
      </c>
      <c r="L92" t="n">
        <v>0</v>
      </c>
      <c r="M92" t="n">
        <v>0</v>
      </c>
      <c r="N92" t="n">
        <v>0</v>
      </c>
      <c r="O92" t="n">
        <v>3</v>
      </c>
      <c r="P92" t="n">
        <v>1</v>
      </c>
      <c r="Q92" t="n">
        <v>3</v>
      </c>
      <c r="R92" s="2" t="inlineStr">
        <is>
          <t>Spricktaggsvamp
Kungsspindling
Persiljespindling</t>
        </is>
      </c>
      <c r="S92">
        <f>HYPERLINK("https://klasma.github.io/Logging_0188/artfynd/A 43304-2023 artfynd.xlsx", "A 43304-2023")</f>
        <v/>
      </c>
      <c r="T92">
        <f>HYPERLINK("https://klasma.github.io/Logging_0188/kartor/A 43304-2023 karta.png", "A 43304-2023")</f>
        <v/>
      </c>
      <c r="V92">
        <f>HYPERLINK("https://klasma.github.io/Logging_0188/klagomål/A 43304-2023 FSC-klagomål.docx", "A 43304-2023")</f>
        <v/>
      </c>
      <c r="W92">
        <f>HYPERLINK("https://klasma.github.io/Logging_0188/klagomålsmail/A 43304-2023 FSC-klagomål mail.docx", "A 43304-2023")</f>
        <v/>
      </c>
      <c r="X92">
        <f>HYPERLINK("https://klasma.github.io/Logging_0188/tillsyn/A 43304-2023 tillsynsbegäran.docx", "A 43304-2023")</f>
        <v/>
      </c>
      <c r="Y92">
        <f>HYPERLINK("https://klasma.github.io/Logging_0188/tillsynsmail/A 43304-2023 tillsynsbegäran mail.docx", "A 43304-2023")</f>
        <v/>
      </c>
    </row>
    <row r="93" ht="15" customHeight="1">
      <c r="A93" t="inlineStr">
        <is>
          <t>A 52011-2023</t>
        </is>
      </c>
      <c r="B93" s="1" t="n">
        <v>45223</v>
      </c>
      <c r="C93" s="1" t="n">
        <v>45758</v>
      </c>
      <c r="D93" t="inlineStr">
        <is>
          <t>STOCKHOLMS LÄN</t>
        </is>
      </c>
      <c r="E93" t="inlineStr">
        <is>
          <t>NORRTÄLJE</t>
        </is>
      </c>
      <c r="F93" t="inlineStr">
        <is>
          <t>Övriga Aktiebolag</t>
        </is>
      </c>
      <c r="G93" t="n">
        <v>16.6</v>
      </c>
      <c r="H93" t="n">
        <v>0</v>
      </c>
      <c r="I93" t="n">
        <v>2</v>
      </c>
      <c r="J93" t="n">
        <v>1</v>
      </c>
      <c r="K93" t="n">
        <v>0</v>
      </c>
      <c r="L93" t="n">
        <v>0</v>
      </c>
      <c r="M93" t="n">
        <v>0</v>
      </c>
      <c r="N93" t="n">
        <v>0</v>
      </c>
      <c r="O93" t="n">
        <v>1</v>
      </c>
      <c r="P93" t="n">
        <v>0</v>
      </c>
      <c r="Q93" t="n">
        <v>3</v>
      </c>
      <c r="R93" s="2" t="inlineStr">
        <is>
          <t>Vedtrappmossa
Mörk husmossa
Skogshakmossa</t>
        </is>
      </c>
      <c r="S93">
        <f>HYPERLINK("https://klasma.github.io/Logging_0188/artfynd/A 52011-2023 artfynd.xlsx", "A 52011-2023")</f>
        <v/>
      </c>
      <c r="T93">
        <f>HYPERLINK("https://klasma.github.io/Logging_0188/kartor/A 52011-2023 karta.png", "A 52011-2023")</f>
        <v/>
      </c>
      <c r="V93">
        <f>HYPERLINK("https://klasma.github.io/Logging_0188/klagomål/A 52011-2023 FSC-klagomål.docx", "A 52011-2023")</f>
        <v/>
      </c>
      <c r="W93">
        <f>HYPERLINK("https://klasma.github.io/Logging_0188/klagomålsmail/A 52011-2023 FSC-klagomål mail.docx", "A 52011-2023")</f>
        <v/>
      </c>
      <c r="X93">
        <f>HYPERLINK("https://klasma.github.io/Logging_0188/tillsyn/A 52011-2023 tillsynsbegäran.docx", "A 52011-2023")</f>
        <v/>
      </c>
      <c r="Y93">
        <f>HYPERLINK("https://klasma.github.io/Logging_0188/tillsynsmail/A 52011-2023 tillsynsbegäran mail.docx", "A 52011-2023")</f>
        <v/>
      </c>
    </row>
    <row r="94" ht="15" customHeight="1">
      <c r="A94" t="inlineStr">
        <is>
          <t>A 53065-2024</t>
        </is>
      </c>
      <c r="B94" s="1" t="n">
        <v>45611</v>
      </c>
      <c r="C94" s="1" t="n">
        <v>45758</v>
      </c>
      <c r="D94" t="inlineStr">
        <is>
          <t>STOCKHOLMS LÄN</t>
        </is>
      </c>
      <c r="E94" t="inlineStr">
        <is>
          <t>NORRTÄLJE</t>
        </is>
      </c>
      <c r="G94" t="n">
        <v>12.3</v>
      </c>
      <c r="H94" t="n">
        <v>0</v>
      </c>
      <c r="I94" t="n">
        <v>1</v>
      </c>
      <c r="J94" t="n">
        <v>1</v>
      </c>
      <c r="K94" t="n">
        <v>1</v>
      </c>
      <c r="L94" t="n">
        <v>0</v>
      </c>
      <c r="M94" t="n">
        <v>0</v>
      </c>
      <c r="N94" t="n">
        <v>0</v>
      </c>
      <c r="O94" t="n">
        <v>2</v>
      </c>
      <c r="P94" t="n">
        <v>1</v>
      </c>
      <c r="Q94" t="n">
        <v>3</v>
      </c>
      <c r="R94" s="2" t="inlineStr">
        <is>
          <t>Aspsplintbock
Grön aspvedbock
Gulröd blankbock</t>
        </is>
      </c>
      <c r="S94">
        <f>HYPERLINK("https://klasma.github.io/Logging_0188/artfynd/A 53065-2024 artfynd.xlsx", "A 53065-2024")</f>
        <v/>
      </c>
      <c r="T94">
        <f>HYPERLINK("https://klasma.github.io/Logging_0188/kartor/A 53065-2024 karta.png", "A 53065-2024")</f>
        <v/>
      </c>
      <c r="V94">
        <f>HYPERLINK("https://klasma.github.io/Logging_0188/klagomål/A 53065-2024 FSC-klagomål.docx", "A 53065-2024")</f>
        <v/>
      </c>
      <c r="W94">
        <f>HYPERLINK("https://klasma.github.io/Logging_0188/klagomålsmail/A 53065-2024 FSC-klagomål mail.docx", "A 53065-2024")</f>
        <v/>
      </c>
      <c r="X94">
        <f>HYPERLINK("https://klasma.github.io/Logging_0188/tillsyn/A 53065-2024 tillsynsbegäran.docx", "A 53065-2024")</f>
        <v/>
      </c>
      <c r="Y94">
        <f>HYPERLINK("https://klasma.github.io/Logging_0188/tillsynsmail/A 53065-2024 tillsynsbegäran mail.docx", "A 53065-2024")</f>
        <v/>
      </c>
    </row>
    <row r="95" ht="15" customHeight="1">
      <c r="A95" t="inlineStr">
        <is>
          <t>A 54110-2024</t>
        </is>
      </c>
      <c r="B95" s="1" t="n">
        <v>45616</v>
      </c>
      <c r="C95" s="1" t="n">
        <v>45758</v>
      </c>
      <c r="D95" t="inlineStr">
        <is>
          <t>STOCKHOLMS LÄN</t>
        </is>
      </c>
      <c r="E95" t="inlineStr">
        <is>
          <t>NORRTÄLJE</t>
        </is>
      </c>
      <c r="G95" t="n">
        <v>6.7</v>
      </c>
      <c r="H95" t="n">
        <v>2</v>
      </c>
      <c r="I95" t="n">
        <v>0</v>
      </c>
      <c r="J95" t="n">
        <v>1</v>
      </c>
      <c r="K95" t="n">
        <v>0</v>
      </c>
      <c r="L95" t="n">
        <v>0</v>
      </c>
      <c r="M95" t="n">
        <v>0</v>
      </c>
      <c r="N95" t="n">
        <v>0</v>
      </c>
      <c r="O95" t="n">
        <v>1</v>
      </c>
      <c r="P95" t="n">
        <v>0</v>
      </c>
      <c r="Q95" t="n">
        <v>3</v>
      </c>
      <c r="R95" s="2" t="inlineStr">
        <is>
          <t>Klasefibbla
Nattviol
Gullviva</t>
        </is>
      </c>
      <c r="S95">
        <f>HYPERLINK("https://klasma.github.io/Logging_0188/artfynd/A 54110-2024 artfynd.xlsx", "A 54110-2024")</f>
        <v/>
      </c>
      <c r="T95">
        <f>HYPERLINK("https://klasma.github.io/Logging_0188/kartor/A 54110-2024 karta.png", "A 54110-2024")</f>
        <v/>
      </c>
      <c r="V95">
        <f>HYPERLINK("https://klasma.github.io/Logging_0188/klagomål/A 54110-2024 FSC-klagomål.docx", "A 54110-2024")</f>
        <v/>
      </c>
      <c r="W95">
        <f>HYPERLINK("https://klasma.github.io/Logging_0188/klagomålsmail/A 54110-2024 FSC-klagomål mail.docx", "A 54110-2024")</f>
        <v/>
      </c>
      <c r="X95">
        <f>HYPERLINK("https://klasma.github.io/Logging_0188/tillsyn/A 54110-2024 tillsynsbegäran.docx", "A 54110-2024")</f>
        <v/>
      </c>
      <c r="Y95">
        <f>HYPERLINK("https://klasma.github.io/Logging_0188/tillsynsmail/A 54110-2024 tillsynsbegäran mail.docx", "A 54110-2024")</f>
        <v/>
      </c>
    </row>
    <row r="96" ht="15" customHeight="1">
      <c r="A96" t="inlineStr">
        <is>
          <t>A 824-2025</t>
        </is>
      </c>
      <c r="B96" s="1" t="n">
        <v>45665</v>
      </c>
      <c r="C96" s="1" t="n">
        <v>45758</v>
      </c>
      <c r="D96" t="inlineStr">
        <is>
          <t>STOCKHOLMS LÄN</t>
        </is>
      </c>
      <c r="E96" t="inlineStr">
        <is>
          <t>NORRTÄLJE</t>
        </is>
      </c>
      <c r="F96" t="inlineStr">
        <is>
          <t>Övriga Aktiebolag</t>
        </is>
      </c>
      <c r="G96" t="n">
        <v>10.9</v>
      </c>
      <c r="H96" t="n">
        <v>0</v>
      </c>
      <c r="I96" t="n">
        <v>3</v>
      </c>
      <c r="J96" t="n">
        <v>0</v>
      </c>
      <c r="K96" t="n">
        <v>0</v>
      </c>
      <c r="L96" t="n">
        <v>0</v>
      </c>
      <c r="M96" t="n">
        <v>0</v>
      </c>
      <c r="N96" t="n">
        <v>0</v>
      </c>
      <c r="O96" t="n">
        <v>0</v>
      </c>
      <c r="P96" t="n">
        <v>0</v>
      </c>
      <c r="Q96" t="n">
        <v>3</v>
      </c>
      <c r="R96" s="2" t="inlineStr">
        <is>
          <t>Björksplintborre
Grönpyrola
Kattfotslav</t>
        </is>
      </c>
      <c r="S96">
        <f>HYPERLINK("https://klasma.github.io/Logging_0188/artfynd/A 824-2025 artfynd.xlsx", "A 824-2025")</f>
        <v/>
      </c>
      <c r="T96">
        <f>HYPERLINK("https://klasma.github.io/Logging_0188/kartor/A 824-2025 karta.png", "A 824-2025")</f>
        <v/>
      </c>
      <c r="V96">
        <f>HYPERLINK("https://klasma.github.io/Logging_0188/klagomål/A 824-2025 FSC-klagomål.docx", "A 824-2025")</f>
        <v/>
      </c>
      <c r="W96">
        <f>HYPERLINK("https://klasma.github.io/Logging_0188/klagomålsmail/A 824-2025 FSC-klagomål mail.docx", "A 824-2025")</f>
        <v/>
      </c>
      <c r="X96">
        <f>HYPERLINK("https://klasma.github.io/Logging_0188/tillsyn/A 824-2025 tillsynsbegäran.docx", "A 824-2025")</f>
        <v/>
      </c>
      <c r="Y96">
        <f>HYPERLINK("https://klasma.github.io/Logging_0188/tillsynsmail/A 824-2025 tillsynsbegäran mail.docx", "A 824-2025")</f>
        <v/>
      </c>
    </row>
    <row r="97" ht="15" customHeight="1">
      <c r="A97" t="inlineStr">
        <is>
          <t>A 23830-2019</t>
        </is>
      </c>
      <c r="B97" s="1" t="n">
        <v>43595</v>
      </c>
      <c r="C97" s="1" t="n">
        <v>45758</v>
      </c>
      <c r="D97" t="inlineStr">
        <is>
          <t>STOCKHOLMS LÄN</t>
        </is>
      </c>
      <c r="E97" t="inlineStr">
        <is>
          <t>NORRTÄLJE</t>
        </is>
      </c>
      <c r="G97" t="n">
        <v>3</v>
      </c>
      <c r="H97" t="n">
        <v>2</v>
      </c>
      <c r="I97" t="n">
        <v>1</v>
      </c>
      <c r="J97" t="n">
        <v>0</v>
      </c>
      <c r="K97" t="n">
        <v>0</v>
      </c>
      <c r="L97" t="n">
        <v>0</v>
      </c>
      <c r="M97" t="n">
        <v>0</v>
      </c>
      <c r="N97" t="n">
        <v>0</v>
      </c>
      <c r="O97" t="n">
        <v>0</v>
      </c>
      <c r="P97" t="n">
        <v>0</v>
      </c>
      <c r="Q97" t="n">
        <v>2</v>
      </c>
      <c r="R97" s="2" t="inlineStr">
        <is>
          <t>Guckusko
Grönvit nattviol</t>
        </is>
      </c>
      <c r="S97">
        <f>HYPERLINK("https://klasma.github.io/Logging_0188/artfynd/A 23830-2019 artfynd.xlsx", "A 23830-2019")</f>
        <v/>
      </c>
      <c r="T97">
        <f>HYPERLINK("https://klasma.github.io/Logging_0188/kartor/A 23830-2019 karta.png", "A 23830-2019")</f>
        <v/>
      </c>
      <c r="V97">
        <f>HYPERLINK("https://klasma.github.io/Logging_0188/klagomål/A 23830-2019 FSC-klagomål.docx", "A 23830-2019")</f>
        <v/>
      </c>
      <c r="W97">
        <f>HYPERLINK("https://klasma.github.io/Logging_0188/klagomålsmail/A 23830-2019 FSC-klagomål mail.docx", "A 23830-2019")</f>
        <v/>
      </c>
      <c r="X97">
        <f>HYPERLINK("https://klasma.github.io/Logging_0188/tillsyn/A 23830-2019 tillsynsbegäran.docx", "A 23830-2019")</f>
        <v/>
      </c>
      <c r="Y97">
        <f>HYPERLINK("https://klasma.github.io/Logging_0188/tillsynsmail/A 23830-2019 tillsynsbegäran mail.docx", "A 23830-2019")</f>
        <v/>
      </c>
    </row>
    <row r="98" ht="15" customHeight="1">
      <c r="A98" t="inlineStr">
        <is>
          <t>A 47875-2019</t>
        </is>
      </c>
      <c r="B98" s="1" t="n">
        <v>43725</v>
      </c>
      <c r="C98" s="1" t="n">
        <v>45758</v>
      </c>
      <c r="D98" t="inlineStr">
        <is>
          <t>STOCKHOLMS LÄN</t>
        </is>
      </c>
      <c r="E98" t="inlineStr">
        <is>
          <t>NORRTÄLJE</t>
        </is>
      </c>
      <c r="G98" t="n">
        <v>10.9</v>
      </c>
      <c r="H98" t="n">
        <v>1</v>
      </c>
      <c r="I98" t="n">
        <v>0</v>
      </c>
      <c r="J98" t="n">
        <v>1</v>
      </c>
      <c r="K98" t="n">
        <v>0</v>
      </c>
      <c r="L98" t="n">
        <v>0</v>
      </c>
      <c r="M98" t="n">
        <v>0</v>
      </c>
      <c r="N98" t="n">
        <v>0</v>
      </c>
      <c r="O98" t="n">
        <v>1</v>
      </c>
      <c r="P98" t="n">
        <v>0</v>
      </c>
      <c r="Q98" t="n">
        <v>2</v>
      </c>
      <c r="R98" s="2" t="inlineStr">
        <is>
          <t>Vippärt
Mattlummer</t>
        </is>
      </c>
      <c r="S98">
        <f>HYPERLINK("https://klasma.github.io/Logging_0188/artfynd/A 47875-2019 artfynd.xlsx", "A 47875-2019")</f>
        <v/>
      </c>
      <c r="T98">
        <f>HYPERLINK("https://klasma.github.io/Logging_0188/kartor/A 47875-2019 karta.png", "A 47875-2019")</f>
        <v/>
      </c>
      <c r="V98">
        <f>HYPERLINK("https://klasma.github.io/Logging_0188/klagomål/A 47875-2019 FSC-klagomål.docx", "A 47875-2019")</f>
        <v/>
      </c>
      <c r="W98">
        <f>HYPERLINK("https://klasma.github.io/Logging_0188/klagomålsmail/A 47875-2019 FSC-klagomål mail.docx", "A 47875-2019")</f>
        <v/>
      </c>
      <c r="X98">
        <f>HYPERLINK("https://klasma.github.io/Logging_0188/tillsyn/A 47875-2019 tillsynsbegäran.docx", "A 47875-2019")</f>
        <v/>
      </c>
      <c r="Y98">
        <f>HYPERLINK("https://klasma.github.io/Logging_0188/tillsynsmail/A 47875-2019 tillsynsbegäran mail.docx", "A 47875-2019")</f>
        <v/>
      </c>
    </row>
    <row r="99" ht="15" customHeight="1">
      <c r="A99" t="inlineStr">
        <is>
          <t>A 2810-2020</t>
        </is>
      </c>
      <c r="B99" s="1" t="n">
        <v>43850</v>
      </c>
      <c r="C99" s="1" t="n">
        <v>45758</v>
      </c>
      <c r="D99" t="inlineStr">
        <is>
          <t>STOCKHOLMS LÄN</t>
        </is>
      </c>
      <c r="E99" t="inlineStr">
        <is>
          <t>NORRTÄLJE</t>
        </is>
      </c>
      <c r="G99" t="n">
        <v>0.9</v>
      </c>
      <c r="H99" t="n">
        <v>1</v>
      </c>
      <c r="I99" t="n">
        <v>1</v>
      </c>
      <c r="J99" t="n">
        <v>0</v>
      </c>
      <c r="K99" t="n">
        <v>1</v>
      </c>
      <c r="L99" t="n">
        <v>0</v>
      </c>
      <c r="M99" t="n">
        <v>0</v>
      </c>
      <c r="N99" t="n">
        <v>0</v>
      </c>
      <c r="O99" t="n">
        <v>1</v>
      </c>
      <c r="P99" t="n">
        <v>1</v>
      </c>
      <c r="Q99" t="n">
        <v>2</v>
      </c>
      <c r="R99" s="2" t="inlineStr">
        <is>
          <t>Knärot
Grönpyrola</t>
        </is>
      </c>
      <c r="S99">
        <f>HYPERLINK("https://klasma.github.io/Logging_0188/artfynd/A 2810-2020 artfynd.xlsx", "A 2810-2020")</f>
        <v/>
      </c>
      <c r="T99">
        <f>HYPERLINK("https://klasma.github.io/Logging_0188/kartor/A 2810-2020 karta.png", "A 2810-2020")</f>
        <v/>
      </c>
      <c r="U99">
        <f>HYPERLINK("https://klasma.github.io/Logging_0188/knärot/A 2810-2020 karta knärot.png", "A 2810-2020")</f>
        <v/>
      </c>
      <c r="V99">
        <f>HYPERLINK("https://klasma.github.io/Logging_0188/klagomål/A 2810-2020 FSC-klagomål.docx", "A 2810-2020")</f>
        <v/>
      </c>
      <c r="W99">
        <f>HYPERLINK("https://klasma.github.io/Logging_0188/klagomålsmail/A 2810-2020 FSC-klagomål mail.docx", "A 2810-2020")</f>
        <v/>
      </c>
      <c r="X99">
        <f>HYPERLINK("https://klasma.github.io/Logging_0188/tillsyn/A 2810-2020 tillsynsbegäran.docx", "A 2810-2020")</f>
        <v/>
      </c>
      <c r="Y99">
        <f>HYPERLINK("https://klasma.github.io/Logging_0188/tillsynsmail/A 2810-2020 tillsynsbegäran mail.docx", "A 2810-2020")</f>
        <v/>
      </c>
    </row>
    <row r="100" ht="15" customHeight="1">
      <c r="A100" t="inlineStr">
        <is>
          <t>A 6272-2020</t>
        </is>
      </c>
      <c r="B100" s="1" t="n">
        <v>43866</v>
      </c>
      <c r="C100" s="1" t="n">
        <v>45758</v>
      </c>
      <c r="D100" t="inlineStr">
        <is>
          <t>STOCKHOLMS LÄN</t>
        </is>
      </c>
      <c r="E100" t="inlineStr">
        <is>
          <t>NORRTÄLJE</t>
        </is>
      </c>
      <c r="F100" t="inlineStr">
        <is>
          <t>Övriga statliga verk och myndigheter</t>
        </is>
      </c>
      <c r="G100" t="n">
        <v>1.9</v>
      </c>
      <c r="H100" t="n">
        <v>1</v>
      </c>
      <c r="I100" t="n">
        <v>1</v>
      </c>
      <c r="J100" t="n">
        <v>1</v>
      </c>
      <c r="K100" t="n">
        <v>0</v>
      </c>
      <c r="L100" t="n">
        <v>0</v>
      </c>
      <c r="M100" t="n">
        <v>0</v>
      </c>
      <c r="N100" t="n">
        <v>0</v>
      </c>
      <c r="O100" t="n">
        <v>1</v>
      </c>
      <c r="P100" t="n">
        <v>0</v>
      </c>
      <c r="Q100" t="n">
        <v>2</v>
      </c>
      <c r="R100" s="2" t="inlineStr">
        <is>
          <t>Silversmygare
Nästrot</t>
        </is>
      </c>
      <c r="S100">
        <f>HYPERLINK("https://klasma.github.io/Logging_0188/artfynd/A 6272-2020 artfynd.xlsx", "A 6272-2020")</f>
        <v/>
      </c>
      <c r="T100">
        <f>HYPERLINK("https://klasma.github.io/Logging_0188/kartor/A 6272-2020 karta.png", "A 6272-2020")</f>
        <v/>
      </c>
      <c r="V100">
        <f>HYPERLINK("https://klasma.github.io/Logging_0188/klagomål/A 6272-2020 FSC-klagomål.docx", "A 6272-2020")</f>
        <v/>
      </c>
      <c r="W100">
        <f>HYPERLINK("https://klasma.github.io/Logging_0188/klagomålsmail/A 6272-2020 FSC-klagomål mail.docx", "A 6272-2020")</f>
        <v/>
      </c>
      <c r="X100">
        <f>HYPERLINK("https://klasma.github.io/Logging_0188/tillsyn/A 6272-2020 tillsynsbegäran.docx", "A 6272-2020")</f>
        <v/>
      </c>
      <c r="Y100">
        <f>HYPERLINK("https://klasma.github.io/Logging_0188/tillsynsmail/A 6272-2020 tillsynsbegäran mail.docx", "A 6272-2020")</f>
        <v/>
      </c>
    </row>
    <row r="101" ht="15" customHeight="1">
      <c r="A101" t="inlineStr">
        <is>
          <t>A 14565-2020</t>
        </is>
      </c>
      <c r="B101" s="1" t="n">
        <v>43908</v>
      </c>
      <c r="C101" s="1" t="n">
        <v>45758</v>
      </c>
      <c r="D101" t="inlineStr">
        <is>
          <t>STOCKHOLMS LÄN</t>
        </is>
      </c>
      <c r="E101" t="inlineStr">
        <is>
          <t>NORRTÄLJE</t>
        </is>
      </c>
      <c r="G101" t="n">
        <v>3.4</v>
      </c>
      <c r="H101" t="n">
        <v>2</v>
      </c>
      <c r="I101" t="n">
        <v>0</v>
      </c>
      <c r="J101" t="n">
        <v>0</v>
      </c>
      <c r="K101" t="n">
        <v>0</v>
      </c>
      <c r="L101" t="n">
        <v>0</v>
      </c>
      <c r="M101" t="n">
        <v>0</v>
      </c>
      <c r="N101" t="n">
        <v>0</v>
      </c>
      <c r="O101" t="n">
        <v>0</v>
      </c>
      <c r="P101" t="n">
        <v>0</v>
      </c>
      <c r="Q101" t="n">
        <v>2</v>
      </c>
      <c r="R101" s="2" t="inlineStr">
        <is>
          <t>Mindre vattensalamander
Vanlig groda</t>
        </is>
      </c>
      <c r="S101">
        <f>HYPERLINK("https://klasma.github.io/Logging_0188/artfynd/A 14565-2020 artfynd.xlsx", "A 14565-2020")</f>
        <v/>
      </c>
      <c r="T101">
        <f>HYPERLINK("https://klasma.github.io/Logging_0188/kartor/A 14565-2020 karta.png", "A 14565-2020")</f>
        <v/>
      </c>
      <c r="V101">
        <f>HYPERLINK("https://klasma.github.io/Logging_0188/klagomål/A 14565-2020 FSC-klagomål.docx", "A 14565-2020")</f>
        <v/>
      </c>
      <c r="W101">
        <f>HYPERLINK("https://klasma.github.io/Logging_0188/klagomålsmail/A 14565-2020 FSC-klagomål mail.docx", "A 14565-2020")</f>
        <v/>
      </c>
      <c r="X101">
        <f>HYPERLINK("https://klasma.github.io/Logging_0188/tillsyn/A 14565-2020 tillsynsbegäran.docx", "A 14565-2020")</f>
        <v/>
      </c>
      <c r="Y101">
        <f>HYPERLINK("https://klasma.github.io/Logging_0188/tillsynsmail/A 14565-2020 tillsynsbegäran mail.docx", "A 14565-2020")</f>
        <v/>
      </c>
    </row>
    <row r="102" ht="15" customHeight="1">
      <c r="A102" t="inlineStr">
        <is>
          <t>A 19565-2020</t>
        </is>
      </c>
      <c r="B102" s="1" t="n">
        <v>43936</v>
      </c>
      <c r="C102" s="1" t="n">
        <v>45758</v>
      </c>
      <c r="D102" t="inlineStr">
        <is>
          <t>STOCKHOLMS LÄN</t>
        </is>
      </c>
      <c r="E102" t="inlineStr">
        <is>
          <t>NORRTÄLJE</t>
        </is>
      </c>
      <c r="G102" t="n">
        <v>2.4</v>
      </c>
      <c r="H102" t="n">
        <v>0</v>
      </c>
      <c r="I102" t="n">
        <v>2</v>
      </c>
      <c r="J102" t="n">
        <v>0</v>
      </c>
      <c r="K102" t="n">
        <v>0</v>
      </c>
      <c r="L102" t="n">
        <v>0</v>
      </c>
      <c r="M102" t="n">
        <v>0</v>
      </c>
      <c r="N102" t="n">
        <v>0</v>
      </c>
      <c r="O102" t="n">
        <v>0</v>
      </c>
      <c r="P102" t="n">
        <v>0</v>
      </c>
      <c r="Q102" t="n">
        <v>2</v>
      </c>
      <c r="R102" s="2" t="inlineStr">
        <is>
          <t>Mörk husmossa
Rödgul trumpetsvamp</t>
        </is>
      </c>
      <c r="S102">
        <f>HYPERLINK("https://klasma.github.io/Logging_0188/artfynd/A 19565-2020 artfynd.xlsx", "A 19565-2020")</f>
        <v/>
      </c>
      <c r="T102">
        <f>HYPERLINK("https://klasma.github.io/Logging_0188/kartor/A 19565-2020 karta.png", "A 19565-2020")</f>
        <v/>
      </c>
      <c r="V102">
        <f>HYPERLINK("https://klasma.github.io/Logging_0188/klagomål/A 19565-2020 FSC-klagomål.docx", "A 19565-2020")</f>
        <v/>
      </c>
      <c r="W102">
        <f>HYPERLINK("https://klasma.github.io/Logging_0188/klagomålsmail/A 19565-2020 FSC-klagomål mail.docx", "A 19565-2020")</f>
        <v/>
      </c>
      <c r="X102">
        <f>HYPERLINK("https://klasma.github.io/Logging_0188/tillsyn/A 19565-2020 tillsynsbegäran.docx", "A 19565-2020")</f>
        <v/>
      </c>
      <c r="Y102">
        <f>HYPERLINK("https://klasma.github.io/Logging_0188/tillsynsmail/A 19565-2020 tillsynsbegäran mail.docx", "A 19565-2020")</f>
        <v/>
      </c>
    </row>
    <row r="103" ht="15" customHeight="1">
      <c r="A103" t="inlineStr">
        <is>
          <t>A 31803-2021</t>
        </is>
      </c>
      <c r="B103" s="1" t="n">
        <v>44370</v>
      </c>
      <c r="C103" s="1" t="n">
        <v>45758</v>
      </c>
      <c r="D103" t="inlineStr">
        <is>
          <t>STOCKHOLMS LÄN</t>
        </is>
      </c>
      <c r="E103" t="inlineStr">
        <is>
          <t>NORRTÄLJE</t>
        </is>
      </c>
      <c r="G103" t="n">
        <v>4.6</v>
      </c>
      <c r="H103" t="n">
        <v>0</v>
      </c>
      <c r="I103" t="n">
        <v>1</v>
      </c>
      <c r="J103" t="n">
        <v>1</v>
      </c>
      <c r="K103" t="n">
        <v>0</v>
      </c>
      <c r="L103" t="n">
        <v>0</v>
      </c>
      <c r="M103" t="n">
        <v>0</v>
      </c>
      <c r="N103" t="n">
        <v>0</v>
      </c>
      <c r="O103" t="n">
        <v>1</v>
      </c>
      <c r="P103" t="n">
        <v>0</v>
      </c>
      <c r="Q103" t="n">
        <v>2</v>
      </c>
      <c r="R103" s="2" t="inlineStr">
        <is>
          <t>Slåtterfibbla
Vårärt</t>
        </is>
      </c>
      <c r="S103">
        <f>HYPERLINK("https://klasma.github.io/Logging_0188/artfynd/A 31803-2021 artfynd.xlsx", "A 31803-2021")</f>
        <v/>
      </c>
      <c r="T103">
        <f>HYPERLINK("https://klasma.github.io/Logging_0188/kartor/A 31803-2021 karta.png", "A 31803-2021")</f>
        <v/>
      </c>
      <c r="V103">
        <f>HYPERLINK("https://klasma.github.io/Logging_0188/klagomål/A 31803-2021 FSC-klagomål.docx", "A 31803-2021")</f>
        <v/>
      </c>
      <c r="W103">
        <f>HYPERLINK("https://klasma.github.io/Logging_0188/klagomålsmail/A 31803-2021 FSC-klagomål mail.docx", "A 31803-2021")</f>
        <v/>
      </c>
      <c r="X103">
        <f>HYPERLINK("https://klasma.github.io/Logging_0188/tillsyn/A 31803-2021 tillsynsbegäran.docx", "A 31803-2021")</f>
        <v/>
      </c>
      <c r="Y103">
        <f>HYPERLINK("https://klasma.github.io/Logging_0188/tillsynsmail/A 31803-2021 tillsynsbegäran mail.docx", "A 31803-2021")</f>
        <v/>
      </c>
    </row>
    <row r="104" ht="15" customHeight="1">
      <c r="A104" t="inlineStr">
        <is>
          <t>A 40072-2021</t>
        </is>
      </c>
      <c r="B104" s="1" t="n">
        <v>44418</v>
      </c>
      <c r="C104" s="1" t="n">
        <v>45758</v>
      </c>
      <c r="D104" t="inlineStr">
        <is>
          <t>STOCKHOLMS LÄN</t>
        </is>
      </c>
      <c r="E104" t="inlineStr">
        <is>
          <t>NORRTÄLJE</t>
        </is>
      </c>
      <c r="G104" t="n">
        <v>1.1</v>
      </c>
      <c r="H104" t="n">
        <v>2</v>
      </c>
      <c r="I104" t="n">
        <v>0</v>
      </c>
      <c r="J104" t="n">
        <v>2</v>
      </c>
      <c r="K104" t="n">
        <v>0</v>
      </c>
      <c r="L104" t="n">
        <v>0</v>
      </c>
      <c r="M104" t="n">
        <v>0</v>
      </c>
      <c r="N104" t="n">
        <v>0</v>
      </c>
      <c r="O104" t="n">
        <v>2</v>
      </c>
      <c r="P104" t="n">
        <v>0</v>
      </c>
      <c r="Q104" t="n">
        <v>2</v>
      </c>
      <c r="R104" s="2" t="inlineStr">
        <is>
          <t>Rördrom
Slaguggla</t>
        </is>
      </c>
      <c r="S104">
        <f>HYPERLINK("https://klasma.github.io/Logging_0188/artfynd/A 40072-2021 artfynd.xlsx", "A 40072-2021")</f>
        <v/>
      </c>
      <c r="T104">
        <f>HYPERLINK("https://klasma.github.io/Logging_0188/kartor/A 40072-2021 karta.png", "A 40072-2021")</f>
        <v/>
      </c>
      <c r="V104">
        <f>HYPERLINK("https://klasma.github.io/Logging_0188/klagomål/A 40072-2021 FSC-klagomål.docx", "A 40072-2021")</f>
        <v/>
      </c>
      <c r="W104">
        <f>HYPERLINK("https://klasma.github.io/Logging_0188/klagomålsmail/A 40072-2021 FSC-klagomål mail.docx", "A 40072-2021")</f>
        <v/>
      </c>
      <c r="X104">
        <f>HYPERLINK("https://klasma.github.io/Logging_0188/tillsyn/A 40072-2021 tillsynsbegäran.docx", "A 40072-2021")</f>
        <v/>
      </c>
      <c r="Y104">
        <f>HYPERLINK("https://klasma.github.io/Logging_0188/tillsynsmail/A 40072-2021 tillsynsbegäran mail.docx", "A 40072-2021")</f>
        <v/>
      </c>
      <c r="Z104">
        <f>HYPERLINK("https://klasma.github.io/Logging_0188/fåglar/A 40072-2021 prioriterade fågelarter.docx", "A 40072-2021")</f>
        <v/>
      </c>
    </row>
    <row r="105" ht="15" customHeight="1">
      <c r="A105" t="inlineStr">
        <is>
          <t>A 58676-2021</t>
        </is>
      </c>
      <c r="B105" s="1" t="n">
        <v>44489</v>
      </c>
      <c r="C105" s="1" t="n">
        <v>45758</v>
      </c>
      <c r="D105" t="inlineStr">
        <is>
          <t>STOCKHOLMS LÄN</t>
        </is>
      </c>
      <c r="E105" t="inlineStr">
        <is>
          <t>NORRTÄLJE</t>
        </is>
      </c>
      <c r="G105" t="n">
        <v>0.6</v>
      </c>
      <c r="H105" t="n">
        <v>2</v>
      </c>
      <c r="I105" t="n">
        <v>0</v>
      </c>
      <c r="J105" t="n">
        <v>0</v>
      </c>
      <c r="K105" t="n">
        <v>0</v>
      </c>
      <c r="L105" t="n">
        <v>0</v>
      </c>
      <c r="M105" t="n">
        <v>0</v>
      </c>
      <c r="N105" t="n">
        <v>0</v>
      </c>
      <c r="O105" t="n">
        <v>0</v>
      </c>
      <c r="P105" t="n">
        <v>0</v>
      </c>
      <c r="Q105" t="n">
        <v>2</v>
      </c>
      <c r="R105" s="2" t="inlineStr">
        <is>
          <t>Nattviol
Blåsippa</t>
        </is>
      </c>
      <c r="S105">
        <f>HYPERLINK("https://klasma.github.io/Logging_0188/artfynd/A 58676-2021 artfynd.xlsx", "A 58676-2021")</f>
        <v/>
      </c>
      <c r="T105">
        <f>HYPERLINK("https://klasma.github.io/Logging_0188/kartor/A 58676-2021 karta.png", "A 58676-2021")</f>
        <v/>
      </c>
      <c r="V105">
        <f>HYPERLINK("https://klasma.github.io/Logging_0188/klagomål/A 58676-2021 FSC-klagomål.docx", "A 58676-2021")</f>
        <v/>
      </c>
      <c r="W105">
        <f>HYPERLINK("https://klasma.github.io/Logging_0188/klagomålsmail/A 58676-2021 FSC-klagomål mail.docx", "A 58676-2021")</f>
        <v/>
      </c>
      <c r="X105">
        <f>HYPERLINK("https://klasma.github.io/Logging_0188/tillsyn/A 58676-2021 tillsynsbegäran.docx", "A 58676-2021")</f>
        <v/>
      </c>
      <c r="Y105">
        <f>HYPERLINK("https://klasma.github.io/Logging_0188/tillsynsmail/A 58676-2021 tillsynsbegäran mail.docx", "A 58676-2021")</f>
        <v/>
      </c>
    </row>
    <row r="106" ht="15" customHeight="1">
      <c r="A106" t="inlineStr">
        <is>
          <t>A 459-2022</t>
        </is>
      </c>
      <c r="B106" s="1" t="n">
        <v>44565</v>
      </c>
      <c r="C106" s="1" t="n">
        <v>45758</v>
      </c>
      <c r="D106" t="inlineStr">
        <is>
          <t>STOCKHOLMS LÄN</t>
        </is>
      </c>
      <c r="E106" t="inlineStr">
        <is>
          <t>NORRTÄLJE</t>
        </is>
      </c>
      <c r="F106" t="inlineStr">
        <is>
          <t>Övriga Aktiebolag</t>
        </is>
      </c>
      <c r="G106" t="n">
        <v>17.3</v>
      </c>
      <c r="H106" t="n">
        <v>0</v>
      </c>
      <c r="I106" t="n">
        <v>1</v>
      </c>
      <c r="J106" t="n">
        <v>1</v>
      </c>
      <c r="K106" t="n">
        <v>0</v>
      </c>
      <c r="L106" t="n">
        <v>0</v>
      </c>
      <c r="M106" t="n">
        <v>0</v>
      </c>
      <c r="N106" t="n">
        <v>0</v>
      </c>
      <c r="O106" t="n">
        <v>1</v>
      </c>
      <c r="P106" t="n">
        <v>0</v>
      </c>
      <c r="Q106" t="n">
        <v>2</v>
      </c>
      <c r="R106" s="2" t="inlineStr">
        <is>
          <t>Brunpudrad nållav
Björksplintborre</t>
        </is>
      </c>
      <c r="S106">
        <f>HYPERLINK("https://klasma.github.io/Logging_0188/artfynd/A 459-2022 artfynd.xlsx", "A 459-2022")</f>
        <v/>
      </c>
      <c r="T106">
        <f>HYPERLINK("https://klasma.github.io/Logging_0188/kartor/A 459-2022 karta.png", "A 459-2022")</f>
        <v/>
      </c>
      <c r="V106">
        <f>HYPERLINK("https://klasma.github.io/Logging_0188/klagomål/A 459-2022 FSC-klagomål.docx", "A 459-2022")</f>
        <v/>
      </c>
      <c r="W106">
        <f>HYPERLINK("https://klasma.github.io/Logging_0188/klagomålsmail/A 459-2022 FSC-klagomål mail.docx", "A 459-2022")</f>
        <v/>
      </c>
      <c r="X106">
        <f>HYPERLINK("https://klasma.github.io/Logging_0188/tillsyn/A 459-2022 tillsynsbegäran.docx", "A 459-2022")</f>
        <v/>
      </c>
      <c r="Y106">
        <f>HYPERLINK("https://klasma.github.io/Logging_0188/tillsynsmail/A 459-2022 tillsynsbegäran mail.docx", "A 459-2022")</f>
        <v/>
      </c>
    </row>
    <row r="107" ht="15" customHeight="1">
      <c r="A107" t="inlineStr">
        <is>
          <t>A 16260-2022</t>
        </is>
      </c>
      <c r="B107" s="1" t="n">
        <v>44670</v>
      </c>
      <c r="C107" s="1" t="n">
        <v>45758</v>
      </c>
      <c r="D107" t="inlineStr">
        <is>
          <t>STOCKHOLMS LÄN</t>
        </is>
      </c>
      <c r="E107" t="inlineStr">
        <is>
          <t>NORRTÄLJE</t>
        </is>
      </c>
      <c r="G107" t="n">
        <v>6.6</v>
      </c>
      <c r="H107" t="n">
        <v>1</v>
      </c>
      <c r="I107" t="n">
        <v>2</v>
      </c>
      <c r="J107" t="n">
        <v>0</v>
      </c>
      <c r="K107" t="n">
        <v>0</v>
      </c>
      <c r="L107" t="n">
        <v>0</v>
      </c>
      <c r="M107" t="n">
        <v>0</v>
      </c>
      <c r="N107" t="n">
        <v>0</v>
      </c>
      <c r="O107" t="n">
        <v>0</v>
      </c>
      <c r="P107" t="n">
        <v>0</v>
      </c>
      <c r="Q107" t="n">
        <v>2</v>
      </c>
      <c r="R107" s="2" t="inlineStr">
        <is>
          <t>Nästrot
Vårärt</t>
        </is>
      </c>
      <c r="S107">
        <f>HYPERLINK("https://klasma.github.io/Logging_0188/artfynd/A 16260-2022 artfynd.xlsx", "A 16260-2022")</f>
        <v/>
      </c>
      <c r="T107">
        <f>HYPERLINK("https://klasma.github.io/Logging_0188/kartor/A 16260-2022 karta.png", "A 16260-2022")</f>
        <v/>
      </c>
      <c r="V107">
        <f>HYPERLINK("https://klasma.github.io/Logging_0188/klagomål/A 16260-2022 FSC-klagomål.docx", "A 16260-2022")</f>
        <v/>
      </c>
      <c r="W107">
        <f>HYPERLINK("https://klasma.github.io/Logging_0188/klagomålsmail/A 16260-2022 FSC-klagomål mail.docx", "A 16260-2022")</f>
        <v/>
      </c>
      <c r="X107">
        <f>HYPERLINK("https://klasma.github.io/Logging_0188/tillsyn/A 16260-2022 tillsynsbegäran.docx", "A 16260-2022")</f>
        <v/>
      </c>
      <c r="Y107">
        <f>HYPERLINK("https://klasma.github.io/Logging_0188/tillsynsmail/A 16260-2022 tillsynsbegäran mail.docx", "A 16260-2022")</f>
        <v/>
      </c>
    </row>
    <row r="108" ht="15" customHeight="1">
      <c r="A108" t="inlineStr">
        <is>
          <t>A 19862-2022</t>
        </is>
      </c>
      <c r="B108" s="1" t="n">
        <v>44696</v>
      </c>
      <c r="C108" s="1" t="n">
        <v>45758</v>
      </c>
      <c r="D108" t="inlineStr">
        <is>
          <t>STOCKHOLMS LÄN</t>
        </is>
      </c>
      <c r="E108" t="inlineStr">
        <is>
          <t>NORRTÄLJE</t>
        </is>
      </c>
      <c r="G108" t="n">
        <v>6</v>
      </c>
      <c r="H108" t="n">
        <v>1</v>
      </c>
      <c r="I108" t="n">
        <v>0</v>
      </c>
      <c r="J108" t="n">
        <v>1</v>
      </c>
      <c r="K108" t="n">
        <v>0</v>
      </c>
      <c r="L108" t="n">
        <v>0</v>
      </c>
      <c r="M108" t="n">
        <v>0</v>
      </c>
      <c r="N108" t="n">
        <v>0</v>
      </c>
      <c r="O108" t="n">
        <v>1</v>
      </c>
      <c r="P108" t="n">
        <v>0</v>
      </c>
      <c r="Q108" t="n">
        <v>2</v>
      </c>
      <c r="R108" s="2" t="inlineStr">
        <is>
          <t>Granticka
Blåsippa</t>
        </is>
      </c>
      <c r="S108">
        <f>HYPERLINK("https://klasma.github.io/Logging_0188/artfynd/A 19862-2022 artfynd.xlsx", "A 19862-2022")</f>
        <v/>
      </c>
      <c r="T108">
        <f>HYPERLINK("https://klasma.github.io/Logging_0188/kartor/A 19862-2022 karta.png", "A 19862-2022")</f>
        <v/>
      </c>
      <c r="V108">
        <f>HYPERLINK("https://klasma.github.io/Logging_0188/klagomål/A 19862-2022 FSC-klagomål.docx", "A 19862-2022")</f>
        <v/>
      </c>
      <c r="W108">
        <f>HYPERLINK("https://klasma.github.io/Logging_0188/klagomålsmail/A 19862-2022 FSC-klagomål mail.docx", "A 19862-2022")</f>
        <v/>
      </c>
      <c r="X108">
        <f>HYPERLINK("https://klasma.github.io/Logging_0188/tillsyn/A 19862-2022 tillsynsbegäran.docx", "A 19862-2022")</f>
        <v/>
      </c>
      <c r="Y108">
        <f>HYPERLINK("https://klasma.github.io/Logging_0188/tillsynsmail/A 19862-2022 tillsynsbegäran mail.docx", "A 19862-2022")</f>
        <v/>
      </c>
    </row>
    <row r="109" ht="15" customHeight="1">
      <c r="A109" t="inlineStr">
        <is>
          <t>A 27742-2022</t>
        </is>
      </c>
      <c r="B109" s="1" t="n">
        <v>44743</v>
      </c>
      <c r="C109" s="1" t="n">
        <v>45758</v>
      </c>
      <c r="D109" t="inlineStr">
        <is>
          <t>STOCKHOLMS LÄN</t>
        </is>
      </c>
      <c r="E109" t="inlineStr">
        <is>
          <t>NORRTÄLJE</t>
        </is>
      </c>
      <c r="G109" t="n">
        <v>3.9</v>
      </c>
      <c r="H109" t="n">
        <v>1</v>
      </c>
      <c r="I109" t="n">
        <v>1</v>
      </c>
      <c r="J109" t="n">
        <v>0</v>
      </c>
      <c r="K109" t="n">
        <v>0</v>
      </c>
      <c r="L109" t="n">
        <v>0</v>
      </c>
      <c r="M109" t="n">
        <v>0</v>
      </c>
      <c r="N109" t="n">
        <v>0</v>
      </c>
      <c r="O109" t="n">
        <v>0</v>
      </c>
      <c r="P109" t="n">
        <v>0</v>
      </c>
      <c r="Q109" t="n">
        <v>2</v>
      </c>
      <c r="R109" s="2" t="inlineStr">
        <is>
          <t>Svavelriska
Blåsippa</t>
        </is>
      </c>
      <c r="S109">
        <f>HYPERLINK("https://klasma.github.io/Logging_0188/artfynd/A 27742-2022 artfynd.xlsx", "A 27742-2022")</f>
        <v/>
      </c>
      <c r="T109">
        <f>HYPERLINK("https://klasma.github.io/Logging_0188/kartor/A 27742-2022 karta.png", "A 27742-2022")</f>
        <v/>
      </c>
      <c r="V109">
        <f>HYPERLINK("https://klasma.github.io/Logging_0188/klagomål/A 27742-2022 FSC-klagomål.docx", "A 27742-2022")</f>
        <v/>
      </c>
      <c r="W109">
        <f>HYPERLINK("https://klasma.github.io/Logging_0188/klagomålsmail/A 27742-2022 FSC-klagomål mail.docx", "A 27742-2022")</f>
        <v/>
      </c>
      <c r="X109">
        <f>HYPERLINK("https://klasma.github.io/Logging_0188/tillsyn/A 27742-2022 tillsynsbegäran.docx", "A 27742-2022")</f>
        <v/>
      </c>
      <c r="Y109">
        <f>HYPERLINK("https://klasma.github.io/Logging_0188/tillsynsmail/A 27742-2022 tillsynsbegäran mail.docx", "A 27742-2022")</f>
        <v/>
      </c>
    </row>
    <row r="110" ht="15" customHeight="1">
      <c r="A110" t="inlineStr">
        <is>
          <t>A 30693-2022</t>
        </is>
      </c>
      <c r="B110" s="1" t="n">
        <v>44763</v>
      </c>
      <c r="C110" s="1" t="n">
        <v>45758</v>
      </c>
      <c r="D110" t="inlineStr">
        <is>
          <t>STOCKHOLMS LÄN</t>
        </is>
      </c>
      <c r="E110" t="inlineStr">
        <is>
          <t>NORRTÄLJE</t>
        </is>
      </c>
      <c r="F110" t="inlineStr">
        <is>
          <t>Sveaskog</t>
        </is>
      </c>
      <c r="G110" t="n">
        <v>3.4</v>
      </c>
      <c r="H110" t="n">
        <v>2</v>
      </c>
      <c r="I110" t="n">
        <v>0</v>
      </c>
      <c r="J110" t="n">
        <v>1</v>
      </c>
      <c r="K110" t="n">
        <v>0</v>
      </c>
      <c r="L110" t="n">
        <v>0</v>
      </c>
      <c r="M110" t="n">
        <v>0</v>
      </c>
      <c r="N110" t="n">
        <v>0</v>
      </c>
      <c r="O110" t="n">
        <v>1</v>
      </c>
      <c r="P110" t="n">
        <v>0</v>
      </c>
      <c r="Q110" t="n">
        <v>2</v>
      </c>
      <c r="R110" s="2" t="inlineStr">
        <is>
          <t>Gulsparv
Gullviva</t>
        </is>
      </c>
      <c r="S110">
        <f>HYPERLINK("https://klasma.github.io/Logging_0188/artfynd/A 30693-2022 artfynd.xlsx", "A 30693-2022")</f>
        <v/>
      </c>
      <c r="T110">
        <f>HYPERLINK("https://klasma.github.io/Logging_0188/kartor/A 30693-2022 karta.png", "A 30693-2022")</f>
        <v/>
      </c>
      <c r="V110">
        <f>HYPERLINK("https://klasma.github.io/Logging_0188/klagomål/A 30693-2022 FSC-klagomål.docx", "A 30693-2022")</f>
        <v/>
      </c>
      <c r="W110">
        <f>HYPERLINK("https://klasma.github.io/Logging_0188/klagomålsmail/A 30693-2022 FSC-klagomål mail.docx", "A 30693-2022")</f>
        <v/>
      </c>
      <c r="X110">
        <f>HYPERLINK("https://klasma.github.io/Logging_0188/tillsyn/A 30693-2022 tillsynsbegäran.docx", "A 30693-2022")</f>
        <v/>
      </c>
      <c r="Y110">
        <f>HYPERLINK("https://klasma.github.io/Logging_0188/tillsynsmail/A 30693-2022 tillsynsbegäran mail.docx", "A 30693-2022")</f>
        <v/>
      </c>
      <c r="Z110">
        <f>HYPERLINK("https://klasma.github.io/Logging_0188/fåglar/A 30693-2022 prioriterade fågelarter.docx", "A 30693-2022")</f>
        <v/>
      </c>
    </row>
    <row r="111" ht="15" customHeight="1">
      <c r="A111" t="inlineStr">
        <is>
          <t>A 38597-2022</t>
        </is>
      </c>
      <c r="B111" s="1" t="n">
        <v>44813</v>
      </c>
      <c r="C111" s="1" t="n">
        <v>45758</v>
      </c>
      <c r="D111" t="inlineStr">
        <is>
          <t>STOCKHOLMS LÄN</t>
        </is>
      </c>
      <c r="E111" t="inlineStr">
        <is>
          <t>NORRTÄLJE</t>
        </is>
      </c>
      <c r="G111" t="n">
        <v>13.2</v>
      </c>
      <c r="H111" t="n">
        <v>1</v>
      </c>
      <c r="I111" t="n">
        <v>1</v>
      </c>
      <c r="J111" t="n">
        <v>0</v>
      </c>
      <c r="K111" t="n">
        <v>0</v>
      </c>
      <c r="L111" t="n">
        <v>1</v>
      </c>
      <c r="M111" t="n">
        <v>0</v>
      </c>
      <c r="N111" t="n">
        <v>0</v>
      </c>
      <c r="O111" t="n">
        <v>1</v>
      </c>
      <c r="P111" t="n">
        <v>1</v>
      </c>
      <c r="Q111" t="n">
        <v>2</v>
      </c>
      <c r="R111" s="2" t="inlineStr">
        <is>
          <t>Asknätfjäril
Scharlakansvårskål agg.</t>
        </is>
      </c>
      <c r="S111">
        <f>HYPERLINK("https://klasma.github.io/Logging_0188/artfynd/A 38597-2022 artfynd.xlsx", "A 38597-2022")</f>
        <v/>
      </c>
      <c r="T111">
        <f>HYPERLINK("https://klasma.github.io/Logging_0188/kartor/A 38597-2022 karta.png", "A 38597-2022")</f>
        <v/>
      </c>
      <c r="V111">
        <f>HYPERLINK("https://klasma.github.io/Logging_0188/klagomål/A 38597-2022 FSC-klagomål.docx", "A 38597-2022")</f>
        <v/>
      </c>
      <c r="W111">
        <f>HYPERLINK("https://klasma.github.io/Logging_0188/klagomålsmail/A 38597-2022 FSC-klagomål mail.docx", "A 38597-2022")</f>
        <v/>
      </c>
      <c r="X111">
        <f>HYPERLINK("https://klasma.github.io/Logging_0188/tillsyn/A 38597-2022 tillsynsbegäran.docx", "A 38597-2022")</f>
        <v/>
      </c>
      <c r="Y111">
        <f>HYPERLINK("https://klasma.github.io/Logging_0188/tillsynsmail/A 38597-2022 tillsynsbegäran mail.docx", "A 38597-2022")</f>
        <v/>
      </c>
    </row>
    <row r="112" ht="15" customHeight="1">
      <c r="A112" t="inlineStr">
        <is>
          <t>A 52124-2022</t>
        </is>
      </c>
      <c r="B112" s="1" t="n">
        <v>44868</v>
      </c>
      <c r="C112" s="1" t="n">
        <v>45758</v>
      </c>
      <c r="D112" t="inlineStr">
        <is>
          <t>STOCKHOLMS LÄN</t>
        </is>
      </c>
      <c r="E112" t="inlineStr">
        <is>
          <t>NORRTÄLJE</t>
        </is>
      </c>
      <c r="G112" t="n">
        <v>4.8</v>
      </c>
      <c r="H112" t="n">
        <v>1</v>
      </c>
      <c r="I112" t="n">
        <v>0</v>
      </c>
      <c r="J112" t="n">
        <v>1</v>
      </c>
      <c r="K112" t="n">
        <v>0</v>
      </c>
      <c r="L112" t="n">
        <v>0</v>
      </c>
      <c r="M112" t="n">
        <v>0</v>
      </c>
      <c r="N112" t="n">
        <v>0</v>
      </c>
      <c r="O112" t="n">
        <v>1</v>
      </c>
      <c r="P112" t="n">
        <v>0</v>
      </c>
      <c r="Q112" t="n">
        <v>2</v>
      </c>
      <c r="R112" s="2" t="inlineStr">
        <is>
          <t>Kandelabersvamp
Blåsippa</t>
        </is>
      </c>
      <c r="S112">
        <f>HYPERLINK("https://klasma.github.io/Logging_0188/artfynd/A 52124-2022 artfynd.xlsx", "A 52124-2022")</f>
        <v/>
      </c>
      <c r="T112">
        <f>HYPERLINK("https://klasma.github.io/Logging_0188/kartor/A 52124-2022 karta.png", "A 52124-2022")</f>
        <v/>
      </c>
      <c r="V112">
        <f>HYPERLINK("https://klasma.github.io/Logging_0188/klagomål/A 52124-2022 FSC-klagomål.docx", "A 52124-2022")</f>
        <v/>
      </c>
      <c r="W112">
        <f>HYPERLINK("https://klasma.github.io/Logging_0188/klagomålsmail/A 52124-2022 FSC-klagomål mail.docx", "A 52124-2022")</f>
        <v/>
      </c>
      <c r="X112">
        <f>HYPERLINK("https://klasma.github.io/Logging_0188/tillsyn/A 52124-2022 tillsynsbegäran.docx", "A 52124-2022")</f>
        <v/>
      </c>
      <c r="Y112">
        <f>HYPERLINK("https://klasma.github.io/Logging_0188/tillsynsmail/A 52124-2022 tillsynsbegäran mail.docx", "A 52124-2022")</f>
        <v/>
      </c>
    </row>
    <row r="113" ht="15" customHeight="1">
      <c r="A113" t="inlineStr">
        <is>
          <t>A 51980-2022</t>
        </is>
      </c>
      <c r="B113" s="1" t="n">
        <v>44872</v>
      </c>
      <c r="C113" s="1" t="n">
        <v>45758</v>
      </c>
      <c r="D113" t="inlineStr">
        <is>
          <t>STOCKHOLMS LÄN</t>
        </is>
      </c>
      <c r="E113" t="inlineStr">
        <is>
          <t>NORRTÄLJE</t>
        </is>
      </c>
      <c r="G113" t="n">
        <v>7.9</v>
      </c>
      <c r="H113" t="n">
        <v>1</v>
      </c>
      <c r="I113" t="n">
        <v>2</v>
      </c>
      <c r="J113" t="n">
        <v>0</v>
      </c>
      <c r="K113" t="n">
        <v>0</v>
      </c>
      <c r="L113" t="n">
        <v>0</v>
      </c>
      <c r="M113" t="n">
        <v>0</v>
      </c>
      <c r="N113" t="n">
        <v>0</v>
      </c>
      <c r="O113" t="n">
        <v>0</v>
      </c>
      <c r="P113" t="n">
        <v>0</v>
      </c>
      <c r="Q113" t="n">
        <v>2</v>
      </c>
      <c r="R113" s="2" t="inlineStr">
        <is>
          <t>Rödgul trumpetsvamp
Skogsknipprot</t>
        </is>
      </c>
      <c r="S113">
        <f>HYPERLINK("https://klasma.github.io/Logging_0188/artfynd/A 51980-2022 artfynd.xlsx", "A 51980-2022")</f>
        <v/>
      </c>
      <c r="T113">
        <f>HYPERLINK("https://klasma.github.io/Logging_0188/kartor/A 51980-2022 karta.png", "A 51980-2022")</f>
        <v/>
      </c>
      <c r="V113">
        <f>HYPERLINK("https://klasma.github.io/Logging_0188/klagomål/A 51980-2022 FSC-klagomål.docx", "A 51980-2022")</f>
        <v/>
      </c>
      <c r="W113">
        <f>HYPERLINK("https://klasma.github.io/Logging_0188/klagomålsmail/A 51980-2022 FSC-klagomål mail.docx", "A 51980-2022")</f>
        <v/>
      </c>
      <c r="X113">
        <f>HYPERLINK("https://klasma.github.io/Logging_0188/tillsyn/A 51980-2022 tillsynsbegäran.docx", "A 51980-2022")</f>
        <v/>
      </c>
      <c r="Y113">
        <f>HYPERLINK("https://klasma.github.io/Logging_0188/tillsynsmail/A 51980-2022 tillsynsbegäran mail.docx", "A 51980-2022")</f>
        <v/>
      </c>
    </row>
    <row r="114" ht="15" customHeight="1">
      <c r="A114" t="inlineStr">
        <is>
          <t>A 7341-2023</t>
        </is>
      </c>
      <c r="B114" s="1" t="n">
        <v>44971</v>
      </c>
      <c r="C114" s="1" t="n">
        <v>45758</v>
      </c>
      <c r="D114" t="inlineStr">
        <is>
          <t>STOCKHOLMS LÄN</t>
        </is>
      </c>
      <c r="E114" t="inlineStr">
        <is>
          <t>NORRTÄLJE</t>
        </is>
      </c>
      <c r="F114" t="inlineStr">
        <is>
          <t>Holmen skog AB</t>
        </is>
      </c>
      <c r="G114" t="n">
        <v>10.7</v>
      </c>
      <c r="H114" t="n">
        <v>0</v>
      </c>
      <c r="I114" t="n">
        <v>0</v>
      </c>
      <c r="J114" t="n">
        <v>2</v>
      </c>
      <c r="K114" t="n">
        <v>0</v>
      </c>
      <c r="L114" t="n">
        <v>0</v>
      </c>
      <c r="M114" t="n">
        <v>0</v>
      </c>
      <c r="N114" t="n">
        <v>0</v>
      </c>
      <c r="O114" t="n">
        <v>2</v>
      </c>
      <c r="P114" t="n">
        <v>0</v>
      </c>
      <c r="Q114" t="n">
        <v>2</v>
      </c>
      <c r="R114" s="2" t="inlineStr">
        <is>
          <t>Mindre bastardsvärmare
Smalsprötad bastardsvärmare</t>
        </is>
      </c>
      <c r="S114">
        <f>HYPERLINK("https://klasma.github.io/Logging_0188/artfynd/A 7341-2023 artfynd.xlsx", "A 7341-2023")</f>
        <v/>
      </c>
      <c r="T114">
        <f>HYPERLINK("https://klasma.github.io/Logging_0188/kartor/A 7341-2023 karta.png", "A 7341-2023")</f>
        <v/>
      </c>
      <c r="V114">
        <f>HYPERLINK("https://klasma.github.io/Logging_0188/klagomål/A 7341-2023 FSC-klagomål.docx", "A 7341-2023")</f>
        <v/>
      </c>
      <c r="W114">
        <f>HYPERLINK("https://klasma.github.io/Logging_0188/klagomålsmail/A 7341-2023 FSC-klagomål mail.docx", "A 7341-2023")</f>
        <v/>
      </c>
      <c r="X114">
        <f>HYPERLINK("https://klasma.github.io/Logging_0188/tillsyn/A 7341-2023 tillsynsbegäran.docx", "A 7341-2023")</f>
        <v/>
      </c>
      <c r="Y114">
        <f>HYPERLINK("https://klasma.github.io/Logging_0188/tillsynsmail/A 7341-2023 tillsynsbegäran mail.docx", "A 7341-2023")</f>
        <v/>
      </c>
    </row>
    <row r="115" ht="15" customHeight="1">
      <c r="A115" t="inlineStr">
        <is>
          <t>A 10136-2023</t>
        </is>
      </c>
      <c r="B115" s="1" t="n">
        <v>44986</v>
      </c>
      <c r="C115" s="1" t="n">
        <v>45758</v>
      </c>
      <c r="D115" t="inlineStr">
        <is>
          <t>STOCKHOLMS LÄN</t>
        </is>
      </c>
      <c r="E115" t="inlineStr">
        <is>
          <t>NORRTÄLJE</t>
        </is>
      </c>
      <c r="F115" t="inlineStr">
        <is>
          <t>Övriga statliga verk och myndigheter</t>
        </is>
      </c>
      <c r="G115" t="n">
        <v>3.6</v>
      </c>
      <c r="H115" t="n">
        <v>0</v>
      </c>
      <c r="I115" t="n">
        <v>0</v>
      </c>
      <c r="J115" t="n">
        <v>1</v>
      </c>
      <c r="K115" t="n">
        <v>1</v>
      </c>
      <c r="L115" t="n">
        <v>0</v>
      </c>
      <c r="M115" t="n">
        <v>0</v>
      </c>
      <c r="N115" t="n">
        <v>0</v>
      </c>
      <c r="O115" t="n">
        <v>2</v>
      </c>
      <c r="P115" t="n">
        <v>1</v>
      </c>
      <c r="Q115" t="n">
        <v>2</v>
      </c>
      <c r="R115" s="2" t="inlineStr">
        <is>
          <t>Svartfjällig musseron
Persiljespindling</t>
        </is>
      </c>
      <c r="S115">
        <f>HYPERLINK("https://klasma.github.io/Logging_0188/artfynd/A 10136-2023 artfynd.xlsx", "A 10136-2023")</f>
        <v/>
      </c>
      <c r="T115">
        <f>HYPERLINK("https://klasma.github.io/Logging_0188/kartor/A 10136-2023 karta.png", "A 10136-2023")</f>
        <v/>
      </c>
      <c r="V115">
        <f>HYPERLINK("https://klasma.github.io/Logging_0188/klagomål/A 10136-2023 FSC-klagomål.docx", "A 10136-2023")</f>
        <v/>
      </c>
      <c r="W115">
        <f>HYPERLINK("https://klasma.github.io/Logging_0188/klagomålsmail/A 10136-2023 FSC-klagomål mail.docx", "A 10136-2023")</f>
        <v/>
      </c>
      <c r="X115">
        <f>HYPERLINK("https://klasma.github.io/Logging_0188/tillsyn/A 10136-2023 tillsynsbegäran.docx", "A 10136-2023")</f>
        <v/>
      </c>
      <c r="Y115">
        <f>HYPERLINK("https://klasma.github.io/Logging_0188/tillsynsmail/A 10136-2023 tillsynsbegäran mail.docx", "A 10136-2023")</f>
        <v/>
      </c>
    </row>
    <row r="116" ht="15" customHeight="1">
      <c r="A116" t="inlineStr">
        <is>
          <t>A 21748-2023</t>
        </is>
      </c>
      <c r="B116" s="1" t="n">
        <v>45065</v>
      </c>
      <c r="C116" s="1" t="n">
        <v>45758</v>
      </c>
      <c r="D116" t="inlineStr">
        <is>
          <t>STOCKHOLMS LÄN</t>
        </is>
      </c>
      <c r="E116" t="inlineStr">
        <is>
          <t>NORRTÄLJE</t>
        </is>
      </c>
      <c r="F116" t="inlineStr">
        <is>
          <t>Holmen skog AB</t>
        </is>
      </c>
      <c r="G116" t="n">
        <v>2.4</v>
      </c>
      <c r="H116" t="n">
        <v>0</v>
      </c>
      <c r="I116" t="n">
        <v>2</v>
      </c>
      <c r="J116" t="n">
        <v>0</v>
      </c>
      <c r="K116" t="n">
        <v>0</v>
      </c>
      <c r="L116" t="n">
        <v>0</v>
      </c>
      <c r="M116" t="n">
        <v>0</v>
      </c>
      <c r="N116" t="n">
        <v>0</v>
      </c>
      <c r="O116" t="n">
        <v>0</v>
      </c>
      <c r="P116" t="n">
        <v>0</v>
      </c>
      <c r="Q116" t="n">
        <v>2</v>
      </c>
      <c r="R116" s="2" t="inlineStr">
        <is>
          <t>Aspvedgnagare
Tibast</t>
        </is>
      </c>
      <c r="S116">
        <f>HYPERLINK("https://klasma.github.io/Logging_0188/artfynd/A 21748-2023 artfynd.xlsx", "A 21748-2023")</f>
        <v/>
      </c>
      <c r="T116">
        <f>HYPERLINK("https://klasma.github.io/Logging_0188/kartor/A 21748-2023 karta.png", "A 21748-2023")</f>
        <v/>
      </c>
      <c r="V116">
        <f>HYPERLINK("https://klasma.github.io/Logging_0188/klagomål/A 21748-2023 FSC-klagomål.docx", "A 21748-2023")</f>
        <v/>
      </c>
      <c r="W116">
        <f>HYPERLINK("https://klasma.github.io/Logging_0188/klagomålsmail/A 21748-2023 FSC-klagomål mail.docx", "A 21748-2023")</f>
        <v/>
      </c>
      <c r="X116">
        <f>HYPERLINK("https://klasma.github.io/Logging_0188/tillsyn/A 21748-2023 tillsynsbegäran.docx", "A 21748-2023")</f>
        <v/>
      </c>
      <c r="Y116">
        <f>HYPERLINK("https://klasma.github.io/Logging_0188/tillsynsmail/A 21748-2023 tillsynsbegäran mail.docx", "A 21748-2023")</f>
        <v/>
      </c>
    </row>
    <row r="117" ht="15" customHeight="1">
      <c r="A117" t="inlineStr">
        <is>
          <t>A 23861-2023</t>
        </is>
      </c>
      <c r="B117" s="1" t="n">
        <v>45078</v>
      </c>
      <c r="C117" s="1" t="n">
        <v>45758</v>
      </c>
      <c r="D117" t="inlineStr">
        <is>
          <t>STOCKHOLMS LÄN</t>
        </is>
      </c>
      <c r="E117" t="inlineStr">
        <is>
          <t>NORRTÄLJE</t>
        </is>
      </c>
      <c r="G117" t="n">
        <v>3.3</v>
      </c>
      <c r="H117" t="n">
        <v>1</v>
      </c>
      <c r="I117" t="n">
        <v>1</v>
      </c>
      <c r="J117" t="n">
        <v>0</v>
      </c>
      <c r="K117" t="n">
        <v>0</v>
      </c>
      <c r="L117" t="n">
        <v>0</v>
      </c>
      <c r="M117" t="n">
        <v>0</v>
      </c>
      <c r="N117" t="n">
        <v>0</v>
      </c>
      <c r="O117" t="n">
        <v>0</v>
      </c>
      <c r="P117" t="n">
        <v>0</v>
      </c>
      <c r="Q117" t="n">
        <v>2</v>
      </c>
      <c r="R117" s="2" t="inlineStr">
        <is>
          <t>Tibast
Blåsippa</t>
        </is>
      </c>
      <c r="S117">
        <f>HYPERLINK("https://klasma.github.io/Logging_0188/artfynd/A 23861-2023 artfynd.xlsx", "A 23861-2023")</f>
        <v/>
      </c>
      <c r="T117">
        <f>HYPERLINK("https://klasma.github.io/Logging_0188/kartor/A 23861-2023 karta.png", "A 23861-2023")</f>
        <v/>
      </c>
      <c r="V117">
        <f>HYPERLINK("https://klasma.github.io/Logging_0188/klagomål/A 23861-2023 FSC-klagomål.docx", "A 23861-2023")</f>
        <v/>
      </c>
      <c r="W117">
        <f>HYPERLINK("https://klasma.github.io/Logging_0188/klagomålsmail/A 23861-2023 FSC-klagomål mail.docx", "A 23861-2023")</f>
        <v/>
      </c>
      <c r="X117">
        <f>HYPERLINK("https://klasma.github.io/Logging_0188/tillsyn/A 23861-2023 tillsynsbegäran.docx", "A 23861-2023")</f>
        <v/>
      </c>
      <c r="Y117">
        <f>HYPERLINK("https://klasma.github.io/Logging_0188/tillsynsmail/A 23861-2023 tillsynsbegäran mail.docx", "A 23861-2023")</f>
        <v/>
      </c>
    </row>
    <row r="118" ht="15" customHeight="1">
      <c r="A118" t="inlineStr">
        <is>
          <t>A 33287-2023</t>
        </is>
      </c>
      <c r="B118" s="1" t="n">
        <v>45127</v>
      </c>
      <c r="C118" s="1" t="n">
        <v>45758</v>
      </c>
      <c r="D118" t="inlineStr">
        <is>
          <t>STOCKHOLMS LÄN</t>
        </is>
      </c>
      <c r="E118" t="inlineStr">
        <is>
          <t>NORRTÄLJE</t>
        </is>
      </c>
      <c r="F118" t="inlineStr">
        <is>
          <t>Holmen skog AB</t>
        </is>
      </c>
      <c r="G118" t="n">
        <v>3.3</v>
      </c>
      <c r="H118" t="n">
        <v>0</v>
      </c>
      <c r="I118" t="n">
        <v>0</v>
      </c>
      <c r="J118" t="n">
        <v>2</v>
      </c>
      <c r="K118" t="n">
        <v>0</v>
      </c>
      <c r="L118" t="n">
        <v>0</v>
      </c>
      <c r="M118" t="n">
        <v>0</v>
      </c>
      <c r="N118" t="n">
        <v>0</v>
      </c>
      <c r="O118" t="n">
        <v>2</v>
      </c>
      <c r="P118" t="n">
        <v>0</v>
      </c>
      <c r="Q118" t="n">
        <v>2</v>
      </c>
      <c r="R118" s="2" t="inlineStr">
        <is>
          <t>Smalsprötad bastardsvärmare
Violettkantad guldvinge</t>
        </is>
      </c>
      <c r="S118">
        <f>HYPERLINK("https://klasma.github.io/Logging_0188/artfynd/A 33287-2023 artfynd.xlsx", "A 33287-2023")</f>
        <v/>
      </c>
      <c r="T118">
        <f>HYPERLINK("https://klasma.github.io/Logging_0188/kartor/A 33287-2023 karta.png", "A 33287-2023")</f>
        <v/>
      </c>
      <c r="V118">
        <f>HYPERLINK("https://klasma.github.io/Logging_0188/klagomål/A 33287-2023 FSC-klagomål.docx", "A 33287-2023")</f>
        <v/>
      </c>
      <c r="W118">
        <f>HYPERLINK("https://klasma.github.io/Logging_0188/klagomålsmail/A 33287-2023 FSC-klagomål mail.docx", "A 33287-2023")</f>
        <v/>
      </c>
      <c r="X118">
        <f>HYPERLINK("https://klasma.github.io/Logging_0188/tillsyn/A 33287-2023 tillsynsbegäran.docx", "A 33287-2023")</f>
        <v/>
      </c>
      <c r="Y118">
        <f>HYPERLINK("https://klasma.github.io/Logging_0188/tillsynsmail/A 33287-2023 tillsynsbegäran mail.docx", "A 33287-2023")</f>
        <v/>
      </c>
    </row>
    <row r="119" ht="15" customHeight="1">
      <c r="A119" t="inlineStr">
        <is>
          <t>A 51220-2023</t>
        </is>
      </c>
      <c r="B119" s="1" t="n">
        <v>45219</v>
      </c>
      <c r="C119" s="1" t="n">
        <v>45758</v>
      </c>
      <c r="D119" t="inlineStr">
        <is>
          <t>STOCKHOLMS LÄN</t>
        </is>
      </c>
      <c r="E119" t="inlineStr">
        <is>
          <t>NORRTÄLJE</t>
        </is>
      </c>
      <c r="G119" t="n">
        <v>7.7</v>
      </c>
      <c r="H119" t="n">
        <v>1</v>
      </c>
      <c r="I119" t="n">
        <v>0</v>
      </c>
      <c r="J119" t="n">
        <v>1</v>
      </c>
      <c r="K119" t="n">
        <v>0</v>
      </c>
      <c r="L119" t="n">
        <v>0</v>
      </c>
      <c r="M119" t="n">
        <v>0</v>
      </c>
      <c r="N119" t="n">
        <v>0</v>
      </c>
      <c r="O119" t="n">
        <v>1</v>
      </c>
      <c r="P119" t="n">
        <v>0</v>
      </c>
      <c r="Q119" t="n">
        <v>2</v>
      </c>
      <c r="R119" s="2" t="inlineStr">
        <is>
          <t>Ullticka
Blåsippa</t>
        </is>
      </c>
      <c r="S119">
        <f>HYPERLINK("https://klasma.github.io/Logging_0188/artfynd/A 51220-2023 artfynd.xlsx", "A 51220-2023")</f>
        <v/>
      </c>
      <c r="T119">
        <f>HYPERLINK("https://klasma.github.io/Logging_0188/kartor/A 51220-2023 karta.png", "A 51220-2023")</f>
        <v/>
      </c>
      <c r="V119">
        <f>HYPERLINK("https://klasma.github.io/Logging_0188/klagomål/A 51220-2023 FSC-klagomål.docx", "A 51220-2023")</f>
        <v/>
      </c>
      <c r="W119">
        <f>HYPERLINK("https://klasma.github.io/Logging_0188/klagomålsmail/A 51220-2023 FSC-klagomål mail.docx", "A 51220-2023")</f>
        <v/>
      </c>
      <c r="X119">
        <f>HYPERLINK("https://klasma.github.io/Logging_0188/tillsyn/A 51220-2023 tillsynsbegäran.docx", "A 51220-2023")</f>
        <v/>
      </c>
      <c r="Y119">
        <f>HYPERLINK("https://klasma.github.io/Logging_0188/tillsynsmail/A 51220-2023 tillsynsbegäran mail.docx", "A 51220-2023")</f>
        <v/>
      </c>
    </row>
    <row r="120" ht="15" customHeight="1">
      <c r="A120" t="inlineStr">
        <is>
          <t>A 51695-2023</t>
        </is>
      </c>
      <c r="B120" s="1" t="n">
        <v>45222</v>
      </c>
      <c r="C120" s="1" t="n">
        <v>45758</v>
      </c>
      <c r="D120" t="inlineStr">
        <is>
          <t>STOCKHOLMS LÄN</t>
        </is>
      </c>
      <c r="E120" t="inlineStr">
        <is>
          <t>NORRTÄLJE</t>
        </is>
      </c>
      <c r="G120" t="n">
        <v>4.9</v>
      </c>
      <c r="H120" t="n">
        <v>0</v>
      </c>
      <c r="I120" t="n">
        <v>1</v>
      </c>
      <c r="J120" t="n">
        <v>1</v>
      </c>
      <c r="K120" t="n">
        <v>0</v>
      </c>
      <c r="L120" t="n">
        <v>0</v>
      </c>
      <c r="M120" t="n">
        <v>0</v>
      </c>
      <c r="N120" t="n">
        <v>0</v>
      </c>
      <c r="O120" t="n">
        <v>1</v>
      </c>
      <c r="P120" t="n">
        <v>0</v>
      </c>
      <c r="Q120" t="n">
        <v>2</v>
      </c>
      <c r="R120" s="2" t="inlineStr">
        <is>
          <t>Odörspindling
Fjällig taggsvamp s.str.</t>
        </is>
      </c>
      <c r="S120">
        <f>HYPERLINK("https://klasma.github.io/Logging_0188/artfynd/A 51695-2023 artfynd.xlsx", "A 51695-2023")</f>
        <v/>
      </c>
      <c r="T120">
        <f>HYPERLINK("https://klasma.github.io/Logging_0188/kartor/A 51695-2023 karta.png", "A 51695-2023")</f>
        <v/>
      </c>
      <c r="V120">
        <f>HYPERLINK("https://klasma.github.io/Logging_0188/klagomål/A 51695-2023 FSC-klagomål.docx", "A 51695-2023")</f>
        <v/>
      </c>
      <c r="W120">
        <f>HYPERLINK("https://klasma.github.io/Logging_0188/klagomålsmail/A 51695-2023 FSC-klagomål mail.docx", "A 51695-2023")</f>
        <v/>
      </c>
      <c r="X120">
        <f>HYPERLINK("https://klasma.github.io/Logging_0188/tillsyn/A 51695-2023 tillsynsbegäran.docx", "A 51695-2023")</f>
        <v/>
      </c>
      <c r="Y120">
        <f>HYPERLINK("https://klasma.github.io/Logging_0188/tillsynsmail/A 51695-2023 tillsynsbegäran mail.docx", "A 51695-2023")</f>
        <v/>
      </c>
    </row>
    <row r="121" ht="15" customHeight="1">
      <c r="A121" t="inlineStr">
        <is>
          <t>A 52825-2023</t>
        </is>
      </c>
      <c r="B121" s="1" t="n">
        <v>45226</v>
      </c>
      <c r="C121" s="1" t="n">
        <v>45758</v>
      </c>
      <c r="D121" t="inlineStr">
        <is>
          <t>STOCKHOLMS LÄN</t>
        </is>
      </c>
      <c r="E121" t="inlineStr">
        <is>
          <t>NORRTÄLJE</t>
        </is>
      </c>
      <c r="G121" t="n">
        <v>1</v>
      </c>
      <c r="H121" t="n">
        <v>0</v>
      </c>
      <c r="I121" t="n">
        <v>2</v>
      </c>
      <c r="J121" t="n">
        <v>0</v>
      </c>
      <c r="K121" t="n">
        <v>0</v>
      </c>
      <c r="L121" t="n">
        <v>0</v>
      </c>
      <c r="M121" t="n">
        <v>0</v>
      </c>
      <c r="N121" t="n">
        <v>0</v>
      </c>
      <c r="O121" t="n">
        <v>0</v>
      </c>
      <c r="P121" t="n">
        <v>0</v>
      </c>
      <c r="Q121" t="n">
        <v>2</v>
      </c>
      <c r="R121" s="2" t="inlineStr">
        <is>
          <t>Fjällig taggsvamp s.str.
Strimspindling</t>
        </is>
      </c>
      <c r="S121">
        <f>HYPERLINK("https://klasma.github.io/Logging_0188/artfynd/A 52825-2023 artfynd.xlsx", "A 52825-2023")</f>
        <v/>
      </c>
      <c r="T121">
        <f>HYPERLINK("https://klasma.github.io/Logging_0188/kartor/A 52825-2023 karta.png", "A 52825-2023")</f>
        <v/>
      </c>
      <c r="V121">
        <f>HYPERLINK("https://klasma.github.io/Logging_0188/klagomål/A 52825-2023 FSC-klagomål.docx", "A 52825-2023")</f>
        <v/>
      </c>
      <c r="W121">
        <f>HYPERLINK("https://klasma.github.io/Logging_0188/klagomålsmail/A 52825-2023 FSC-klagomål mail.docx", "A 52825-2023")</f>
        <v/>
      </c>
      <c r="X121">
        <f>HYPERLINK("https://klasma.github.io/Logging_0188/tillsyn/A 52825-2023 tillsynsbegäran.docx", "A 52825-2023")</f>
        <v/>
      </c>
      <c r="Y121">
        <f>HYPERLINK("https://klasma.github.io/Logging_0188/tillsynsmail/A 52825-2023 tillsynsbegäran mail.docx", "A 52825-2023")</f>
        <v/>
      </c>
    </row>
    <row r="122" ht="15" customHeight="1">
      <c r="A122" t="inlineStr">
        <is>
          <t>A 4909-2024</t>
        </is>
      </c>
      <c r="B122" s="1" t="n">
        <v>45329</v>
      </c>
      <c r="C122" s="1" t="n">
        <v>45758</v>
      </c>
      <c r="D122" t="inlineStr">
        <is>
          <t>STOCKHOLMS LÄN</t>
        </is>
      </c>
      <c r="E122" t="inlineStr">
        <is>
          <t>NORRTÄLJE</t>
        </is>
      </c>
      <c r="G122" t="n">
        <v>4.1</v>
      </c>
      <c r="H122" t="n">
        <v>0</v>
      </c>
      <c r="I122" t="n">
        <v>2</v>
      </c>
      <c r="J122" t="n">
        <v>0</v>
      </c>
      <c r="K122" t="n">
        <v>0</v>
      </c>
      <c r="L122" t="n">
        <v>0</v>
      </c>
      <c r="M122" t="n">
        <v>0</v>
      </c>
      <c r="N122" t="n">
        <v>0</v>
      </c>
      <c r="O122" t="n">
        <v>0</v>
      </c>
      <c r="P122" t="n">
        <v>0</v>
      </c>
      <c r="Q122" t="n">
        <v>2</v>
      </c>
      <c r="R122" s="2" t="inlineStr">
        <is>
          <t>Fjällig taggsvamp s.str.
Rödgul trumpetsvamp</t>
        </is>
      </c>
      <c r="S122">
        <f>HYPERLINK("https://klasma.github.io/Logging_0188/artfynd/A 4909-2024 artfynd.xlsx", "A 4909-2024")</f>
        <v/>
      </c>
      <c r="T122">
        <f>HYPERLINK("https://klasma.github.io/Logging_0188/kartor/A 4909-2024 karta.png", "A 4909-2024")</f>
        <v/>
      </c>
      <c r="V122">
        <f>HYPERLINK("https://klasma.github.io/Logging_0188/klagomål/A 4909-2024 FSC-klagomål.docx", "A 4909-2024")</f>
        <v/>
      </c>
      <c r="W122">
        <f>HYPERLINK("https://klasma.github.io/Logging_0188/klagomålsmail/A 4909-2024 FSC-klagomål mail.docx", "A 4909-2024")</f>
        <v/>
      </c>
      <c r="X122">
        <f>HYPERLINK("https://klasma.github.io/Logging_0188/tillsyn/A 4909-2024 tillsynsbegäran.docx", "A 4909-2024")</f>
        <v/>
      </c>
      <c r="Y122">
        <f>HYPERLINK("https://klasma.github.io/Logging_0188/tillsynsmail/A 4909-2024 tillsynsbegäran mail.docx", "A 4909-2024")</f>
        <v/>
      </c>
    </row>
    <row r="123" ht="15" customHeight="1">
      <c r="A123" t="inlineStr">
        <is>
          <t>A 11995-2024</t>
        </is>
      </c>
      <c r="B123" s="1" t="n">
        <v>45377</v>
      </c>
      <c r="C123" s="1" t="n">
        <v>45758</v>
      </c>
      <c r="D123" t="inlineStr">
        <is>
          <t>STOCKHOLMS LÄN</t>
        </is>
      </c>
      <c r="E123" t="inlineStr">
        <is>
          <t>NORRTÄLJE</t>
        </is>
      </c>
      <c r="G123" t="n">
        <v>4.7</v>
      </c>
      <c r="H123" t="n">
        <v>0</v>
      </c>
      <c r="I123" t="n">
        <v>1</v>
      </c>
      <c r="J123" t="n">
        <v>1</v>
      </c>
      <c r="K123" t="n">
        <v>0</v>
      </c>
      <c r="L123" t="n">
        <v>0</v>
      </c>
      <c r="M123" t="n">
        <v>0</v>
      </c>
      <c r="N123" t="n">
        <v>0</v>
      </c>
      <c r="O123" t="n">
        <v>1</v>
      </c>
      <c r="P123" t="n">
        <v>0</v>
      </c>
      <c r="Q123" t="n">
        <v>2</v>
      </c>
      <c r="R123" s="2" t="inlineStr">
        <is>
          <t>Tallticka
Svavelriska</t>
        </is>
      </c>
      <c r="S123">
        <f>HYPERLINK("https://klasma.github.io/Logging_0188/artfynd/A 11995-2024 artfynd.xlsx", "A 11995-2024")</f>
        <v/>
      </c>
      <c r="T123">
        <f>HYPERLINK("https://klasma.github.io/Logging_0188/kartor/A 11995-2024 karta.png", "A 11995-2024")</f>
        <v/>
      </c>
      <c r="V123">
        <f>HYPERLINK("https://klasma.github.io/Logging_0188/klagomål/A 11995-2024 FSC-klagomål.docx", "A 11995-2024")</f>
        <v/>
      </c>
      <c r="W123">
        <f>HYPERLINK("https://klasma.github.io/Logging_0188/klagomålsmail/A 11995-2024 FSC-klagomål mail.docx", "A 11995-2024")</f>
        <v/>
      </c>
      <c r="X123">
        <f>HYPERLINK("https://klasma.github.io/Logging_0188/tillsyn/A 11995-2024 tillsynsbegäran.docx", "A 11995-2024")</f>
        <v/>
      </c>
      <c r="Y123">
        <f>HYPERLINK("https://klasma.github.io/Logging_0188/tillsynsmail/A 11995-2024 tillsynsbegäran mail.docx", "A 11995-2024")</f>
        <v/>
      </c>
    </row>
    <row r="124" ht="15" customHeight="1">
      <c r="A124" t="inlineStr">
        <is>
          <t>A 13150-2024</t>
        </is>
      </c>
      <c r="B124" s="1" t="n">
        <v>45386</v>
      </c>
      <c r="C124" s="1" t="n">
        <v>45758</v>
      </c>
      <c r="D124" t="inlineStr">
        <is>
          <t>STOCKHOLMS LÄN</t>
        </is>
      </c>
      <c r="E124" t="inlineStr">
        <is>
          <t>NORRTÄLJE</t>
        </is>
      </c>
      <c r="G124" t="n">
        <v>7.4</v>
      </c>
      <c r="H124" t="n">
        <v>0</v>
      </c>
      <c r="I124" t="n">
        <v>1</v>
      </c>
      <c r="J124" t="n">
        <v>1</v>
      </c>
      <c r="K124" t="n">
        <v>0</v>
      </c>
      <c r="L124" t="n">
        <v>0</v>
      </c>
      <c r="M124" t="n">
        <v>0</v>
      </c>
      <c r="N124" t="n">
        <v>0</v>
      </c>
      <c r="O124" t="n">
        <v>1</v>
      </c>
      <c r="P124" t="n">
        <v>0</v>
      </c>
      <c r="Q124" t="n">
        <v>2</v>
      </c>
      <c r="R124" s="2" t="inlineStr">
        <is>
          <t>Orange taggsvamp
Mönjevaxing</t>
        </is>
      </c>
      <c r="S124">
        <f>HYPERLINK("https://klasma.github.io/Logging_0188/artfynd/A 13150-2024 artfynd.xlsx", "A 13150-2024")</f>
        <v/>
      </c>
      <c r="T124">
        <f>HYPERLINK("https://klasma.github.io/Logging_0188/kartor/A 13150-2024 karta.png", "A 13150-2024")</f>
        <v/>
      </c>
      <c r="V124">
        <f>HYPERLINK("https://klasma.github.io/Logging_0188/klagomål/A 13150-2024 FSC-klagomål.docx", "A 13150-2024")</f>
        <v/>
      </c>
      <c r="W124">
        <f>HYPERLINK("https://klasma.github.io/Logging_0188/klagomålsmail/A 13150-2024 FSC-klagomål mail.docx", "A 13150-2024")</f>
        <v/>
      </c>
      <c r="X124">
        <f>HYPERLINK("https://klasma.github.io/Logging_0188/tillsyn/A 13150-2024 tillsynsbegäran.docx", "A 13150-2024")</f>
        <v/>
      </c>
      <c r="Y124">
        <f>HYPERLINK("https://klasma.github.io/Logging_0188/tillsynsmail/A 13150-2024 tillsynsbegäran mail.docx", "A 13150-2024")</f>
        <v/>
      </c>
    </row>
    <row r="125" ht="15" customHeight="1">
      <c r="A125" t="inlineStr">
        <is>
          <t>A 23583-2024</t>
        </is>
      </c>
      <c r="B125" s="1" t="n">
        <v>45454</v>
      </c>
      <c r="C125" s="1" t="n">
        <v>45758</v>
      </c>
      <c r="D125" t="inlineStr">
        <is>
          <t>STOCKHOLMS LÄN</t>
        </is>
      </c>
      <c r="E125" t="inlineStr">
        <is>
          <t>NORRTÄLJE</t>
        </is>
      </c>
      <c r="G125" t="n">
        <v>7.7</v>
      </c>
      <c r="H125" t="n">
        <v>0</v>
      </c>
      <c r="I125" t="n">
        <v>2</v>
      </c>
      <c r="J125" t="n">
        <v>0</v>
      </c>
      <c r="K125" t="n">
        <v>0</v>
      </c>
      <c r="L125" t="n">
        <v>0</v>
      </c>
      <c r="M125" t="n">
        <v>0</v>
      </c>
      <c r="N125" t="n">
        <v>0</v>
      </c>
      <c r="O125" t="n">
        <v>0</v>
      </c>
      <c r="P125" t="n">
        <v>0</v>
      </c>
      <c r="Q125" t="n">
        <v>2</v>
      </c>
      <c r="R125" s="2" t="inlineStr">
        <is>
          <t>Gulnål
Kattfotslav</t>
        </is>
      </c>
      <c r="S125">
        <f>HYPERLINK("https://klasma.github.io/Logging_0188/artfynd/A 23583-2024 artfynd.xlsx", "A 23583-2024")</f>
        <v/>
      </c>
      <c r="T125">
        <f>HYPERLINK("https://klasma.github.io/Logging_0188/kartor/A 23583-2024 karta.png", "A 23583-2024")</f>
        <v/>
      </c>
      <c r="V125">
        <f>HYPERLINK("https://klasma.github.io/Logging_0188/klagomål/A 23583-2024 FSC-klagomål.docx", "A 23583-2024")</f>
        <v/>
      </c>
      <c r="W125">
        <f>HYPERLINK("https://klasma.github.io/Logging_0188/klagomålsmail/A 23583-2024 FSC-klagomål mail.docx", "A 23583-2024")</f>
        <v/>
      </c>
      <c r="X125">
        <f>HYPERLINK("https://klasma.github.io/Logging_0188/tillsyn/A 23583-2024 tillsynsbegäran.docx", "A 23583-2024")</f>
        <v/>
      </c>
      <c r="Y125">
        <f>HYPERLINK("https://klasma.github.io/Logging_0188/tillsynsmail/A 23583-2024 tillsynsbegäran mail.docx", "A 23583-2024")</f>
        <v/>
      </c>
    </row>
    <row r="126" ht="15" customHeight="1">
      <c r="A126" t="inlineStr">
        <is>
          <t>A 24025-2024</t>
        </is>
      </c>
      <c r="B126" s="1" t="n">
        <v>45456</v>
      </c>
      <c r="C126" s="1" t="n">
        <v>45758</v>
      </c>
      <c r="D126" t="inlineStr">
        <is>
          <t>STOCKHOLMS LÄN</t>
        </is>
      </c>
      <c r="E126" t="inlineStr">
        <is>
          <t>NORRTÄLJE</t>
        </is>
      </c>
      <c r="G126" t="n">
        <v>6</v>
      </c>
      <c r="H126" t="n">
        <v>0</v>
      </c>
      <c r="I126" t="n">
        <v>2</v>
      </c>
      <c r="J126" t="n">
        <v>0</v>
      </c>
      <c r="K126" t="n">
        <v>0</v>
      </c>
      <c r="L126" t="n">
        <v>0</v>
      </c>
      <c r="M126" t="n">
        <v>0</v>
      </c>
      <c r="N126" t="n">
        <v>0</v>
      </c>
      <c r="O126" t="n">
        <v>0</v>
      </c>
      <c r="P126" t="n">
        <v>0</v>
      </c>
      <c r="Q126" t="n">
        <v>2</v>
      </c>
      <c r="R126" s="2" t="inlineStr">
        <is>
          <t>Guldlockmossa
Platt fjädermossa</t>
        </is>
      </c>
      <c r="S126">
        <f>HYPERLINK("https://klasma.github.io/Logging_0188/artfynd/A 24025-2024 artfynd.xlsx", "A 24025-2024")</f>
        <v/>
      </c>
      <c r="T126">
        <f>HYPERLINK("https://klasma.github.io/Logging_0188/kartor/A 24025-2024 karta.png", "A 24025-2024")</f>
        <v/>
      </c>
      <c r="V126">
        <f>HYPERLINK("https://klasma.github.io/Logging_0188/klagomål/A 24025-2024 FSC-klagomål.docx", "A 24025-2024")</f>
        <v/>
      </c>
      <c r="W126">
        <f>HYPERLINK("https://klasma.github.io/Logging_0188/klagomålsmail/A 24025-2024 FSC-klagomål mail.docx", "A 24025-2024")</f>
        <v/>
      </c>
      <c r="X126">
        <f>HYPERLINK("https://klasma.github.io/Logging_0188/tillsyn/A 24025-2024 tillsynsbegäran.docx", "A 24025-2024")</f>
        <v/>
      </c>
      <c r="Y126">
        <f>HYPERLINK("https://klasma.github.io/Logging_0188/tillsynsmail/A 24025-2024 tillsynsbegäran mail.docx", "A 24025-2024")</f>
        <v/>
      </c>
    </row>
    <row r="127" ht="15" customHeight="1">
      <c r="A127" t="inlineStr">
        <is>
          <t>A 50326-2024</t>
        </is>
      </c>
      <c r="B127" s="1" t="n">
        <v>45600</v>
      </c>
      <c r="C127" s="1" t="n">
        <v>45758</v>
      </c>
      <c r="D127" t="inlineStr">
        <is>
          <t>STOCKHOLMS LÄN</t>
        </is>
      </c>
      <c r="E127" t="inlineStr">
        <is>
          <t>NORRTÄLJE</t>
        </is>
      </c>
      <c r="G127" t="n">
        <v>23.9</v>
      </c>
      <c r="H127" t="n">
        <v>1</v>
      </c>
      <c r="I127" t="n">
        <v>1</v>
      </c>
      <c r="J127" t="n">
        <v>1</v>
      </c>
      <c r="K127" t="n">
        <v>0</v>
      </c>
      <c r="L127" t="n">
        <v>0</v>
      </c>
      <c r="M127" t="n">
        <v>0</v>
      </c>
      <c r="N127" t="n">
        <v>0</v>
      </c>
      <c r="O127" t="n">
        <v>1</v>
      </c>
      <c r="P127" t="n">
        <v>0</v>
      </c>
      <c r="Q127" t="n">
        <v>2</v>
      </c>
      <c r="R127" s="2" t="inlineStr">
        <is>
          <t>Sommarfibbla
Nästrot</t>
        </is>
      </c>
      <c r="S127">
        <f>HYPERLINK("https://klasma.github.io/Logging_0188/artfynd/A 50326-2024 artfynd.xlsx", "A 50326-2024")</f>
        <v/>
      </c>
      <c r="T127">
        <f>HYPERLINK("https://klasma.github.io/Logging_0188/kartor/A 50326-2024 karta.png", "A 50326-2024")</f>
        <v/>
      </c>
      <c r="V127">
        <f>HYPERLINK("https://klasma.github.io/Logging_0188/klagomål/A 50326-2024 FSC-klagomål.docx", "A 50326-2024")</f>
        <v/>
      </c>
      <c r="W127">
        <f>HYPERLINK("https://klasma.github.io/Logging_0188/klagomålsmail/A 50326-2024 FSC-klagomål mail.docx", "A 50326-2024")</f>
        <v/>
      </c>
      <c r="X127">
        <f>HYPERLINK("https://klasma.github.io/Logging_0188/tillsyn/A 50326-2024 tillsynsbegäran.docx", "A 50326-2024")</f>
        <v/>
      </c>
      <c r="Y127">
        <f>HYPERLINK("https://klasma.github.io/Logging_0188/tillsynsmail/A 50326-2024 tillsynsbegäran mail.docx", "A 50326-2024")</f>
        <v/>
      </c>
    </row>
    <row r="128" ht="15" customHeight="1">
      <c r="A128" t="inlineStr">
        <is>
          <t>A 52360-2024</t>
        </is>
      </c>
      <c r="B128" s="1" t="n">
        <v>45609</v>
      </c>
      <c r="C128" s="1" t="n">
        <v>45758</v>
      </c>
      <c r="D128" t="inlineStr">
        <is>
          <t>STOCKHOLMS LÄN</t>
        </is>
      </c>
      <c r="E128" t="inlineStr">
        <is>
          <t>NORRTÄLJE</t>
        </is>
      </c>
      <c r="G128" t="n">
        <v>2.2</v>
      </c>
      <c r="H128" t="n">
        <v>1</v>
      </c>
      <c r="I128" t="n">
        <v>1</v>
      </c>
      <c r="J128" t="n">
        <v>0</v>
      </c>
      <c r="K128" t="n">
        <v>0</v>
      </c>
      <c r="L128" t="n">
        <v>0</v>
      </c>
      <c r="M128" t="n">
        <v>0</v>
      </c>
      <c r="N128" t="n">
        <v>0</v>
      </c>
      <c r="O128" t="n">
        <v>0</v>
      </c>
      <c r="P128" t="n">
        <v>0</v>
      </c>
      <c r="Q128" t="n">
        <v>2</v>
      </c>
      <c r="R128" s="2" t="inlineStr">
        <is>
          <t>Brandticka
Blåsippa</t>
        </is>
      </c>
      <c r="S128">
        <f>HYPERLINK("https://klasma.github.io/Logging_0188/artfynd/A 52360-2024 artfynd.xlsx", "A 52360-2024")</f>
        <v/>
      </c>
      <c r="T128">
        <f>HYPERLINK("https://klasma.github.io/Logging_0188/kartor/A 52360-2024 karta.png", "A 52360-2024")</f>
        <v/>
      </c>
      <c r="V128">
        <f>HYPERLINK("https://klasma.github.io/Logging_0188/klagomål/A 52360-2024 FSC-klagomål.docx", "A 52360-2024")</f>
        <v/>
      </c>
      <c r="W128">
        <f>HYPERLINK("https://klasma.github.io/Logging_0188/klagomålsmail/A 52360-2024 FSC-klagomål mail.docx", "A 52360-2024")</f>
        <v/>
      </c>
      <c r="X128">
        <f>HYPERLINK("https://klasma.github.io/Logging_0188/tillsyn/A 52360-2024 tillsynsbegäran.docx", "A 52360-2024")</f>
        <v/>
      </c>
      <c r="Y128">
        <f>HYPERLINK("https://klasma.github.io/Logging_0188/tillsynsmail/A 52360-2024 tillsynsbegäran mail.docx", "A 52360-2024")</f>
        <v/>
      </c>
    </row>
    <row r="129" ht="15" customHeight="1">
      <c r="A129" t="inlineStr">
        <is>
          <t>A 11031-2025</t>
        </is>
      </c>
      <c r="B129" s="1" t="n">
        <v>45723</v>
      </c>
      <c r="C129" s="1" t="n">
        <v>45758</v>
      </c>
      <c r="D129" t="inlineStr">
        <is>
          <t>STOCKHOLMS LÄN</t>
        </is>
      </c>
      <c r="E129" t="inlineStr">
        <is>
          <t>NORRTÄLJE</t>
        </is>
      </c>
      <c r="F129" t="inlineStr">
        <is>
          <t>Övriga Aktiebolag</t>
        </is>
      </c>
      <c r="G129" t="n">
        <v>13.2</v>
      </c>
      <c r="H129" t="n">
        <v>1</v>
      </c>
      <c r="I129" t="n">
        <v>0</v>
      </c>
      <c r="J129" t="n">
        <v>2</v>
      </c>
      <c r="K129" t="n">
        <v>0</v>
      </c>
      <c r="L129" t="n">
        <v>0</v>
      </c>
      <c r="M129" t="n">
        <v>0</v>
      </c>
      <c r="N129" t="n">
        <v>0</v>
      </c>
      <c r="O129" t="n">
        <v>2</v>
      </c>
      <c r="P129" t="n">
        <v>0</v>
      </c>
      <c r="Q129" t="n">
        <v>2</v>
      </c>
      <c r="R129" s="2" t="inlineStr">
        <is>
          <t>Järpe
Ullticka</t>
        </is>
      </c>
      <c r="S129">
        <f>HYPERLINK("https://klasma.github.io/Logging_010188/artfynd/A 11031-2025 artfynd.xlsx", "A 11031-2025")</f>
        <v/>
      </c>
      <c r="T129">
        <f>HYPERLINK("https://klasma.github.io/Logging_010188/kartor/A 11031-2025 karta.png", "A 11031-2025")</f>
        <v/>
      </c>
      <c r="V129">
        <f>HYPERLINK("https://klasma.github.io/Logging_010188/klagomål/A 11031-2025 FSC-klagomål.docx", "A 11031-2025")</f>
        <v/>
      </c>
      <c r="W129">
        <f>HYPERLINK("https://klasma.github.io/Logging_010188/klagomålsmail/A 11031-2025 FSC-klagomål mail.docx", "A 11031-2025")</f>
        <v/>
      </c>
      <c r="X129">
        <f>HYPERLINK("https://klasma.github.io/Logging_010188/tillsyn/A 11031-2025 tillsynsbegäran.docx", "A 11031-2025")</f>
        <v/>
      </c>
      <c r="Y129">
        <f>HYPERLINK("https://klasma.github.io/Logging_010188/tillsynsmail/A 11031-2025 tillsynsbegäran mail.docx", "A 11031-2025")</f>
        <v/>
      </c>
      <c r="Z129">
        <f>HYPERLINK("https://klasma.github.io/Logging_010188/fåglar/A 11031-2025 prioriterade fågelarter.docx", "A 11031-2025")</f>
        <v/>
      </c>
    </row>
    <row r="130" ht="15" customHeight="1">
      <c r="A130" t="inlineStr">
        <is>
          <t>A 15804-2025</t>
        </is>
      </c>
      <c r="B130" s="1" t="n">
        <v>45748</v>
      </c>
      <c r="C130" s="1" t="n">
        <v>45758</v>
      </c>
      <c r="D130" t="inlineStr">
        <is>
          <t>STOCKHOLMS LÄN</t>
        </is>
      </c>
      <c r="E130" t="inlineStr">
        <is>
          <t>NORRTÄLJE</t>
        </is>
      </c>
      <c r="F130" t="inlineStr">
        <is>
          <t>Holmen skog AB</t>
        </is>
      </c>
      <c r="G130" t="n">
        <v>1.7</v>
      </c>
      <c r="H130" t="n">
        <v>1</v>
      </c>
      <c r="I130" t="n">
        <v>0</v>
      </c>
      <c r="J130" t="n">
        <v>1</v>
      </c>
      <c r="K130" t="n">
        <v>0</v>
      </c>
      <c r="L130" t="n">
        <v>1</v>
      </c>
      <c r="M130" t="n">
        <v>0</v>
      </c>
      <c r="N130" t="n">
        <v>0</v>
      </c>
      <c r="O130" t="n">
        <v>2</v>
      </c>
      <c r="P130" t="n">
        <v>1</v>
      </c>
      <c r="Q130" t="n">
        <v>2</v>
      </c>
      <c r="R130" s="2" t="inlineStr">
        <is>
          <t>Asknätfjäril
Slåtterfibbla</t>
        </is>
      </c>
      <c r="S130">
        <f>HYPERLINK("https://klasma.github.io/Logging_010188/artfynd/A 15804-2025 artfynd.xlsx", "A 15804-2025")</f>
        <v/>
      </c>
      <c r="T130">
        <f>HYPERLINK("https://klasma.github.io/Logging_010188/kartor/A 15804-2025 karta.png", "A 15804-2025")</f>
        <v/>
      </c>
      <c r="V130">
        <f>HYPERLINK("https://klasma.github.io/Logging_010188/klagomål/A 15804-2025 FSC-klagomål.docx", "A 15804-2025")</f>
        <v/>
      </c>
      <c r="W130">
        <f>HYPERLINK("https://klasma.github.io/Logging_010188/klagomålsmail/A 15804-2025 FSC-klagomål mail.docx", "A 15804-2025")</f>
        <v/>
      </c>
      <c r="X130">
        <f>HYPERLINK("https://klasma.github.io/Logging_010188/tillsyn/A 15804-2025 tillsynsbegäran.docx", "A 15804-2025")</f>
        <v/>
      </c>
      <c r="Y130">
        <f>HYPERLINK("https://klasma.github.io/Logging_010188/tillsynsmail/A 15804-2025 tillsynsbegäran mail.docx", "A 15804-2025")</f>
        <v/>
      </c>
    </row>
    <row r="131" ht="15" customHeight="1">
      <c r="A131" t="inlineStr">
        <is>
          <t>A 20740-2019</t>
        </is>
      </c>
      <c r="B131" s="1" t="n">
        <v>43573</v>
      </c>
      <c r="C131" s="1" t="n">
        <v>45758</v>
      </c>
      <c r="D131" t="inlineStr">
        <is>
          <t>STOCKHOLMS LÄN</t>
        </is>
      </c>
      <c r="E131" t="inlineStr">
        <is>
          <t>NORRTÄLJE</t>
        </is>
      </c>
      <c r="G131" t="n">
        <v>1.6</v>
      </c>
      <c r="H131" t="n">
        <v>0</v>
      </c>
      <c r="I131" t="n">
        <v>0</v>
      </c>
      <c r="J131" t="n">
        <v>1</v>
      </c>
      <c r="K131" t="n">
        <v>0</v>
      </c>
      <c r="L131" t="n">
        <v>0</v>
      </c>
      <c r="M131" t="n">
        <v>0</v>
      </c>
      <c r="N131" t="n">
        <v>0</v>
      </c>
      <c r="O131" t="n">
        <v>1</v>
      </c>
      <c r="P131" t="n">
        <v>0</v>
      </c>
      <c r="Q131" t="n">
        <v>1</v>
      </c>
      <c r="R131" s="2" t="inlineStr">
        <is>
          <t>Slåtterfibbla</t>
        </is>
      </c>
      <c r="S131">
        <f>HYPERLINK("https://klasma.github.io/Logging_0188/artfynd/A 20740-2019 artfynd.xlsx", "A 20740-2019")</f>
        <v/>
      </c>
      <c r="T131">
        <f>HYPERLINK("https://klasma.github.io/Logging_0188/kartor/A 20740-2019 karta.png", "A 20740-2019")</f>
        <v/>
      </c>
      <c r="V131">
        <f>HYPERLINK("https://klasma.github.io/Logging_0188/klagomål/A 20740-2019 FSC-klagomål.docx", "A 20740-2019")</f>
        <v/>
      </c>
      <c r="W131">
        <f>HYPERLINK("https://klasma.github.io/Logging_0188/klagomålsmail/A 20740-2019 FSC-klagomål mail.docx", "A 20740-2019")</f>
        <v/>
      </c>
      <c r="X131">
        <f>HYPERLINK("https://klasma.github.io/Logging_0188/tillsyn/A 20740-2019 tillsynsbegäran.docx", "A 20740-2019")</f>
        <v/>
      </c>
      <c r="Y131">
        <f>HYPERLINK("https://klasma.github.io/Logging_0188/tillsynsmail/A 20740-2019 tillsynsbegäran mail.docx", "A 20740-2019")</f>
        <v/>
      </c>
    </row>
    <row r="132" ht="15" customHeight="1">
      <c r="A132" t="inlineStr">
        <is>
          <t>A 26275-2019</t>
        </is>
      </c>
      <c r="B132" s="1" t="n">
        <v>43611</v>
      </c>
      <c r="C132" s="1" t="n">
        <v>45758</v>
      </c>
      <c r="D132" t="inlineStr">
        <is>
          <t>STOCKHOLMS LÄN</t>
        </is>
      </c>
      <c r="E132" t="inlineStr">
        <is>
          <t>NORRTÄLJE</t>
        </is>
      </c>
      <c r="G132" t="n">
        <v>0.5</v>
      </c>
      <c r="H132" t="n">
        <v>0</v>
      </c>
      <c r="I132" t="n">
        <v>1</v>
      </c>
      <c r="J132" t="n">
        <v>0</v>
      </c>
      <c r="K132" t="n">
        <v>0</v>
      </c>
      <c r="L132" t="n">
        <v>0</v>
      </c>
      <c r="M132" t="n">
        <v>0</v>
      </c>
      <c r="N132" t="n">
        <v>0</v>
      </c>
      <c r="O132" t="n">
        <v>0</v>
      </c>
      <c r="P132" t="n">
        <v>0</v>
      </c>
      <c r="Q132" t="n">
        <v>1</v>
      </c>
      <c r="R132" s="2" t="inlineStr">
        <is>
          <t>Blåmossa</t>
        </is>
      </c>
      <c r="S132">
        <f>HYPERLINK("https://klasma.github.io/Logging_0188/artfynd/A 26275-2019 artfynd.xlsx", "A 26275-2019")</f>
        <v/>
      </c>
      <c r="T132">
        <f>HYPERLINK("https://klasma.github.io/Logging_0188/kartor/A 26275-2019 karta.png", "A 26275-2019")</f>
        <v/>
      </c>
      <c r="V132">
        <f>HYPERLINK("https://klasma.github.io/Logging_0188/klagomål/A 26275-2019 FSC-klagomål.docx", "A 26275-2019")</f>
        <v/>
      </c>
      <c r="W132">
        <f>HYPERLINK("https://klasma.github.io/Logging_0188/klagomålsmail/A 26275-2019 FSC-klagomål mail.docx", "A 26275-2019")</f>
        <v/>
      </c>
      <c r="X132">
        <f>HYPERLINK("https://klasma.github.io/Logging_0188/tillsyn/A 26275-2019 tillsynsbegäran.docx", "A 26275-2019")</f>
        <v/>
      </c>
      <c r="Y132">
        <f>HYPERLINK("https://klasma.github.io/Logging_0188/tillsynsmail/A 26275-2019 tillsynsbegäran mail.docx", "A 26275-2019")</f>
        <v/>
      </c>
    </row>
    <row r="133" ht="15" customHeight="1">
      <c r="A133" t="inlineStr">
        <is>
          <t>A 30011-2019</t>
        </is>
      </c>
      <c r="B133" s="1" t="n">
        <v>43633</v>
      </c>
      <c r="C133" s="1" t="n">
        <v>45758</v>
      </c>
      <c r="D133" t="inlineStr">
        <is>
          <t>STOCKHOLMS LÄN</t>
        </is>
      </c>
      <c r="E133" t="inlineStr">
        <is>
          <t>NORRTÄLJE</t>
        </is>
      </c>
      <c r="G133" t="n">
        <v>2.6</v>
      </c>
      <c r="H133" t="n">
        <v>0</v>
      </c>
      <c r="I133" t="n">
        <v>1</v>
      </c>
      <c r="J133" t="n">
        <v>0</v>
      </c>
      <c r="K133" t="n">
        <v>0</v>
      </c>
      <c r="L133" t="n">
        <v>0</v>
      </c>
      <c r="M133" t="n">
        <v>0</v>
      </c>
      <c r="N133" t="n">
        <v>0</v>
      </c>
      <c r="O133" t="n">
        <v>0</v>
      </c>
      <c r="P133" t="n">
        <v>0</v>
      </c>
      <c r="Q133" t="n">
        <v>1</v>
      </c>
      <c r="R133" s="2" t="inlineStr">
        <is>
          <t>Tibast</t>
        </is>
      </c>
      <c r="S133">
        <f>HYPERLINK("https://klasma.github.io/Logging_0188/artfynd/A 30011-2019 artfynd.xlsx", "A 30011-2019")</f>
        <v/>
      </c>
      <c r="T133">
        <f>HYPERLINK("https://klasma.github.io/Logging_0188/kartor/A 30011-2019 karta.png", "A 30011-2019")</f>
        <v/>
      </c>
      <c r="V133">
        <f>HYPERLINK("https://klasma.github.io/Logging_0188/klagomål/A 30011-2019 FSC-klagomål.docx", "A 30011-2019")</f>
        <v/>
      </c>
      <c r="W133">
        <f>HYPERLINK("https://klasma.github.io/Logging_0188/klagomålsmail/A 30011-2019 FSC-klagomål mail.docx", "A 30011-2019")</f>
        <v/>
      </c>
      <c r="X133">
        <f>HYPERLINK("https://klasma.github.io/Logging_0188/tillsyn/A 30011-2019 tillsynsbegäran.docx", "A 30011-2019")</f>
        <v/>
      </c>
      <c r="Y133">
        <f>HYPERLINK("https://klasma.github.io/Logging_0188/tillsynsmail/A 30011-2019 tillsynsbegäran mail.docx", "A 30011-2019")</f>
        <v/>
      </c>
    </row>
    <row r="134" ht="15" customHeight="1">
      <c r="A134" t="inlineStr">
        <is>
          <t>A 38137-2019</t>
        </is>
      </c>
      <c r="B134" s="1" t="n">
        <v>43684</v>
      </c>
      <c r="C134" s="1" t="n">
        <v>45758</v>
      </c>
      <c r="D134" t="inlineStr">
        <is>
          <t>STOCKHOLMS LÄN</t>
        </is>
      </c>
      <c r="E134" t="inlineStr">
        <is>
          <t>NORRTÄLJE</t>
        </is>
      </c>
      <c r="G134" t="n">
        <v>12.9</v>
      </c>
      <c r="H134" t="n">
        <v>0</v>
      </c>
      <c r="I134" t="n">
        <v>0</v>
      </c>
      <c r="J134" t="n">
        <v>1</v>
      </c>
      <c r="K134" t="n">
        <v>0</v>
      </c>
      <c r="L134" t="n">
        <v>0</v>
      </c>
      <c r="M134" t="n">
        <v>0</v>
      </c>
      <c r="N134" t="n">
        <v>0</v>
      </c>
      <c r="O134" t="n">
        <v>1</v>
      </c>
      <c r="P134" t="n">
        <v>0</v>
      </c>
      <c r="Q134" t="n">
        <v>1</v>
      </c>
      <c r="R134" s="2" t="inlineStr">
        <is>
          <t>Rutskinn</t>
        </is>
      </c>
      <c r="S134">
        <f>HYPERLINK("https://klasma.github.io/Logging_0188/artfynd/A 38137-2019 artfynd.xlsx", "A 38137-2019")</f>
        <v/>
      </c>
      <c r="T134">
        <f>HYPERLINK("https://klasma.github.io/Logging_0188/kartor/A 38137-2019 karta.png", "A 38137-2019")</f>
        <v/>
      </c>
      <c r="V134">
        <f>HYPERLINK("https://klasma.github.io/Logging_0188/klagomål/A 38137-2019 FSC-klagomål.docx", "A 38137-2019")</f>
        <v/>
      </c>
      <c r="W134">
        <f>HYPERLINK("https://klasma.github.io/Logging_0188/klagomålsmail/A 38137-2019 FSC-klagomål mail.docx", "A 38137-2019")</f>
        <v/>
      </c>
      <c r="X134">
        <f>HYPERLINK("https://klasma.github.io/Logging_0188/tillsyn/A 38137-2019 tillsynsbegäran.docx", "A 38137-2019")</f>
        <v/>
      </c>
      <c r="Y134">
        <f>HYPERLINK("https://klasma.github.io/Logging_0188/tillsynsmail/A 38137-2019 tillsynsbegäran mail.docx", "A 38137-2019")</f>
        <v/>
      </c>
    </row>
    <row r="135" ht="15" customHeight="1">
      <c r="A135" t="inlineStr">
        <is>
          <t>A 62848-2019</t>
        </is>
      </c>
      <c r="B135" s="1" t="n">
        <v>43790</v>
      </c>
      <c r="C135" s="1" t="n">
        <v>45758</v>
      </c>
      <c r="D135" t="inlineStr">
        <is>
          <t>STOCKHOLMS LÄN</t>
        </is>
      </c>
      <c r="E135" t="inlineStr">
        <is>
          <t>NORRTÄLJE</t>
        </is>
      </c>
      <c r="F135" t="inlineStr">
        <is>
          <t>Holmen skog AB</t>
        </is>
      </c>
      <c r="G135" t="n">
        <v>6.6</v>
      </c>
      <c r="H135" t="n">
        <v>1</v>
      </c>
      <c r="I135" t="n">
        <v>0</v>
      </c>
      <c r="J135" t="n">
        <v>0</v>
      </c>
      <c r="K135" t="n">
        <v>0</v>
      </c>
      <c r="L135" t="n">
        <v>1</v>
      </c>
      <c r="M135" t="n">
        <v>0</v>
      </c>
      <c r="N135" t="n">
        <v>0</v>
      </c>
      <c r="O135" t="n">
        <v>1</v>
      </c>
      <c r="P135" t="n">
        <v>1</v>
      </c>
      <c r="Q135" t="n">
        <v>1</v>
      </c>
      <c r="R135" s="2" t="inlineStr">
        <is>
          <t>Asknätfjäril</t>
        </is>
      </c>
      <c r="S135">
        <f>HYPERLINK("https://klasma.github.io/Logging_0188/artfynd/A 62848-2019 artfynd.xlsx", "A 62848-2019")</f>
        <v/>
      </c>
      <c r="T135">
        <f>HYPERLINK("https://klasma.github.io/Logging_0188/kartor/A 62848-2019 karta.png", "A 62848-2019")</f>
        <v/>
      </c>
      <c r="V135">
        <f>HYPERLINK("https://klasma.github.io/Logging_0188/klagomål/A 62848-2019 FSC-klagomål.docx", "A 62848-2019")</f>
        <v/>
      </c>
      <c r="W135">
        <f>HYPERLINK("https://klasma.github.io/Logging_0188/klagomålsmail/A 62848-2019 FSC-klagomål mail.docx", "A 62848-2019")</f>
        <v/>
      </c>
      <c r="X135">
        <f>HYPERLINK("https://klasma.github.io/Logging_0188/tillsyn/A 62848-2019 tillsynsbegäran.docx", "A 62848-2019")</f>
        <v/>
      </c>
      <c r="Y135">
        <f>HYPERLINK("https://klasma.github.io/Logging_0188/tillsynsmail/A 62848-2019 tillsynsbegäran mail.docx", "A 62848-2019")</f>
        <v/>
      </c>
    </row>
    <row r="136" ht="15" customHeight="1">
      <c r="A136" t="inlineStr">
        <is>
          <t>A 64849-2019</t>
        </is>
      </c>
      <c r="B136" s="1" t="n">
        <v>43801</v>
      </c>
      <c r="C136" s="1" t="n">
        <v>45758</v>
      </c>
      <c r="D136" t="inlineStr">
        <is>
          <t>STOCKHOLMS LÄN</t>
        </is>
      </c>
      <c r="E136" t="inlineStr">
        <is>
          <t>NORRTÄLJE</t>
        </is>
      </c>
      <c r="G136" t="n">
        <v>1.6</v>
      </c>
      <c r="H136" t="n">
        <v>0</v>
      </c>
      <c r="I136" t="n">
        <v>0</v>
      </c>
      <c r="J136" t="n">
        <v>1</v>
      </c>
      <c r="K136" t="n">
        <v>0</v>
      </c>
      <c r="L136" t="n">
        <v>0</v>
      </c>
      <c r="M136" t="n">
        <v>0</v>
      </c>
      <c r="N136" t="n">
        <v>0</v>
      </c>
      <c r="O136" t="n">
        <v>1</v>
      </c>
      <c r="P136" t="n">
        <v>0</v>
      </c>
      <c r="Q136" t="n">
        <v>1</v>
      </c>
      <c r="R136" s="2" t="inlineStr">
        <is>
          <t>Skogsklocka</t>
        </is>
      </c>
      <c r="S136">
        <f>HYPERLINK("https://klasma.github.io/Logging_0188/artfynd/A 64849-2019 artfynd.xlsx", "A 64849-2019")</f>
        <v/>
      </c>
      <c r="T136">
        <f>HYPERLINK("https://klasma.github.io/Logging_0188/kartor/A 64849-2019 karta.png", "A 64849-2019")</f>
        <v/>
      </c>
      <c r="V136">
        <f>HYPERLINK("https://klasma.github.io/Logging_0188/klagomål/A 64849-2019 FSC-klagomål.docx", "A 64849-2019")</f>
        <v/>
      </c>
      <c r="W136">
        <f>HYPERLINK("https://klasma.github.io/Logging_0188/klagomålsmail/A 64849-2019 FSC-klagomål mail.docx", "A 64849-2019")</f>
        <v/>
      </c>
      <c r="X136">
        <f>HYPERLINK("https://klasma.github.io/Logging_0188/tillsyn/A 64849-2019 tillsynsbegäran.docx", "A 64849-2019")</f>
        <v/>
      </c>
      <c r="Y136">
        <f>HYPERLINK("https://klasma.github.io/Logging_0188/tillsynsmail/A 64849-2019 tillsynsbegäran mail.docx", "A 64849-2019")</f>
        <v/>
      </c>
    </row>
    <row r="137" ht="15" customHeight="1">
      <c r="A137" t="inlineStr">
        <is>
          <t>A 2808-2020</t>
        </is>
      </c>
      <c r="B137" s="1" t="n">
        <v>43850</v>
      </c>
      <c r="C137" s="1" t="n">
        <v>45758</v>
      </c>
      <c r="D137" t="inlineStr">
        <is>
          <t>STOCKHOLMS LÄN</t>
        </is>
      </c>
      <c r="E137" t="inlineStr">
        <is>
          <t>NORRTÄLJE</t>
        </is>
      </c>
      <c r="G137" t="n">
        <v>1</v>
      </c>
      <c r="H137" t="n">
        <v>1</v>
      </c>
      <c r="I137" t="n">
        <v>0</v>
      </c>
      <c r="J137" t="n">
        <v>0</v>
      </c>
      <c r="K137" t="n">
        <v>1</v>
      </c>
      <c r="L137" t="n">
        <v>0</v>
      </c>
      <c r="M137" t="n">
        <v>0</v>
      </c>
      <c r="N137" t="n">
        <v>0</v>
      </c>
      <c r="O137" t="n">
        <v>1</v>
      </c>
      <c r="P137" t="n">
        <v>1</v>
      </c>
      <c r="Q137" t="n">
        <v>1</v>
      </c>
      <c r="R137" s="2" t="inlineStr">
        <is>
          <t>Knärot</t>
        </is>
      </c>
      <c r="S137">
        <f>HYPERLINK("https://klasma.github.io/Logging_0188/artfynd/A 2808-2020 artfynd.xlsx", "A 2808-2020")</f>
        <v/>
      </c>
      <c r="T137">
        <f>HYPERLINK("https://klasma.github.io/Logging_0188/kartor/A 2808-2020 karta.png", "A 2808-2020")</f>
        <v/>
      </c>
      <c r="U137">
        <f>HYPERLINK("https://klasma.github.io/Logging_0188/knärot/A 2808-2020 karta knärot.png", "A 2808-2020")</f>
        <v/>
      </c>
      <c r="V137">
        <f>HYPERLINK("https://klasma.github.io/Logging_0188/klagomål/A 2808-2020 FSC-klagomål.docx", "A 2808-2020")</f>
        <v/>
      </c>
      <c r="W137">
        <f>HYPERLINK("https://klasma.github.io/Logging_0188/klagomålsmail/A 2808-2020 FSC-klagomål mail.docx", "A 2808-2020")</f>
        <v/>
      </c>
      <c r="X137">
        <f>HYPERLINK("https://klasma.github.io/Logging_0188/tillsyn/A 2808-2020 tillsynsbegäran.docx", "A 2808-2020")</f>
        <v/>
      </c>
      <c r="Y137">
        <f>HYPERLINK("https://klasma.github.io/Logging_0188/tillsynsmail/A 2808-2020 tillsynsbegäran mail.docx", "A 2808-2020")</f>
        <v/>
      </c>
    </row>
    <row r="138" ht="15" customHeight="1">
      <c r="A138" t="inlineStr">
        <is>
          <t>A 2796-2020</t>
        </is>
      </c>
      <c r="B138" s="1" t="n">
        <v>43850</v>
      </c>
      <c r="C138" s="1" t="n">
        <v>45758</v>
      </c>
      <c r="D138" t="inlineStr">
        <is>
          <t>STOCKHOLMS LÄN</t>
        </is>
      </c>
      <c r="E138" t="inlineStr">
        <is>
          <t>NORRTÄLJE</t>
        </is>
      </c>
      <c r="G138" t="n">
        <v>5.6</v>
      </c>
      <c r="H138" t="n">
        <v>1</v>
      </c>
      <c r="I138" t="n">
        <v>1</v>
      </c>
      <c r="J138" t="n">
        <v>0</v>
      </c>
      <c r="K138" t="n">
        <v>0</v>
      </c>
      <c r="L138" t="n">
        <v>0</v>
      </c>
      <c r="M138" t="n">
        <v>0</v>
      </c>
      <c r="N138" t="n">
        <v>0</v>
      </c>
      <c r="O138" t="n">
        <v>0</v>
      </c>
      <c r="P138" t="n">
        <v>0</v>
      </c>
      <c r="Q138" t="n">
        <v>1</v>
      </c>
      <c r="R138" s="2" t="inlineStr">
        <is>
          <t>Spindelblomster</t>
        </is>
      </c>
      <c r="S138">
        <f>HYPERLINK("https://klasma.github.io/Logging_0188/artfynd/A 2796-2020 artfynd.xlsx", "A 2796-2020")</f>
        <v/>
      </c>
      <c r="T138">
        <f>HYPERLINK("https://klasma.github.io/Logging_0188/kartor/A 2796-2020 karta.png", "A 2796-2020")</f>
        <v/>
      </c>
      <c r="V138">
        <f>HYPERLINK("https://klasma.github.io/Logging_0188/klagomål/A 2796-2020 FSC-klagomål.docx", "A 2796-2020")</f>
        <v/>
      </c>
      <c r="W138">
        <f>HYPERLINK("https://klasma.github.io/Logging_0188/klagomålsmail/A 2796-2020 FSC-klagomål mail.docx", "A 2796-2020")</f>
        <v/>
      </c>
      <c r="X138">
        <f>HYPERLINK("https://klasma.github.io/Logging_0188/tillsyn/A 2796-2020 tillsynsbegäran.docx", "A 2796-2020")</f>
        <v/>
      </c>
      <c r="Y138">
        <f>HYPERLINK("https://klasma.github.io/Logging_0188/tillsynsmail/A 2796-2020 tillsynsbegäran mail.docx", "A 2796-2020")</f>
        <v/>
      </c>
    </row>
    <row r="139" ht="15" customHeight="1">
      <c r="A139" t="inlineStr">
        <is>
          <t>A 9051-2020</t>
        </is>
      </c>
      <c r="B139" s="1" t="n">
        <v>43879</v>
      </c>
      <c r="C139" s="1" t="n">
        <v>45758</v>
      </c>
      <c r="D139" t="inlineStr">
        <is>
          <t>STOCKHOLMS LÄN</t>
        </is>
      </c>
      <c r="E139" t="inlineStr">
        <is>
          <t>NORRTÄLJE</t>
        </is>
      </c>
      <c r="G139" t="n">
        <v>12.5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9051-2020 artfynd.xlsx", "A 9051-2020")</f>
        <v/>
      </c>
      <c r="T139">
        <f>HYPERLINK("https://klasma.github.io/Logging_0188/kartor/A 9051-2020 karta.png", "A 9051-2020")</f>
        <v/>
      </c>
      <c r="V139">
        <f>HYPERLINK("https://klasma.github.io/Logging_0188/klagomål/A 9051-2020 FSC-klagomål.docx", "A 9051-2020")</f>
        <v/>
      </c>
      <c r="W139">
        <f>HYPERLINK("https://klasma.github.io/Logging_0188/klagomålsmail/A 9051-2020 FSC-klagomål mail.docx", "A 9051-2020")</f>
        <v/>
      </c>
      <c r="X139">
        <f>HYPERLINK("https://klasma.github.io/Logging_0188/tillsyn/A 9051-2020 tillsynsbegäran.docx", "A 9051-2020")</f>
        <v/>
      </c>
      <c r="Y139">
        <f>HYPERLINK("https://klasma.github.io/Logging_0188/tillsynsmail/A 9051-2020 tillsynsbegäran mail.docx", "A 9051-2020")</f>
        <v/>
      </c>
    </row>
    <row r="140" ht="15" customHeight="1">
      <c r="A140" t="inlineStr">
        <is>
          <t>A 12843-2020</t>
        </is>
      </c>
      <c r="B140" s="1" t="n">
        <v>43899</v>
      </c>
      <c r="C140" s="1" t="n">
        <v>45758</v>
      </c>
      <c r="D140" t="inlineStr">
        <is>
          <t>STOCKHOLMS LÄN</t>
        </is>
      </c>
      <c r="E140" t="inlineStr">
        <is>
          <t>NORRTÄLJE</t>
        </is>
      </c>
      <c r="G140" t="n">
        <v>7.5</v>
      </c>
      <c r="H140" t="n">
        <v>1</v>
      </c>
      <c r="I140" t="n">
        <v>0</v>
      </c>
      <c r="J140" t="n">
        <v>1</v>
      </c>
      <c r="K140" t="n">
        <v>0</v>
      </c>
      <c r="L140" t="n">
        <v>0</v>
      </c>
      <c r="M140" t="n">
        <v>0</v>
      </c>
      <c r="N140" t="n">
        <v>0</v>
      </c>
      <c r="O140" t="n">
        <v>1</v>
      </c>
      <c r="P140" t="n">
        <v>0</v>
      </c>
      <c r="Q140" t="n">
        <v>1</v>
      </c>
      <c r="R140" s="2" t="inlineStr">
        <is>
          <t>Talltita</t>
        </is>
      </c>
      <c r="S140">
        <f>HYPERLINK("https://klasma.github.io/Logging_0188/artfynd/A 12843-2020 artfynd.xlsx", "A 12843-2020")</f>
        <v/>
      </c>
      <c r="T140">
        <f>HYPERLINK("https://klasma.github.io/Logging_0188/kartor/A 12843-2020 karta.png", "A 12843-2020")</f>
        <v/>
      </c>
      <c r="V140">
        <f>HYPERLINK("https://klasma.github.io/Logging_0188/klagomål/A 12843-2020 FSC-klagomål.docx", "A 12843-2020")</f>
        <v/>
      </c>
      <c r="W140">
        <f>HYPERLINK("https://klasma.github.io/Logging_0188/klagomålsmail/A 12843-2020 FSC-klagomål mail.docx", "A 12843-2020")</f>
        <v/>
      </c>
      <c r="X140">
        <f>HYPERLINK("https://klasma.github.io/Logging_0188/tillsyn/A 12843-2020 tillsynsbegäran.docx", "A 12843-2020")</f>
        <v/>
      </c>
      <c r="Y140">
        <f>HYPERLINK("https://klasma.github.io/Logging_0188/tillsynsmail/A 12843-2020 tillsynsbegäran mail.docx", "A 12843-2020")</f>
        <v/>
      </c>
      <c r="Z140">
        <f>HYPERLINK("https://klasma.github.io/Logging_0188/fåglar/A 12843-2020 prioriterade fågelarter.docx", "A 12843-2020")</f>
        <v/>
      </c>
    </row>
    <row r="141" ht="15" customHeight="1">
      <c r="A141" t="inlineStr">
        <is>
          <t>A 28380-2020</t>
        </is>
      </c>
      <c r="B141" s="1" t="n">
        <v>43998</v>
      </c>
      <c r="C141" s="1" t="n">
        <v>45758</v>
      </c>
      <c r="D141" t="inlineStr">
        <is>
          <t>STOCKHOLMS LÄN</t>
        </is>
      </c>
      <c r="E141" t="inlineStr">
        <is>
          <t>NORRTÄLJE</t>
        </is>
      </c>
      <c r="G141" t="n">
        <v>43</v>
      </c>
      <c r="H141" t="n">
        <v>1</v>
      </c>
      <c r="I141" t="n">
        <v>0</v>
      </c>
      <c r="J141" t="n">
        <v>0</v>
      </c>
      <c r="K141" t="n">
        <v>0</v>
      </c>
      <c r="L141" t="n">
        <v>1</v>
      </c>
      <c r="M141" t="n">
        <v>0</v>
      </c>
      <c r="N141" t="n">
        <v>0</v>
      </c>
      <c r="O141" t="n">
        <v>1</v>
      </c>
      <c r="P141" t="n">
        <v>1</v>
      </c>
      <c r="Q141" t="n">
        <v>1</v>
      </c>
      <c r="R141" s="2" t="inlineStr">
        <is>
          <t>Asknätfjäril</t>
        </is>
      </c>
      <c r="S141">
        <f>HYPERLINK("https://klasma.github.io/Logging_0188/artfynd/A 28380-2020 artfynd.xlsx", "A 28380-2020")</f>
        <v/>
      </c>
      <c r="T141">
        <f>HYPERLINK("https://klasma.github.io/Logging_0188/kartor/A 28380-2020 karta.png", "A 28380-2020")</f>
        <v/>
      </c>
      <c r="V141">
        <f>HYPERLINK("https://klasma.github.io/Logging_0188/klagomål/A 28380-2020 FSC-klagomål.docx", "A 28380-2020")</f>
        <v/>
      </c>
      <c r="W141">
        <f>HYPERLINK("https://klasma.github.io/Logging_0188/klagomålsmail/A 28380-2020 FSC-klagomål mail.docx", "A 28380-2020")</f>
        <v/>
      </c>
      <c r="X141">
        <f>HYPERLINK("https://klasma.github.io/Logging_0188/tillsyn/A 28380-2020 tillsynsbegäran.docx", "A 28380-2020")</f>
        <v/>
      </c>
      <c r="Y141">
        <f>HYPERLINK("https://klasma.github.io/Logging_0188/tillsynsmail/A 28380-2020 tillsynsbegäran mail.docx", "A 28380-2020")</f>
        <v/>
      </c>
    </row>
    <row r="142" ht="15" customHeight="1">
      <c r="A142" t="inlineStr">
        <is>
          <t>A 48288-2020</t>
        </is>
      </c>
      <c r="B142" s="1" t="n">
        <v>44102</v>
      </c>
      <c r="C142" s="1" t="n">
        <v>45758</v>
      </c>
      <c r="D142" t="inlineStr">
        <is>
          <t>STOCKHOLMS LÄN</t>
        </is>
      </c>
      <c r="E142" t="inlineStr">
        <is>
          <t>NORRTÄLJE</t>
        </is>
      </c>
      <c r="F142" t="inlineStr">
        <is>
          <t>Holmen skog AB</t>
        </is>
      </c>
      <c r="G142" t="n">
        <v>2.9</v>
      </c>
      <c r="H142" t="n">
        <v>1</v>
      </c>
      <c r="I142" t="n">
        <v>0</v>
      </c>
      <c r="J142" t="n">
        <v>0</v>
      </c>
      <c r="K142" t="n">
        <v>0</v>
      </c>
      <c r="L142" t="n">
        <v>1</v>
      </c>
      <c r="M142" t="n">
        <v>0</v>
      </c>
      <c r="N142" t="n">
        <v>0</v>
      </c>
      <c r="O142" t="n">
        <v>1</v>
      </c>
      <c r="P142" t="n">
        <v>1</v>
      </c>
      <c r="Q142" t="n">
        <v>1</v>
      </c>
      <c r="R142" s="2" t="inlineStr">
        <is>
          <t>Asknätfjäril</t>
        </is>
      </c>
      <c r="S142">
        <f>HYPERLINK("https://klasma.github.io/Logging_0188/artfynd/A 48288-2020 artfynd.xlsx", "A 48288-2020")</f>
        <v/>
      </c>
      <c r="T142">
        <f>HYPERLINK("https://klasma.github.io/Logging_0188/kartor/A 48288-2020 karta.png", "A 48288-2020")</f>
        <v/>
      </c>
      <c r="V142">
        <f>HYPERLINK("https://klasma.github.io/Logging_0188/klagomål/A 48288-2020 FSC-klagomål.docx", "A 48288-2020")</f>
        <v/>
      </c>
      <c r="W142">
        <f>HYPERLINK("https://klasma.github.io/Logging_0188/klagomålsmail/A 48288-2020 FSC-klagomål mail.docx", "A 48288-2020")</f>
        <v/>
      </c>
      <c r="X142">
        <f>HYPERLINK("https://klasma.github.io/Logging_0188/tillsyn/A 48288-2020 tillsynsbegäran.docx", "A 48288-2020")</f>
        <v/>
      </c>
      <c r="Y142">
        <f>HYPERLINK("https://klasma.github.io/Logging_0188/tillsynsmail/A 48288-2020 tillsynsbegäran mail.docx", "A 48288-2020")</f>
        <v/>
      </c>
    </row>
    <row r="143" ht="15" customHeight="1">
      <c r="A143" t="inlineStr">
        <is>
          <t>A 62846-2020</t>
        </is>
      </c>
      <c r="B143" s="1" t="n">
        <v>44161</v>
      </c>
      <c r="C143" s="1" t="n">
        <v>45758</v>
      </c>
      <c r="D143" t="inlineStr">
        <is>
          <t>STOCKHOLMS LÄN</t>
        </is>
      </c>
      <c r="E143" t="inlineStr">
        <is>
          <t>NORRTÄLJE</t>
        </is>
      </c>
      <c r="G143" t="n">
        <v>1.4</v>
      </c>
      <c r="H143" t="n">
        <v>1</v>
      </c>
      <c r="I143" t="n">
        <v>0</v>
      </c>
      <c r="J143" t="n">
        <v>0</v>
      </c>
      <c r="K143" t="n">
        <v>0</v>
      </c>
      <c r="L143" t="n">
        <v>0</v>
      </c>
      <c r="M143" t="n">
        <v>0</v>
      </c>
      <c r="N143" t="n">
        <v>0</v>
      </c>
      <c r="O143" t="n">
        <v>0</v>
      </c>
      <c r="P143" t="n">
        <v>0</v>
      </c>
      <c r="Q143" t="n">
        <v>1</v>
      </c>
      <c r="R143" s="2" t="inlineStr">
        <is>
          <t>Fläcknycklar</t>
        </is>
      </c>
      <c r="S143">
        <f>HYPERLINK("https://klasma.github.io/Logging_0188/artfynd/A 62846-2020 artfynd.xlsx", "A 62846-2020")</f>
        <v/>
      </c>
      <c r="T143">
        <f>HYPERLINK("https://klasma.github.io/Logging_0188/kartor/A 62846-2020 karta.png", "A 62846-2020")</f>
        <v/>
      </c>
      <c r="V143">
        <f>HYPERLINK("https://klasma.github.io/Logging_0188/klagomål/A 62846-2020 FSC-klagomål.docx", "A 62846-2020")</f>
        <v/>
      </c>
      <c r="W143">
        <f>HYPERLINK("https://klasma.github.io/Logging_0188/klagomålsmail/A 62846-2020 FSC-klagomål mail.docx", "A 62846-2020")</f>
        <v/>
      </c>
      <c r="X143">
        <f>HYPERLINK("https://klasma.github.io/Logging_0188/tillsyn/A 62846-2020 tillsynsbegäran.docx", "A 62846-2020")</f>
        <v/>
      </c>
      <c r="Y143">
        <f>HYPERLINK("https://klasma.github.io/Logging_0188/tillsynsmail/A 62846-2020 tillsynsbegäran mail.docx", "A 62846-2020")</f>
        <v/>
      </c>
    </row>
    <row r="144" ht="15" customHeight="1">
      <c r="A144" t="inlineStr">
        <is>
          <t>A 1162-2021</t>
        </is>
      </c>
      <c r="B144" s="1" t="n">
        <v>44207</v>
      </c>
      <c r="C144" s="1" t="n">
        <v>45758</v>
      </c>
      <c r="D144" t="inlineStr">
        <is>
          <t>STOCKHOLMS LÄN</t>
        </is>
      </c>
      <c r="E144" t="inlineStr">
        <is>
          <t>NORRTÄLJE</t>
        </is>
      </c>
      <c r="G144" t="n">
        <v>2.2</v>
      </c>
      <c r="H144" t="n">
        <v>1</v>
      </c>
      <c r="I144" t="n">
        <v>0</v>
      </c>
      <c r="J144" t="n">
        <v>0</v>
      </c>
      <c r="K144" t="n">
        <v>1</v>
      </c>
      <c r="L144" t="n">
        <v>0</v>
      </c>
      <c r="M144" t="n">
        <v>0</v>
      </c>
      <c r="N144" t="n">
        <v>0</v>
      </c>
      <c r="O144" t="n">
        <v>1</v>
      </c>
      <c r="P144" t="n">
        <v>1</v>
      </c>
      <c r="Q144" t="n">
        <v>1</v>
      </c>
      <c r="R144" s="2" t="inlineStr">
        <is>
          <t>Hällebräcka</t>
        </is>
      </c>
      <c r="S144">
        <f>HYPERLINK("https://klasma.github.io/Logging_0188/artfynd/A 1162-2021 artfynd.xlsx", "A 1162-2021")</f>
        <v/>
      </c>
      <c r="T144">
        <f>HYPERLINK("https://klasma.github.io/Logging_0188/kartor/A 1162-2021 karta.png", "A 1162-2021")</f>
        <v/>
      </c>
      <c r="V144">
        <f>HYPERLINK("https://klasma.github.io/Logging_0188/klagomål/A 1162-2021 FSC-klagomål.docx", "A 1162-2021")</f>
        <v/>
      </c>
      <c r="W144">
        <f>HYPERLINK("https://klasma.github.io/Logging_0188/klagomålsmail/A 1162-2021 FSC-klagomål mail.docx", "A 1162-2021")</f>
        <v/>
      </c>
      <c r="X144">
        <f>HYPERLINK("https://klasma.github.io/Logging_0188/tillsyn/A 1162-2021 tillsynsbegäran.docx", "A 1162-2021")</f>
        <v/>
      </c>
      <c r="Y144">
        <f>HYPERLINK("https://klasma.github.io/Logging_0188/tillsynsmail/A 1162-2021 tillsynsbegäran mail.docx", "A 1162-2021")</f>
        <v/>
      </c>
    </row>
    <row r="145" ht="15" customHeight="1">
      <c r="A145" t="inlineStr">
        <is>
          <t>A 30138-2021</t>
        </is>
      </c>
      <c r="B145" s="1" t="n">
        <v>44363</v>
      </c>
      <c r="C145" s="1" t="n">
        <v>45758</v>
      </c>
      <c r="D145" t="inlineStr">
        <is>
          <t>STOCKHOLMS LÄN</t>
        </is>
      </c>
      <c r="E145" t="inlineStr">
        <is>
          <t>NORRTÄLJE</t>
        </is>
      </c>
      <c r="G145" t="n">
        <v>4.5</v>
      </c>
      <c r="H145" t="n">
        <v>0</v>
      </c>
      <c r="I145" t="n">
        <v>1</v>
      </c>
      <c r="J145" t="n">
        <v>0</v>
      </c>
      <c r="K145" t="n">
        <v>0</v>
      </c>
      <c r="L145" t="n">
        <v>0</v>
      </c>
      <c r="M145" t="n">
        <v>0</v>
      </c>
      <c r="N145" t="n">
        <v>0</v>
      </c>
      <c r="O145" t="n">
        <v>0</v>
      </c>
      <c r="P145" t="n">
        <v>0</v>
      </c>
      <c r="Q145" t="n">
        <v>1</v>
      </c>
      <c r="R145" s="2" t="inlineStr">
        <is>
          <t>Vårärt</t>
        </is>
      </c>
      <c r="S145">
        <f>HYPERLINK("https://klasma.github.io/Logging_0188/artfynd/A 30138-2021 artfynd.xlsx", "A 30138-2021")</f>
        <v/>
      </c>
      <c r="T145">
        <f>HYPERLINK("https://klasma.github.io/Logging_0188/kartor/A 30138-2021 karta.png", "A 30138-2021")</f>
        <v/>
      </c>
      <c r="V145">
        <f>HYPERLINK("https://klasma.github.io/Logging_0188/klagomål/A 30138-2021 FSC-klagomål.docx", "A 30138-2021")</f>
        <v/>
      </c>
      <c r="W145">
        <f>HYPERLINK("https://klasma.github.io/Logging_0188/klagomålsmail/A 30138-2021 FSC-klagomål mail.docx", "A 30138-2021")</f>
        <v/>
      </c>
      <c r="X145">
        <f>HYPERLINK("https://klasma.github.io/Logging_0188/tillsyn/A 30138-2021 tillsynsbegäran.docx", "A 30138-2021")</f>
        <v/>
      </c>
      <c r="Y145">
        <f>HYPERLINK("https://klasma.github.io/Logging_0188/tillsynsmail/A 30138-2021 tillsynsbegäran mail.docx", "A 30138-2021")</f>
        <v/>
      </c>
    </row>
    <row r="146" ht="15" customHeight="1">
      <c r="A146" t="inlineStr">
        <is>
          <t>A 33302-2021</t>
        </is>
      </c>
      <c r="B146" s="1" t="n">
        <v>44377</v>
      </c>
      <c r="C146" s="1" t="n">
        <v>45758</v>
      </c>
      <c r="D146" t="inlineStr">
        <is>
          <t>STOCKHOLMS LÄN</t>
        </is>
      </c>
      <c r="E146" t="inlineStr">
        <is>
          <t>NORRTÄLJE</t>
        </is>
      </c>
      <c r="G146" t="n">
        <v>12.5</v>
      </c>
      <c r="H146" t="n">
        <v>1</v>
      </c>
      <c r="I146" t="n">
        <v>0</v>
      </c>
      <c r="J146" t="n">
        <v>1</v>
      </c>
      <c r="K146" t="n">
        <v>0</v>
      </c>
      <c r="L146" t="n">
        <v>0</v>
      </c>
      <c r="M146" t="n">
        <v>0</v>
      </c>
      <c r="N146" t="n">
        <v>0</v>
      </c>
      <c r="O146" t="n">
        <v>1</v>
      </c>
      <c r="P146" t="n">
        <v>0</v>
      </c>
      <c r="Q146" t="n">
        <v>1</v>
      </c>
      <c r="R146" s="2" t="inlineStr">
        <is>
          <t>Spillkråka</t>
        </is>
      </c>
      <c r="S146">
        <f>HYPERLINK("https://klasma.github.io/Logging_0188/artfynd/A 33302-2021 artfynd.xlsx", "A 33302-2021")</f>
        <v/>
      </c>
      <c r="T146">
        <f>HYPERLINK("https://klasma.github.io/Logging_0188/kartor/A 33302-2021 karta.png", "A 33302-2021")</f>
        <v/>
      </c>
      <c r="V146">
        <f>HYPERLINK("https://klasma.github.io/Logging_0188/klagomål/A 33302-2021 FSC-klagomål.docx", "A 33302-2021")</f>
        <v/>
      </c>
      <c r="W146">
        <f>HYPERLINK("https://klasma.github.io/Logging_0188/klagomålsmail/A 33302-2021 FSC-klagomål mail.docx", "A 33302-2021")</f>
        <v/>
      </c>
      <c r="X146">
        <f>HYPERLINK("https://klasma.github.io/Logging_0188/tillsyn/A 33302-2021 tillsynsbegäran.docx", "A 33302-2021")</f>
        <v/>
      </c>
      <c r="Y146">
        <f>HYPERLINK("https://klasma.github.io/Logging_0188/tillsynsmail/A 33302-2021 tillsynsbegäran mail.docx", "A 33302-2021")</f>
        <v/>
      </c>
      <c r="Z146">
        <f>HYPERLINK("https://klasma.github.io/Logging_0188/fåglar/A 33302-2021 prioriterade fågelarter.docx", "A 33302-2021")</f>
        <v/>
      </c>
    </row>
    <row r="147" ht="15" customHeight="1">
      <c r="A147" t="inlineStr">
        <is>
          <t>A 58888-2021</t>
        </is>
      </c>
      <c r="B147" s="1" t="n">
        <v>44489</v>
      </c>
      <c r="C147" s="1" t="n">
        <v>45758</v>
      </c>
      <c r="D147" t="inlineStr">
        <is>
          <t>STOCKHOLMS LÄN</t>
        </is>
      </c>
      <c r="E147" t="inlineStr">
        <is>
          <t>NORRTÄLJE</t>
        </is>
      </c>
      <c r="F147" t="inlineStr">
        <is>
          <t>Holmen skog AB</t>
        </is>
      </c>
      <c r="G147" t="n">
        <v>2.5</v>
      </c>
      <c r="H147" t="n">
        <v>1</v>
      </c>
      <c r="I147" t="n">
        <v>0</v>
      </c>
      <c r="J147" t="n">
        <v>0</v>
      </c>
      <c r="K147" t="n">
        <v>0</v>
      </c>
      <c r="L147" t="n">
        <v>1</v>
      </c>
      <c r="M147" t="n">
        <v>0</v>
      </c>
      <c r="N147" t="n">
        <v>0</v>
      </c>
      <c r="O147" t="n">
        <v>1</v>
      </c>
      <c r="P147" t="n">
        <v>1</v>
      </c>
      <c r="Q147" t="n">
        <v>1</v>
      </c>
      <c r="R147" s="2" t="inlineStr">
        <is>
          <t>Asknätfjäril</t>
        </is>
      </c>
      <c r="S147">
        <f>HYPERLINK("https://klasma.github.io/Logging_0188/artfynd/A 58888-2021 artfynd.xlsx", "A 58888-2021")</f>
        <v/>
      </c>
      <c r="T147">
        <f>HYPERLINK("https://klasma.github.io/Logging_0188/kartor/A 58888-2021 karta.png", "A 58888-2021")</f>
        <v/>
      </c>
      <c r="V147">
        <f>HYPERLINK("https://klasma.github.io/Logging_0188/klagomål/A 58888-2021 FSC-klagomål.docx", "A 58888-2021")</f>
        <v/>
      </c>
      <c r="W147">
        <f>HYPERLINK("https://klasma.github.io/Logging_0188/klagomålsmail/A 58888-2021 FSC-klagomål mail.docx", "A 58888-2021")</f>
        <v/>
      </c>
      <c r="X147">
        <f>HYPERLINK("https://klasma.github.io/Logging_0188/tillsyn/A 58888-2021 tillsynsbegäran.docx", "A 58888-2021")</f>
        <v/>
      </c>
      <c r="Y147">
        <f>HYPERLINK("https://klasma.github.io/Logging_0188/tillsynsmail/A 58888-2021 tillsynsbegäran mail.docx", "A 58888-2021")</f>
        <v/>
      </c>
    </row>
    <row r="148" ht="15" customHeight="1">
      <c r="A148" t="inlineStr">
        <is>
          <t>A 68692-2021</t>
        </is>
      </c>
      <c r="B148" s="1" t="n">
        <v>44529</v>
      </c>
      <c r="C148" s="1" t="n">
        <v>45758</v>
      </c>
      <c r="D148" t="inlineStr">
        <is>
          <t>STOCKHOLMS LÄN</t>
        </is>
      </c>
      <c r="E148" t="inlineStr">
        <is>
          <t>NORRTÄLJE</t>
        </is>
      </c>
      <c r="F148" t="inlineStr">
        <is>
          <t>Holmen skog AB</t>
        </is>
      </c>
      <c r="G148" t="n">
        <v>0.7</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68692-2021 artfynd.xlsx", "A 68692-2021")</f>
        <v/>
      </c>
      <c r="T148">
        <f>HYPERLINK("https://klasma.github.io/Logging_0188/kartor/A 68692-2021 karta.png", "A 68692-2021")</f>
        <v/>
      </c>
      <c r="V148">
        <f>HYPERLINK("https://klasma.github.io/Logging_0188/klagomål/A 68692-2021 FSC-klagomål.docx", "A 68692-2021")</f>
        <v/>
      </c>
      <c r="W148">
        <f>HYPERLINK("https://klasma.github.io/Logging_0188/klagomålsmail/A 68692-2021 FSC-klagomål mail.docx", "A 68692-2021")</f>
        <v/>
      </c>
      <c r="X148">
        <f>HYPERLINK("https://klasma.github.io/Logging_0188/tillsyn/A 68692-2021 tillsynsbegäran.docx", "A 68692-2021")</f>
        <v/>
      </c>
      <c r="Y148">
        <f>HYPERLINK("https://klasma.github.io/Logging_0188/tillsynsmail/A 68692-2021 tillsynsbegäran mail.docx", "A 68692-2021")</f>
        <v/>
      </c>
    </row>
    <row r="149" ht="15" customHeight="1">
      <c r="A149" t="inlineStr">
        <is>
          <t>A 188-2022</t>
        </is>
      </c>
      <c r="B149" s="1" t="n">
        <v>44564</v>
      </c>
      <c r="C149" s="1" t="n">
        <v>45758</v>
      </c>
      <c r="D149" t="inlineStr">
        <is>
          <t>STOCKHOLMS LÄN</t>
        </is>
      </c>
      <c r="E149" t="inlineStr">
        <is>
          <t>NORRTÄLJE</t>
        </is>
      </c>
      <c r="G149" t="n">
        <v>4.1</v>
      </c>
      <c r="H149" t="n">
        <v>0</v>
      </c>
      <c r="I149" t="n">
        <v>1</v>
      </c>
      <c r="J149" t="n">
        <v>0</v>
      </c>
      <c r="K149" t="n">
        <v>0</v>
      </c>
      <c r="L149" t="n">
        <v>0</v>
      </c>
      <c r="M149" t="n">
        <v>0</v>
      </c>
      <c r="N149" t="n">
        <v>0</v>
      </c>
      <c r="O149" t="n">
        <v>0</v>
      </c>
      <c r="P149" t="n">
        <v>0</v>
      </c>
      <c r="Q149" t="n">
        <v>1</v>
      </c>
      <c r="R149" s="2" t="inlineStr">
        <is>
          <t>Svart trolldruva</t>
        </is>
      </c>
      <c r="S149">
        <f>HYPERLINK("https://klasma.github.io/Logging_0188/artfynd/A 188-2022 artfynd.xlsx", "A 188-2022")</f>
        <v/>
      </c>
      <c r="T149">
        <f>HYPERLINK("https://klasma.github.io/Logging_0188/kartor/A 188-2022 karta.png", "A 188-2022")</f>
        <v/>
      </c>
      <c r="V149">
        <f>HYPERLINK("https://klasma.github.io/Logging_0188/klagomål/A 188-2022 FSC-klagomål.docx", "A 188-2022")</f>
        <v/>
      </c>
      <c r="W149">
        <f>HYPERLINK("https://klasma.github.io/Logging_0188/klagomålsmail/A 188-2022 FSC-klagomål mail.docx", "A 188-2022")</f>
        <v/>
      </c>
      <c r="X149">
        <f>HYPERLINK("https://klasma.github.io/Logging_0188/tillsyn/A 188-2022 tillsynsbegäran.docx", "A 188-2022")</f>
        <v/>
      </c>
      <c r="Y149">
        <f>HYPERLINK("https://klasma.github.io/Logging_0188/tillsynsmail/A 188-2022 tillsynsbegäran mail.docx", "A 188-2022")</f>
        <v/>
      </c>
    </row>
    <row r="150" ht="15" customHeight="1">
      <c r="A150" t="inlineStr">
        <is>
          <t>A 1547-2022</t>
        </is>
      </c>
      <c r="B150" s="1" t="n">
        <v>44573</v>
      </c>
      <c r="C150" s="1" t="n">
        <v>45758</v>
      </c>
      <c r="D150" t="inlineStr">
        <is>
          <t>STOCKHOLMS LÄN</t>
        </is>
      </c>
      <c r="E150" t="inlineStr">
        <is>
          <t>NORRTÄLJE</t>
        </is>
      </c>
      <c r="G150" t="n">
        <v>1.8</v>
      </c>
      <c r="H150" t="n">
        <v>1</v>
      </c>
      <c r="I150" t="n">
        <v>0</v>
      </c>
      <c r="J150" t="n">
        <v>0</v>
      </c>
      <c r="K150" t="n">
        <v>1</v>
      </c>
      <c r="L150" t="n">
        <v>0</v>
      </c>
      <c r="M150" t="n">
        <v>0</v>
      </c>
      <c r="N150" t="n">
        <v>0</v>
      </c>
      <c r="O150" t="n">
        <v>1</v>
      </c>
      <c r="P150" t="n">
        <v>1</v>
      </c>
      <c r="Q150" t="n">
        <v>1</v>
      </c>
      <c r="R150" s="2" t="inlineStr">
        <is>
          <t>Hällebräcka</t>
        </is>
      </c>
      <c r="S150">
        <f>HYPERLINK("https://klasma.github.io/Logging_0188/artfynd/A 1547-2022 artfynd.xlsx", "A 1547-2022")</f>
        <v/>
      </c>
      <c r="T150">
        <f>HYPERLINK("https://klasma.github.io/Logging_0188/kartor/A 1547-2022 karta.png", "A 1547-2022")</f>
        <v/>
      </c>
      <c r="V150">
        <f>HYPERLINK("https://klasma.github.io/Logging_0188/klagomål/A 1547-2022 FSC-klagomål.docx", "A 1547-2022")</f>
        <v/>
      </c>
      <c r="W150">
        <f>HYPERLINK("https://klasma.github.io/Logging_0188/klagomålsmail/A 1547-2022 FSC-klagomål mail.docx", "A 1547-2022")</f>
        <v/>
      </c>
      <c r="X150">
        <f>HYPERLINK("https://klasma.github.io/Logging_0188/tillsyn/A 1547-2022 tillsynsbegäran.docx", "A 1547-2022")</f>
        <v/>
      </c>
      <c r="Y150">
        <f>HYPERLINK("https://klasma.github.io/Logging_0188/tillsynsmail/A 1547-2022 tillsynsbegäran mail.docx", "A 1547-2022")</f>
        <v/>
      </c>
    </row>
    <row r="151" ht="15" customHeight="1">
      <c r="A151" t="inlineStr">
        <is>
          <t>A 7172-2022</t>
        </is>
      </c>
      <c r="B151" s="1" t="n">
        <v>44604</v>
      </c>
      <c r="C151" s="1" t="n">
        <v>45758</v>
      </c>
      <c r="D151" t="inlineStr">
        <is>
          <t>STOCKHOLMS LÄN</t>
        </is>
      </c>
      <c r="E151" t="inlineStr">
        <is>
          <t>NORRTÄLJE</t>
        </is>
      </c>
      <c r="G151" t="n">
        <v>4.8</v>
      </c>
      <c r="H151" t="n">
        <v>0</v>
      </c>
      <c r="I151" t="n">
        <v>1</v>
      </c>
      <c r="J151" t="n">
        <v>0</v>
      </c>
      <c r="K151" t="n">
        <v>0</v>
      </c>
      <c r="L151" t="n">
        <v>0</v>
      </c>
      <c r="M151" t="n">
        <v>0</v>
      </c>
      <c r="N151" t="n">
        <v>0</v>
      </c>
      <c r="O151" t="n">
        <v>0</v>
      </c>
      <c r="P151" t="n">
        <v>0</v>
      </c>
      <c r="Q151" t="n">
        <v>1</v>
      </c>
      <c r="R151" s="2" t="inlineStr">
        <is>
          <t>Trådticka</t>
        </is>
      </c>
      <c r="S151">
        <f>HYPERLINK("https://klasma.github.io/Logging_0188/artfynd/A 7172-2022 artfynd.xlsx", "A 7172-2022")</f>
        <v/>
      </c>
      <c r="T151">
        <f>HYPERLINK("https://klasma.github.io/Logging_0188/kartor/A 7172-2022 karta.png", "A 7172-2022")</f>
        <v/>
      </c>
      <c r="U151">
        <f>HYPERLINK("https://klasma.github.io/Logging_0188/knärot/A 7172-2022 karta knärot.png", "A 7172-2022")</f>
        <v/>
      </c>
      <c r="V151">
        <f>HYPERLINK("https://klasma.github.io/Logging_0188/klagomål/A 7172-2022 FSC-klagomål.docx", "A 7172-2022")</f>
        <v/>
      </c>
      <c r="W151">
        <f>HYPERLINK("https://klasma.github.io/Logging_0188/klagomålsmail/A 7172-2022 FSC-klagomål mail.docx", "A 7172-2022")</f>
        <v/>
      </c>
      <c r="X151">
        <f>HYPERLINK("https://klasma.github.io/Logging_0188/tillsyn/A 7172-2022 tillsynsbegäran.docx", "A 7172-2022")</f>
        <v/>
      </c>
      <c r="Y151">
        <f>HYPERLINK("https://klasma.github.io/Logging_0188/tillsynsmail/A 7172-2022 tillsynsbegäran mail.docx", "A 7172-2022")</f>
        <v/>
      </c>
    </row>
    <row r="152" ht="15" customHeight="1">
      <c r="A152" t="inlineStr">
        <is>
          <t>A 9955-2022</t>
        </is>
      </c>
      <c r="B152" s="1" t="n">
        <v>44620</v>
      </c>
      <c r="C152" s="1" t="n">
        <v>45758</v>
      </c>
      <c r="D152" t="inlineStr">
        <is>
          <t>STOCKHOLMS LÄN</t>
        </is>
      </c>
      <c r="E152" t="inlineStr">
        <is>
          <t>NORRTÄLJE</t>
        </is>
      </c>
      <c r="G152" t="n">
        <v>7.8</v>
      </c>
      <c r="H152" t="n">
        <v>1</v>
      </c>
      <c r="I152" t="n">
        <v>0</v>
      </c>
      <c r="J152" t="n">
        <v>0</v>
      </c>
      <c r="K152" t="n">
        <v>0</v>
      </c>
      <c r="L152" t="n">
        <v>0</v>
      </c>
      <c r="M152" t="n">
        <v>0</v>
      </c>
      <c r="N152" t="n">
        <v>0</v>
      </c>
      <c r="O152" t="n">
        <v>0</v>
      </c>
      <c r="P152" t="n">
        <v>0</v>
      </c>
      <c r="Q152" t="n">
        <v>1</v>
      </c>
      <c r="R152" s="2" t="inlineStr">
        <is>
          <t>Åkergroda</t>
        </is>
      </c>
      <c r="S152">
        <f>HYPERLINK("https://klasma.github.io/Logging_0188/artfynd/A 9955-2022 artfynd.xlsx", "A 9955-2022")</f>
        <v/>
      </c>
      <c r="T152">
        <f>HYPERLINK("https://klasma.github.io/Logging_0188/kartor/A 9955-2022 karta.png", "A 9955-2022")</f>
        <v/>
      </c>
      <c r="V152">
        <f>HYPERLINK("https://klasma.github.io/Logging_0188/klagomål/A 9955-2022 FSC-klagomål.docx", "A 9955-2022")</f>
        <v/>
      </c>
      <c r="W152">
        <f>HYPERLINK("https://klasma.github.io/Logging_0188/klagomålsmail/A 9955-2022 FSC-klagomål mail.docx", "A 9955-2022")</f>
        <v/>
      </c>
      <c r="X152">
        <f>HYPERLINK("https://klasma.github.io/Logging_0188/tillsyn/A 9955-2022 tillsynsbegäran.docx", "A 9955-2022")</f>
        <v/>
      </c>
      <c r="Y152">
        <f>HYPERLINK("https://klasma.github.io/Logging_0188/tillsynsmail/A 9955-2022 tillsynsbegäran mail.docx", "A 9955-2022")</f>
        <v/>
      </c>
    </row>
    <row r="153" ht="15" customHeight="1">
      <c r="A153" t="inlineStr">
        <is>
          <t>A 10712-2022</t>
        </is>
      </c>
      <c r="B153" s="1" t="n">
        <v>44626</v>
      </c>
      <c r="C153" s="1" t="n">
        <v>45758</v>
      </c>
      <c r="D153" t="inlineStr">
        <is>
          <t>STOCKHOLMS LÄN</t>
        </is>
      </c>
      <c r="E153" t="inlineStr">
        <is>
          <t>NORRTÄLJE</t>
        </is>
      </c>
      <c r="G153" t="n">
        <v>4.5</v>
      </c>
      <c r="H153" t="n">
        <v>1</v>
      </c>
      <c r="I153" t="n">
        <v>0</v>
      </c>
      <c r="J153" t="n">
        <v>0</v>
      </c>
      <c r="K153" t="n">
        <v>0</v>
      </c>
      <c r="L153" t="n">
        <v>0</v>
      </c>
      <c r="M153" t="n">
        <v>0</v>
      </c>
      <c r="N153" t="n">
        <v>0</v>
      </c>
      <c r="O153" t="n">
        <v>0</v>
      </c>
      <c r="P153" t="n">
        <v>0</v>
      </c>
      <c r="Q153" t="n">
        <v>1</v>
      </c>
      <c r="R153" s="2" t="inlineStr">
        <is>
          <t>Åkergroda</t>
        </is>
      </c>
      <c r="S153">
        <f>HYPERLINK("https://klasma.github.io/Logging_0188/artfynd/A 10712-2022 artfynd.xlsx", "A 10712-2022")</f>
        <v/>
      </c>
      <c r="T153">
        <f>HYPERLINK("https://klasma.github.io/Logging_0188/kartor/A 10712-2022 karta.png", "A 10712-2022")</f>
        <v/>
      </c>
      <c r="V153">
        <f>HYPERLINK("https://klasma.github.io/Logging_0188/klagomål/A 10712-2022 FSC-klagomål.docx", "A 10712-2022")</f>
        <v/>
      </c>
      <c r="W153">
        <f>HYPERLINK("https://klasma.github.io/Logging_0188/klagomålsmail/A 10712-2022 FSC-klagomål mail.docx", "A 10712-2022")</f>
        <v/>
      </c>
      <c r="X153">
        <f>HYPERLINK("https://klasma.github.io/Logging_0188/tillsyn/A 10712-2022 tillsynsbegäran.docx", "A 10712-2022")</f>
        <v/>
      </c>
      <c r="Y153">
        <f>HYPERLINK("https://klasma.github.io/Logging_0188/tillsynsmail/A 10712-2022 tillsynsbegäran mail.docx", "A 10712-2022")</f>
        <v/>
      </c>
    </row>
    <row r="154" ht="15" customHeight="1">
      <c r="A154" t="inlineStr">
        <is>
          <t>A 14720-2022</t>
        </is>
      </c>
      <c r="B154" s="1" t="n">
        <v>44656</v>
      </c>
      <c r="C154" s="1" t="n">
        <v>45758</v>
      </c>
      <c r="D154" t="inlineStr">
        <is>
          <t>STOCKHOLMS LÄN</t>
        </is>
      </c>
      <c r="E154" t="inlineStr">
        <is>
          <t>NORRTÄLJE</t>
        </is>
      </c>
      <c r="F154" t="inlineStr">
        <is>
          <t>Sveaskog</t>
        </is>
      </c>
      <c r="G154" t="n">
        <v>5.1</v>
      </c>
      <c r="H154" t="n">
        <v>0</v>
      </c>
      <c r="I154" t="n">
        <v>0</v>
      </c>
      <c r="J154" t="n">
        <v>1</v>
      </c>
      <c r="K154" t="n">
        <v>0</v>
      </c>
      <c r="L154" t="n">
        <v>0</v>
      </c>
      <c r="M154" t="n">
        <v>0</v>
      </c>
      <c r="N154" t="n">
        <v>0</v>
      </c>
      <c r="O154" t="n">
        <v>1</v>
      </c>
      <c r="P154" t="n">
        <v>0</v>
      </c>
      <c r="Q154" t="n">
        <v>1</v>
      </c>
      <c r="R154" s="2" t="inlineStr">
        <is>
          <t>Loppstarr</t>
        </is>
      </c>
      <c r="S154">
        <f>HYPERLINK("https://klasma.github.io/Logging_0188/artfynd/A 14720-2022 artfynd.xlsx", "A 14720-2022")</f>
        <v/>
      </c>
      <c r="T154">
        <f>HYPERLINK("https://klasma.github.io/Logging_0188/kartor/A 14720-2022 karta.png", "A 14720-2022")</f>
        <v/>
      </c>
      <c r="V154">
        <f>HYPERLINK("https://klasma.github.io/Logging_0188/klagomål/A 14720-2022 FSC-klagomål.docx", "A 14720-2022")</f>
        <v/>
      </c>
      <c r="W154">
        <f>HYPERLINK("https://klasma.github.io/Logging_0188/klagomålsmail/A 14720-2022 FSC-klagomål mail.docx", "A 14720-2022")</f>
        <v/>
      </c>
      <c r="X154">
        <f>HYPERLINK("https://klasma.github.io/Logging_0188/tillsyn/A 14720-2022 tillsynsbegäran.docx", "A 14720-2022")</f>
        <v/>
      </c>
      <c r="Y154">
        <f>HYPERLINK("https://klasma.github.io/Logging_0188/tillsynsmail/A 14720-2022 tillsynsbegäran mail.docx", "A 14720-2022")</f>
        <v/>
      </c>
    </row>
    <row r="155" ht="15" customHeight="1">
      <c r="A155" t="inlineStr">
        <is>
          <t>A 16539-2022</t>
        </is>
      </c>
      <c r="B155" s="1" t="n">
        <v>44672</v>
      </c>
      <c r="C155" s="1" t="n">
        <v>45758</v>
      </c>
      <c r="D155" t="inlineStr">
        <is>
          <t>STOCKHOLMS LÄN</t>
        </is>
      </c>
      <c r="E155" t="inlineStr">
        <is>
          <t>NORRTÄLJE</t>
        </is>
      </c>
      <c r="G155" t="n">
        <v>8.6</v>
      </c>
      <c r="H155" t="n">
        <v>1</v>
      </c>
      <c r="I155" t="n">
        <v>1</v>
      </c>
      <c r="J155" t="n">
        <v>0</v>
      </c>
      <c r="K155" t="n">
        <v>0</v>
      </c>
      <c r="L155" t="n">
        <v>0</v>
      </c>
      <c r="M155" t="n">
        <v>0</v>
      </c>
      <c r="N155" t="n">
        <v>0</v>
      </c>
      <c r="O155" t="n">
        <v>0</v>
      </c>
      <c r="P155" t="n">
        <v>0</v>
      </c>
      <c r="Q155" t="n">
        <v>1</v>
      </c>
      <c r="R155" s="2" t="inlineStr">
        <is>
          <t>Nästrot</t>
        </is>
      </c>
      <c r="S155">
        <f>HYPERLINK("https://klasma.github.io/Logging_0188/artfynd/A 16539-2022 artfynd.xlsx", "A 16539-2022")</f>
        <v/>
      </c>
      <c r="T155">
        <f>HYPERLINK("https://klasma.github.io/Logging_0188/kartor/A 16539-2022 karta.png", "A 16539-2022")</f>
        <v/>
      </c>
      <c r="V155">
        <f>HYPERLINK("https://klasma.github.io/Logging_0188/klagomål/A 16539-2022 FSC-klagomål.docx", "A 16539-2022")</f>
        <v/>
      </c>
      <c r="W155">
        <f>HYPERLINK("https://klasma.github.io/Logging_0188/klagomålsmail/A 16539-2022 FSC-klagomål mail.docx", "A 16539-2022")</f>
        <v/>
      </c>
      <c r="X155">
        <f>HYPERLINK("https://klasma.github.io/Logging_0188/tillsyn/A 16539-2022 tillsynsbegäran.docx", "A 16539-2022")</f>
        <v/>
      </c>
      <c r="Y155">
        <f>HYPERLINK("https://klasma.github.io/Logging_0188/tillsynsmail/A 16539-2022 tillsynsbegäran mail.docx", "A 16539-2022")</f>
        <v/>
      </c>
    </row>
    <row r="156" ht="15" customHeight="1">
      <c r="A156" t="inlineStr">
        <is>
          <t>A 19829-2022</t>
        </is>
      </c>
      <c r="B156" s="1" t="n">
        <v>44695</v>
      </c>
      <c r="C156" s="1" t="n">
        <v>45758</v>
      </c>
      <c r="D156" t="inlineStr">
        <is>
          <t>STOCKHOLMS LÄN</t>
        </is>
      </c>
      <c r="E156" t="inlineStr">
        <is>
          <t>NORRTÄLJE</t>
        </is>
      </c>
      <c r="G156" t="n">
        <v>2</v>
      </c>
      <c r="H156" t="n">
        <v>1</v>
      </c>
      <c r="I156" t="n">
        <v>1</v>
      </c>
      <c r="J156" t="n">
        <v>0</v>
      </c>
      <c r="K156" t="n">
        <v>0</v>
      </c>
      <c r="L156" t="n">
        <v>0</v>
      </c>
      <c r="M156" t="n">
        <v>0</v>
      </c>
      <c r="N156" t="n">
        <v>0</v>
      </c>
      <c r="O156" t="n">
        <v>0</v>
      </c>
      <c r="P156" t="n">
        <v>0</v>
      </c>
      <c r="Q156" t="n">
        <v>1</v>
      </c>
      <c r="R156" s="2" t="inlineStr">
        <is>
          <t>Guckusko</t>
        </is>
      </c>
      <c r="S156">
        <f>HYPERLINK("https://klasma.github.io/Logging_0188/artfynd/A 19829-2022 artfynd.xlsx", "A 19829-2022")</f>
        <v/>
      </c>
      <c r="T156">
        <f>HYPERLINK("https://klasma.github.io/Logging_0188/kartor/A 19829-2022 karta.png", "A 19829-2022")</f>
        <v/>
      </c>
      <c r="V156">
        <f>HYPERLINK("https://klasma.github.io/Logging_0188/klagomål/A 19829-2022 FSC-klagomål.docx", "A 19829-2022")</f>
        <v/>
      </c>
      <c r="W156">
        <f>HYPERLINK("https://klasma.github.io/Logging_0188/klagomålsmail/A 19829-2022 FSC-klagomål mail.docx", "A 19829-2022")</f>
        <v/>
      </c>
      <c r="X156">
        <f>HYPERLINK("https://klasma.github.io/Logging_0188/tillsyn/A 19829-2022 tillsynsbegäran.docx", "A 19829-2022")</f>
        <v/>
      </c>
      <c r="Y156">
        <f>HYPERLINK("https://klasma.github.io/Logging_0188/tillsynsmail/A 19829-2022 tillsynsbegäran mail.docx", "A 19829-2022")</f>
        <v/>
      </c>
    </row>
    <row r="157" ht="15" customHeight="1">
      <c r="A157" t="inlineStr">
        <is>
          <t>A 21150-2022</t>
        </is>
      </c>
      <c r="B157" s="1" t="n">
        <v>44704</v>
      </c>
      <c r="C157" s="1" t="n">
        <v>45758</v>
      </c>
      <c r="D157" t="inlineStr">
        <is>
          <t>STOCKHOLMS LÄN</t>
        </is>
      </c>
      <c r="E157" t="inlineStr">
        <is>
          <t>NORRTÄLJE</t>
        </is>
      </c>
      <c r="G157" t="n">
        <v>12.5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21150-2022 artfynd.xlsx", "A 21150-2022")</f>
        <v/>
      </c>
      <c r="T157">
        <f>HYPERLINK("https://klasma.github.io/Logging_0188/kartor/A 21150-2022 karta.png", "A 21150-2022")</f>
        <v/>
      </c>
      <c r="V157">
        <f>HYPERLINK("https://klasma.github.io/Logging_0188/klagomål/A 21150-2022 FSC-klagomål.docx", "A 21150-2022")</f>
        <v/>
      </c>
      <c r="W157">
        <f>HYPERLINK("https://klasma.github.io/Logging_0188/klagomålsmail/A 21150-2022 FSC-klagomål mail.docx", "A 21150-2022")</f>
        <v/>
      </c>
      <c r="X157">
        <f>HYPERLINK("https://klasma.github.io/Logging_0188/tillsyn/A 21150-2022 tillsynsbegäran.docx", "A 21150-2022")</f>
        <v/>
      </c>
      <c r="Y157">
        <f>HYPERLINK("https://klasma.github.io/Logging_0188/tillsynsmail/A 21150-2022 tillsynsbegäran mail.docx", "A 21150-2022")</f>
        <v/>
      </c>
    </row>
    <row r="158" ht="15" customHeight="1">
      <c r="A158" t="inlineStr">
        <is>
          <t>A 31194-2022</t>
        </is>
      </c>
      <c r="B158" s="1" t="n">
        <v>44770</v>
      </c>
      <c r="C158" s="1" t="n">
        <v>45758</v>
      </c>
      <c r="D158" t="inlineStr">
        <is>
          <t>STOCKHOLMS LÄN</t>
        </is>
      </c>
      <c r="E158" t="inlineStr">
        <is>
          <t>NORRTÄLJE</t>
        </is>
      </c>
      <c r="G158" t="n">
        <v>2.7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31194-2022 artfynd.xlsx", "A 31194-2022")</f>
        <v/>
      </c>
      <c r="T158">
        <f>HYPERLINK("https://klasma.github.io/Logging_0188/kartor/A 31194-2022 karta.png", "A 31194-2022")</f>
        <v/>
      </c>
      <c r="V158">
        <f>HYPERLINK("https://klasma.github.io/Logging_0188/klagomål/A 31194-2022 FSC-klagomål.docx", "A 31194-2022")</f>
        <v/>
      </c>
      <c r="W158">
        <f>HYPERLINK("https://klasma.github.io/Logging_0188/klagomålsmail/A 31194-2022 FSC-klagomål mail.docx", "A 31194-2022")</f>
        <v/>
      </c>
      <c r="X158">
        <f>HYPERLINK("https://klasma.github.io/Logging_0188/tillsyn/A 31194-2022 tillsynsbegäran.docx", "A 31194-2022")</f>
        <v/>
      </c>
      <c r="Y158">
        <f>HYPERLINK("https://klasma.github.io/Logging_0188/tillsynsmail/A 31194-2022 tillsynsbegäran mail.docx", "A 31194-2022")</f>
        <v/>
      </c>
    </row>
    <row r="159" ht="15" customHeight="1">
      <c r="A159" t="inlineStr">
        <is>
          <t>A 33477-2022</t>
        </is>
      </c>
      <c r="B159" s="1" t="n">
        <v>44788</v>
      </c>
      <c r="C159" s="1" t="n">
        <v>45758</v>
      </c>
      <c r="D159" t="inlineStr">
        <is>
          <t>STOCKHOLMS LÄN</t>
        </is>
      </c>
      <c r="E159" t="inlineStr">
        <is>
          <t>NORRTÄLJE</t>
        </is>
      </c>
      <c r="G159" t="n">
        <v>5.7</v>
      </c>
      <c r="H159" t="n">
        <v>1</v>
      </c>
      <c r="I159" t="n">
        <v>1</v>
      </c>
      <c r="J159" t="n">
        <v>0</v>
      </c>
      <c r="K159" t="n">
        <v>0</v>
      </c>
      <c r="L159" t="n">
        <v>0</v>
      </c>
      <c r="M159" t="n">
        <v>0</v>
      </c>
      <c r="N159" t="n">
        <v>0</v>
      </c>
      <c r="O159" t="n">
        <v>0</v>
      </c>
      <c r="P159" t="n">
        <v>0</v>
      </c>
      <c r="Q159" t="n">
        <v>1</v>
      </c>
      <c r="R159" s="2" t="inlineStr">
        <is>
          <t>Nästrot</t>
        </is>
      </c>
      <c r="S159">
        <f>HYPERLINK("https://klasma.github.io/Logging_0188/artfynd/A 33477-2022 artfynd.xlsx", "A 33477-2022")</f>
        <v/>
      </c>
      <c r="T159">
        <f>HYPERLINK("https://klasma.github.io/Logging_0188/kartor/A 33477-2022 karta.png", "A 33477-2022")</f>
        <v/>
      </c>
      <c r="V159">
        <f>HYPERLINK("https://klasma.github.io/Logging_0188/klagomål/A 33477-2022 FSC-klagomål.docx", "A 33477-2022")</f>
        <v/>
      </c>
      <c r="W159">
        <f>HYPERLINK("https://klasma.github.io/Logging_0188/klagomålsmail/A 33477-2022 FSC-klagomål mail.docx", "A 33477-2022")</f>
        <v/>
      </c>
      <c r="X159">
        <f>HYPERLINK("https://klasma.github.io/Logging_0188/tillsyn/A 33477-2022 tillsynsbegäran.docx", "A 33477-2022")</f>
        <v/>
      </c>
      <c r="Y159">
        <f>HYPERLINK("https://klasma.github.io/Logging_0188/tillsynsmail/A 33477-2022 tillsynsbegäran mail.docx", "A 33477-2022")</f>
        <v/>
      </c>
    </row>
    <row r="160" ht="15" customHeight="1">
      <c r="A160" t="inlineStr">
        <is>
          <t>A 37522-2022</t>
        </is>
      </c>
      <c r="B160" s="1" t="n">
        <v>44809</v>
      </c>
      <c r="C160" s="1" t="n">
        <v>45758</v>
      </c>
      <c r="D160" t="inlineStr">
        <is>
          <t>STOCKHOLMS LÄN</t>
        </is>
      </c>
      <c r="E160" t="inlineStr">
        <is>
          <t>NORRTÄLJE</t>
        </is>
      </c>
      <c r="G160" t="n">
        <v>2.4</v>
      </c>
      <c r="H160" t="n">
        <v>1</v>
      </c>
      <c r="I160" t="n">
        <v>0</v>
      </c>
      <c r="J160" t="n">
        <v>0</v>
      </c>
      <c r="K160" t="n">
        <v>0</v>
      </c>
      <c r="L160" t="n">
        <v>0</v>
      </c>
      <c r="M160" t="n">
        <v>0</v>
      </c>
      <c r="N160" t="n">
        <v>0</v>
      </c>
      <c r="O160" t="n">
        <v>0</v>
      </c>
      <c r="P160" t="n">
        <v>0</v>
      </c>
      <c r="Q160" t="n">
        <v>1</v>
      </c>
      <c r="R160" s="2" t="inlineStr">
        <is>
          <t>Blåsippa</t>
        </is>
      </c>
      <c r="S160">
        <f>HYPERLINK("https://klasma.github.io/Logging_0188/artfynd/A 37522-2022 artfynd.xlsx", "A 37522-2022")</f>
        <v/>
      </c>
      <c r="T160">
        <f>HYPERLINK("https://klasma.github.io/Logging_0188/kartor/A 37522-2022 karta.png", "A 37522-2022")</f>
        <v/>
      </c>
      <c r="V160">
        <f>HYPERLINK("https://klasma.github.io/Logging_0188/klagomål/A 37522-2022 FSC-klagomål.docx", "A 37522-2022")</f>
        <v/>
      </c>
      <c r="W160">
        <f>HYPERLINK("https://klasma.github.io/Logging_0188/klagomålsmail/A 37522-2022 FSC-klagomål mail.docx", "A 37522-2022")</f>
        <v/>
      </c>
      <c r="X160">
        <f>HYPERLINK("https://klasma.github.io/Logging_0188/tillsyn/A 37522-2022 tillsynsbegäran.docx", "A 37522-2022")</f>
        <v/>
      </c>
      <c r="Y160">
        <f>HYPERLINK("https://klasma.github.io/Logging_0188/tillsynsmail/A 37522-2022 tillsynsbegäran mail.docx", "A 37522-2022")</f>
        <v/>
      </c>
    </row>
    <row r="161" ht="15" customHeight="1">
      <c r="A161" t="inlineStr">
        <is>
          <t>A 39318-2022</t>
        </is>
      </c>
      <c r="B161" s="1" t="n">
        <v>44817</v>
      </c>
      <c r="C161" s="1" t="n">
        <v>45758</v>
      </c>
      <c r="D161" t="inlineStr">
        <is>
          <t>STOCKHOLMS LÄN</t>
        </is>
      </c>
      <c r="E161" t="inlineStr">
        <is>
          <t>NORRTÄLJE</t>
        </is>
      </c>
      <c r="G161" t="n">
        <v>2.4</v>
      </c>
      <c r="H161" t="n">
        <v>1</v>
      </c>
      <c r="I161" t="n">
        <v>0</v>
      </c>
      <c r="J161" t="n">
        <v>0</v>
      </c>
      <c r="K161" t="n">
        <v>1</v>
      </c>
      <c r="L161" t="n">
        <v>0</v>
      </c>
      <c r="M161" t="n">
        <v>0</v>
      </c>
      <c r="N161" t="n">
        <v>0</v>
      </c>
      <c r="O161" t="n">
        <v>1</v>
      </c>
      <c r="P161" t="n">
        <v>1</v>
      </c>
      <c r="Q161" t="n">
        <v>1</v>
      </c>
      <c r="R161" s="2" t="inlineStr">
        <is>
          <t>Stare</t>
        </is>
      </c>
      <c r="S161">
        <f>HYPERLINK("https://klasma.github.io/Logging_0188/artfynd/A 39318-2022 artfynd.xlsx", "A 39318-2022")</f>
        <v/>
      </c>
      <c r="T161">
        <f>HYPERLINK("https://klasma.github.io/Logging_0188/kartor/A 39318-2022 karta.png", "A 39318-2022")</f>
        <v/>
      </c>
      <c r="V161">
        <f>HYPERLINK("https://klasma.github.io/Logging_0188/klagomål/A 39318-2022 FSC-klagomål.docx", "A 39318-2022")</f>
        <v/>
      </c>
      <c r="W161">
        <f>HYPERLINK("https://klasma.github.io/Logging_0188/klagomålsmail/A 39318-2022 FSC-klagomål mail.docx", "A 39318-2022")</f>
        <v/>
      </c>
      <c r="X161">
        <f>HYPERLINK("https://klasma.github.io/Logging_0188/tillsyn/A 39318-2022 tillsynsbegäran.docx", "A 39318-2022")</f>
        <v/>
      </c>
      <c r="Y161">
        <f>HYPERLINK("https://klasma.github.io/Logging_0188/tillsynsmail/A 39318-2022 tillsynsbegäran mail.docx", "A 39318-2022")</f>
        <v/>
      </c>
    </row>
    <row r="162" ht="15" customHeight="1">
      <c r="A162" t="inlineStr">
        <is>
          <t>A 40672-2022</t>
        </is>
      </c>
      <c r="B162" s="1" t="n">
        <v>44824</v>
      </c>
      <c r="C162" s="1" t="n">
        <v>45758</v>
      </c>
      <c r="D162" t="inlineStr">
        <is>
          <t>STOCKHOLMS LÄN</t>
        </is>
      </c>
      <c r="E162" t="inlineStr">
        <is>
          <t>NORRTÄLJE</t>
        </is>
      </c>
      <c r="F162" t="inlineStr">
        <is>
          <t>Övriga Aktiebolag</t>
        </is>
      </c>
      <c r="G162" t="n">
        <v>1.3</v>
      </c>
      <c r="H162" t="n">
        <v>0</v>
      </c>
      <c r="I162" t="n">
        <v>0</v>
      </c>
      <c r="J162" t="n">
        <v>1</v>
      </c>
      <c r="K162" t="n">
        <v>0</v>
      </c>
      <c r="L162" t="n">
        <v>0</v>
      </c>
      <c r="M162" t="n">
        <v>0</v>
      </c>
      <c r="N162" t="n">
        <v>0</v>
      </c>
      <c r="O162" t="n">
        <v>1</v>
      </c>
      <c r="P162" t="n">
        <v>0</v>
      </c>
      <c r="Q162" t="n">
        <v>1</v>
      </c>
      <c r="R162" s="2" t="inlineStr">
        <is>
          <t>Månlåsbräken</t>
        </is>
      </c>
      <c r="S162">
        <f>HYPERLINK("https://klasma.github.io/Logging_0188/artfynd/A 40672-2022 artfynd.xlsx", "A 40672-2022")</f>
        <v/>
      </c>
      <c r="T162">
        <f>HYPERLINK("https://klasma.github.io/Logging_0188/kartor/A 40672-2022 karta.png", "A 40672-2022")</f>
        <v/>
      </c>
      <c r="V162">
        <f>HYPERLINK("https://klasma.github.io/Logging_0188/klagomål/A 40672-2022 FSC-klagomål.docx", "A 40672-2022")</f>
        <v/>
      </c>
      <c r="W162">
        <f>HYPERLINK("https://klasma.github.io/Logging_0188/klagomålsmail/A 40672-2022 FSC-klagomål mail.docx", "A 40672-2022")</f>
        <v/>
      </c>
      <c r="X162">
        <f>HYPERLINK("https://klasma.github.io/Logging_0188/tillsyn/A 40672-2022 tillsynsbegäran.docx", "A 40672-2022")</f>
        <v/>
      </c>
      <c r="Y162">
        <f>HYPERLINK("https://klasma.github.io/Logging_0188/tillsynsmail/A 40672-2022 tillsynsbegäran mail.docx", "A 40672-2022")</f>
        <v/>
      </c>
    </row>
    <row r="163" ht="15" customHeight="1">
      <c r="A163" t="inlineStr">
        <is>
          <t>A 44709-2022</t>
        </is>
      </c>
      <c r="B163" s="1" t="n">
        <v>44839</v>
      </c>
      <c r="C163" s="1" t="n">
        <v>45758</v>
      </c>
      <c r="D163" t="inlineStr">
        <is>
          <t>STOCKHOLMS LÄN</t>
        </is>
      </c>
      <c r="E163" t="inlineStr">
        <is>
          <t>NORRTÄLJE</t>
        </is>
      </c>
      <c r="G163" t="n">
        <v>16.3</v>
      </c>
      <c r="H163" t="n">
        <v>0</v>
      </c>
      <c r="I163" t="n">
        <v>0</v>
      </c>
      <c r="J163" t="n">
        <v>1</v>
      </c>
      <c r="K163" t="n">
        <v>0</v>
      </c>
      <c r="L163" t="n">
        <v>0</v>
      </c>
      <c r="M163" t="n">
        <v>0</v>
      </c>
      <c r="N163" t="n">
        <v>0</v>
      </c>
      <c r="O163" t="n">
        <v>1</v>
      </c>
      <c r="P163" t="n">
        <v>0</v>
      </c>
      <c r="Q163" t="n">
        <v>1</v>
      </c>
      <c r="R163" s="2" t="inlineStr">
        <is>
          <t>Asppraktbagge</t>
        </is>
      </c>
      <c r="S163">
        <f>HYPERLINK("https://klasma.github.io/Logging_0188/artfynd/A 44709-2022 artfynd.xlsx", "A 44709-2022")</f>
        <v/>
      </c>
      <c r="T163">
        <f>HYPERLINK("https://klasma.github.io/Logging_0188/kartor/A 44709-2022 karta.png", "A 44709-2022")</f>
        <v/>
      </c>
      <c r="V163">
        <f>HYPERLINK("https://klasma.github.io/Logging_0188/klagomål/A 44709-2022 FSC-klagomål.docx", "A 44709-2022")</f>
        <v/>
      </c>
      <c r="W163">
        <f>HYPERLINK("https://klasma.github.io/Logging_0188/klagomålsmail/A 44709-2022 FSC-klagomål mail.docx", "A 44709-2022")</f>
        <v/>
      </c>
      <c r="X163">
        <f>HYPERLINK("https://klasma.github.io/Logging_0188/tillsyn/A 44709-2022 tillsynsbegäran.docx", "A 44709-2022")</f>
        <v/>
      </c>
      <c r="Y163">
        <f>HYPERLINK("https://klasma.github.io/Logging_0188/tillsynsmail/A 44709-2022 tillsynsbegäran mail.docx", "A 44709-2022")</f>
        <v/>
      </c>
    </row>
    <row r="164" ht="15" customHeight="1">
      <c r="A164" t="inlineStr">
        <is>
          <t>A 47898-2022</t>
        </is>
      </c>
      <c r="B164" s="1" t="n">
        <v>44855</v>
      </c>
      <c r="C164" s="1" t="n">
        <v>45758</v>
      </c>
      <c r="D164" t="inlineStr">
        <is>
          <t>STOCKHOLMS LÄN</t>
        </is>
      </c>
      <c r="E164" t="inlineStr">
        <is>
          <t>NORRTÄLJE</t>
        </is>
      </c>
      <c r="G164" t="n">
        <v>6.7</v>
      </c>
      <c r="H164" t="n">
        <v>1</v>
      </c>
      <c r="I164" t="n">
        <v>1</v>
      </c>
      <c r="J164" t="n">
        <v>0</v>
      </c>
      <c r="K164" t="n">
        <v>0</v>
      </c>
      <c r="L164" t="n">
        <v>0</v>
      </c>
      <c r="M164" t="n">
        <v>0</v>
      </c>
      <c r="N164" t="n">
        <v>0</v>
      </c>
      <c r="O164" t="n">
        <v>0</v>
      </c>
      <c r="P164" t="n">
        <v>0</v>
      </c>
      <c r="Q164" t="n">
        <v>1</v>
      </c>
      <c r="R164" s="2" t="inlineStr">
        <is>
          <t>Guckusko</t>
        </is>
      </c>
      <c r="S164">
        <f>HYPERLINK("https://klasma.github.io/Logging_0188/artfynd/A 47898-2022 artfynd.xlsx", "A 47898-2022")</f>
        <v/>
      </c>
      <c r="T164">
        <f>HYPERLINK("https://klasma.github.io/Logging_0188/kartor/A 47898-2022 karta.png", "A 47898-2022")</f>
        <v/>
      </c>
      <c r="V164">
        <f>HYPERLINK("https://klasma.github.io/Logging_0188/klagomål/A 47898-2022 FSC-klagomål.docx", "A 47898-2022")</f>
        <v/>
      </c>
      <c r="W164">
        <f>HYPERLINK("https://klasma.github.io/Logging_0188/klagomålsmail/A 47898-2022 FSC-klagomål mail.docx", "A 47898-2022")</f>
        <v/>
      </c>
      <c r="X164">
        <f>HYPERLINK("https://klasma.github.io/Logging_0188/tillsyn/A 47898-2022 tillsynsbegäran.docx", "A 47898-2022")</f>
        <v/>
      </c>
      <c r="Y164">
        <f>HYPERLINK("https://klasma.github.io/Logging_0188/tillsynsmail/A 47898-2022 tillsynsbegäran mail.docx", "A 47898-2022")</f>
        <v/>
      </c>
    </row>
    <row r="165" ht="15" customHeight="1">
      <c r="A165" t="inlineStr">
        <is>
          <t>A 50854-2022</t>
        </is>
      </c>
      <c r="B165" s="1" t="n">
        <v>44863</v>
      </c>
      <c r="C165" s="1" t="n">
        <v>45758</v>
      </c>
      <c r="D165" t="inlineStr">
        <is>
          <t>STOCKHOLMS LÄN</t>
        </is>
      </c>
      <c r="E165" t="inlineStr">
        <is>
          <t>NORRTÄLJE</t>
        </is>
      </c>
      <c r="G165" t="n">
        <v>2.9</v>
      </c>
      <c r="H165" t="n">
        <v>0</v>
      </c>
      <c r="I165" t="n">
        <v>1</v>
      </c>
      <c r="J165" t="n">
        <v>0</v>
      </c>
      <c r="K165" t="n">
        <v>0</v>
      </c>
      <c r="L165" t="n">
        <v>0</v>
      </c>
      <c r="M165" t="n">
        <v>0</v>
      </c>
      <c r="N165" t="n">
        <v>0</v>
      </c>
      <c r="O165" t="n">
        <v>0</v>
      </c>
      <c r="P165" t="n">
        <v>0</v>
      </c>
      <c r="Q165" t="n">
        <v>1</v>
      </c>
      <c r="R165" s="2" t="inlineStr">
        <is>
          <t>Tibast</t>
        </is>
      </c>
      <c r="S165">
        <f>HYPERLINK("https://klasma.github.io/Logging_0188/artfynd/A 50854-2022 artfynd.xlsx", "A 50854-2022")</f>
        <v/>
      </c>
      <c r="T165">
        <f>HYPERLINK("https://klasma.github.io/Logging_0188/kartor/A 50854-2022 karta.png", "A 50854-2022")</f>
        <v/>
      </c>
      <c r="V165">
        <f>HYPERLINK("https://klasma.github.io/Logging_0188/klagomål/A 50854-2022 FSC-klagomål.docx", "A 50854-2022")</f>
        <v/>
      </c>
      <c r="W165">
        <f>HYPERLINK("https://klasma.github.io/Logging_0188/klagomålsmail/A 50854-2022 FSC-klagomål mail.docx", "A 50854-2022")</f>
        <v/>
      </c>
      <c r="X165">
        <f>HYPERLINK("https://klasma.github.io/Logging_0188/tillsyn/A 50854-2022 tillsynsbegäran.docx", "A 50854-2022")</f>
        <v/>
      </c>
      <c r="Y165">
        <f>HYPERLINK("https://klasma.github.io/Logging_0188/tillsynsmail/A 50854-2022 tillsynsbegäran mail.docx", "A 50854-2022")</f>
        <v/>
      </c>
    </row>
    <row r="166" ht="15" customHeight="1">
      <c r="A166" t="inlineStr">
        <is>
          <t>A 52130-2022</t>
        </is>
      </c>
      <c r="B166" s="1" t="n">
        <v>44868</v>
      </c>
      <c r="C166" s="1" t="n">
        <v>45758</v>
      </c>
      <c r="D166" t="inlineStr">
        <is>
          <t>STOCKHOLMS LÄN</t>
        </is>
      </c>
      <c r="E166" t="inlineStr">
        <is>
          <t>NORRTÄLJE</t>
        </is>
      </c>
      <c r="G166" t="n">
        <v>3.7</v>
      </c>
      <c r="H166" t="n">
        <v>0</v>
      </c>
      <c r="I166" t="n">
        <v>0</v>
      </c>
      <c r="J166" t="n">
        <v>1</v>
      </c>
      <c r="K166" t="n">
        <v>0</v>
      </c>
      <c r="L166" t="n">
        <v>0</v>
      </c>
      <c r="M166" t="n">
        <v>0</v>
      </c>
      <c r="N166" t="n">
        <v>0</v>
      </c>
      <c r="O166" t="n">
        <v>1</v>
      </c>
      <c r="P166" t="n">
        <v>0</v>
      </c>
      <c r="Q166" t="n">
        <v>1</v>
      </c>
      <c r="R166" s="2" t="inlineStr">
        <is>
          <t>Flattoppad klubbsvamp</t>
        </is>
      </c>
      <c r="S166">
        <f>HYPERLINK("https://klasma.github.io/Logging_0188/artfynd/A 52130-2022 artfynd.xlsx", "A 52130-2022")</f>
        <v/>
      </c>
      <c r="T166">
        <f>HYPERLINK("https://klasma.github.io/Logging_0188/kartor/A 52130-2022 karta.png", "A 52130-2022")</f>
        <v/>
      </c>
      <c r="V166">
        <f>HYPERLINK("https://klasma.github.io/Logging_0188/klagomål/A 52130-2022 FSC-klagomål.docx", "A 52130-2022")</f>
        <v/>
      </c>
      <c r="W166">
        <f>HYPERLINK("https://klasma.github.io/Logging_0188/klagomålsmail/A 52130-2022 FSC-klagomål mail.docx", "A 52130-2022")</f>
        <v/>
      </c>
      <c r="X166">
        <f>HYPERLINK("https://klasma.github.io/Logging_0188/tillsyn/A 52130-2022 tillsynsbegäran.docx", "A 52130-2022")</f>
        <v/>
      </c>
      <c r="Y166">
        <f>HYPERLINK("https://klasma.github.io/Logging_0188/tillsynsmail/A 52130-2022 tillsynsbegäran mail.docx", "A 52130-2022")</f>
        <v/>
      </c>
    </row>
    <row r="167" ht="15" customHeight="1">
      <c r="A167" t="inlineStr">
        <is>
          <t>A 61011-2022</t>
        </is>
      </c>
      <c r="B167" s="1" t="n">
        <v>44914</v>
      </c>
      <c r="C167" s="1" t="n">
        <v>45758</v>
      </c>
      <c r="D167" t="inlineStr">
        <is>
          <t>STOCKHOLMS LÄN</t>
        </is>
      </c>
      <c r="E167" t="inlineStr">
        <is>
          <t>NORRTÄLJE</t>
        </is>
      </c>
      <c r="G167" t="n">
        <v>2.2</v>
      </c>
      <c r="H167" t="n">
        <v>0</v>
      </c>
      <c r="I167" t="n">
        <v>0</v>
      </c>
      <c r="J167" t="n">
        <v>1</v>
      </c>
      <c r="K167" t="n">
        <v>0</v>
      </c>
      <c r="L167" t="n">
        <v>0</v>
      </c>
      <c r="M167" t="n">
        <v>0</v>
      </c>
      <c r="N167" t="n">
        <v>0</v>
      </c>
      <c r="O167" t="n">
        <v>1</v>
      </c>
      <c r="P167" t="n">
        <v>0</v>
      </c>
      <c r="Q167" t="n">
        <v>1</v>
      </c>
      <c r="R167" s="2" t="inlineStr">
        <is>
          <t>Orange taggsvamp</t>
        </is>
      </c>
      <c r="S167">
        <f>HYPERLINK("https://klasma.github.io/Logging_0188/artfynd/A 61011-2022 artfynd.xlsx", "A 61011-2022")</f>
        <v/>
      </c>
      <c r="T167">
        <f>HYPERLINK("https://klasma.github.io/Logging_0188/kartor/A 61011-2022 karta.png", "A 61011-2022")</f>
        <v/>
      </c>
      <c r="V167">
        <f>HYPERLINK("https://klasma.github.io/Logging_0188/klagomål/A 61011-2022 FSC-klagomål.docx", "A 61011-2022")</f>
        <v/>
      </c>
      <c r="W167">
        <f>HYPERLINK("https://klasma.github.io/Logging_0188/klagomålsmail/A 61011-2022 FSC-klagomål mail.docx", "A 61011-2022")</f>
        <v/>
      </c>
      <c r="X167">
        <f>HYPERLINK("https://klasma.github.io/Logging_0188/tillsyn/A 61011-2022 tillsynsbegäran.docx", "A 61011-2022")</f>
        <v/>
      </c>
      <c r="Y167">
        <f>HYPERLINK("https://klasma.github.io/Logging_0188/tillsynsmail/A 61011-2022 tillsynsbegäran mail.docx", "A 61011-2022")</f>
        <v/>
      </c>
    </row>
    <row r="168" ht="15" customHeight="1">
      <c r="A168" t="inlineStr">
        <is>
          <t>A 4385-2023</t>
        </is>
      </c>
      <c r="B168" s="1" t="n">
        <v>44955</v>
      </c>
      <c r="C168" s="1" t="n">
        <v>45758</v>
      </c>
      <c r="D168" t="inlineStr">
        <is>
          <t>STOCKHOLMS LÄN</t>
        </is>
      </c>
      <c r="E168" t="inlineStr">
        <is>
          <t>NORRTÄLJE</t>
        </is>
      </c>
      <c r="G168" t="n">
        <v>7.8</v>
      </c>
      <c r="H168" t="n">
        <v>1</v>
      </c>
      <c r="I168" t="n">
        <v>1</v>
      </c>
      <c r="J168" t="n">
        <v>0</v>
      </c>
      <c r="K168" t="n">
        <v>0</v>
      </c>
      <c r="L168" t="n">
        <v>0</v>
      </c>
      <c r="M168" t="n">
        <v>0</v>
      </c>
      <c r="N168" t="n">
        <v>0</v>
      </c>
      <c r="O168" t="n">
        <v>0</v>
      </c>
      <c r="P168" t="n">
        <v>0</v>
      </c>
      <c r="Q168" t="n">
        <v>1</v>
      </c>
      <c r="R168" s="2" t="inlineStr">
        <is>
          <t>Skogsknipprot</t>
        </is>
      </c>
      <c r="S168">
        <f>HYPERLINK("https://klasma.github.io/Logging_0188/artfynd/A 4385-2023 artfynd.xlsx", "A 4385-2023")</f>
        <v/>
      </c>
      <c r="T168">
        <f>HYPERLINK("https://klasma.github.io/Logging_0188/kartor/A 4385-2023 karta.png", "A 4385-2023")</f>
        <v/>
      </c>
      <c r="V168">
        <f>HYPERLINK("https://klasma.github.io/Logging_0188/klagomål/A 4385-2023 FSC-klagomål.docx", "A 4385-2023")</f>
        <v/>
      </c>
      <c r="W168">
        <f>HYPERLINK("https://klasma.github.io/Logging_0188/klagomålsmail/A 4385-2023 FSC-klagomål mail.docx", "A 4385-2023")</f>
        <v/>
      </c>
      <c r="X168">
        <f>HYPERLINK("https://klasma.github.io/Logging_0188/tillsyn/A 4385-2023 tillsynsbegäran.docx", "A 4385-2023")</f>
        <v/>
      </c>
      <c r="Y168">
        <f>HYPERLINK("https://klasma.github.io/Logging_0188/tillsynsmail/A 4385-2023 tillsynsbegäran mail.docx", "A 4385-2023")</f>
        <v/>
      </c>
    </row>
    <row r="169" ht="15" customHeight="1">
      <c r="A169" t="inlineStr">
        <is>
          <t>A 4595-2023</t>
        </is>
      </c>
      <c r="B169" s="1" t="n">
        <v>44956</v>
      </c>
      <c r="C169" s="1" t="n">
        <v>45758</v>
      </c>
      <c r="D169" t="inlineStr">
        <is>
          <t>STOCKHOLMS LÄN</t>
        </is>
      </c>
      <c r="E169" t="inlineStr">
        <is>
          <t>NORRTÄLJE</t>
        </is>
      </c>
      <c r="G169" t="n">
        <v>0.6</v>
      </c>
      <c r="H169" t="n">
        <v>1</v>
      </c>
      <c r="I169" t="n">
        <v>0</v>
      </c>
      <c r="J169" t="n">
        <v>0</v>
      </c>
      <c r="K169" t="n">
        <v>0</v>
      </c>
      <c r="L169" t="n">
        <v>0</v>
      </c>
      <c r="M169" t="n">
        <v>0</v>
      </c>
      <c r="N169" t="n">
        <v>0</v>
      </c>
      <c r="O169" t="n">
        <v>0</v>
      </c>
      <c r="P169" t="n">
        <v>0</v>
      </c>
      <c r="Q169" t="n">
        <v>1</v>
      </c>
      <c r="R169" s="2" t="inlineStr">
        <is>
          <t>Blåsippa</t>
        </is>
      </c>
      <c r="S169">
        <f>HYPERLINK("https://klasma.github.io/Logging_0188/artfynd/A 4595-2023 artfynd.xlsx", "A 4595-2023")</f>
        <v/>
      </c>
      <c r="T169">
        <f>HYPERLINK("https://klasma.github.io/Logging_0188/kartor/A 4595-2023 karta.png", "A 4595-2023")</f>
        <v/>
      </c>
      <c r="V169">
        <f>HYPERLINK("https://klasma.github.io/Logging_0188/klagomål/A 4595-2023 FSC-klagomål.docx", "A 4595-2023")</f>
        <v/>
      </c>
      <c r="W169">
        <f>HYPERLINK("https://klasma.github.io/Logging_0188/klagomålsmail/A 4595-2023 FSC-klagomål mail.docx", "A 4595-2023")</f>
        <v/>
      </c>
      <c r="X169">
        <f>HYPERLINK("https://klasma.github.io/Logging_0188/tillsyn/A 4595-2023 tillsynsbegäran.docx", "A 4595-2023")</f>
        <v/>
      </c>
      <c r="Y169">
        <f>HYPERLINK("https://klasma.github.io/Logging_0188/tillsynsmail/A 4595-2023 tillsynsbegäran mail.docx", "A 4595-2023")</f>
        <v/>
      </c>
    </row>
    <row r="170" ht="15" customHeight="1">
      <c r="A170" t="inlineStr">
        <is>
          <t>A 6381-2023</t>
        </is>
      </c>
      <c r="B170" s="1" t="n">
        <v>44965</v>
      </c>
      <c r="C170" s="1" t="n">
        <v>45758</v>
      </c>
      <c r="D170" t="inlineStr">
        <is>
          <t>STOCKHOLMS LÄN</t>
        </is>
      </c>
      <c r="E170" t="inlineStr">
        <is>
          <t>NORRTÄLJE</t>
        </is>
      </c>
      <c r="G170" t="n">
        <v>3.5</v>
      </c>
      <c r="H170" t="n">
        <v>1</v>
      </c>
      <c r="I170" t="n">
        <v>1</v>
      </c>
      <c r="J170" t="n">
        <v>0</v>
      </c>
      <c r="K170" t="n">
        <v>0</v>
      </c>
      <c r="L170" t="n">
        <v>0</v>
      </c>
      <c r="M170" t="n">
        <v>0</v>
      </c>
      <c r="N170" t="n">
        <v>0</v>
      </c>
      <c r="O170" t="n">
        <v>0</v>
      </c>
      <c r="P170" t="n">
        <v>0</v>
      </c>
      <c r="Q170" t="n">
        <v>1</v>
      </c>
      <c r="R170" s="2" t="inlineStr">
        <is>
          <t>Guckusko</t>
        </is>
      </c>
      <c r="S170">
        <f>HYPERLINK("https://klasma.github.io/Logging_0188/artfynd/A 6381-2023 artfynd.xlsx", "A 6381-2023")</f>
        <v/>
      </c>
      <c r="T170">
        <f>HYPERLINK("https://klasma.github.io/Logging_0188/kartor/A 6381-2023 karta.png", "A 6381-2023")</f>
        <v/>
      </c>
      <c r="V170">
        <f>HYPERLINK("https://klasma.github.io/Logging_0188/klagomål/A 6381-2023 FSC-klagomål.docx", "A 6381-2023")</f>
        <v/>
      </c>
      <c r="W170">
        <f>HYPERLINK("https://klasma.github.io/Logging_0188/klagomålsmail/A 6381-2023 FSC-klagomål mail.docx", "A 6381-2023")</f>
        <v/>
      </c>
      <c r="X170">
        <f>HYPERLINK("https://klasma.github.io/Logging_0188/tillsyn/A 6381-2023 tillsynsbegäran.docx", "A 6381-2023")</f>
        <v/>
      </c>
      <c r="Y170">
        <f>HYPERLINK("https://klasma.github.io/Logging_0188/tillsynsmail/A 6381-2023 tillsynsbegäran mail.docx", "A 6381-2023")</f>
        <v/>
      </c>
    </row>
    <row r="171" ht="15" customHeight="1">
      <c r="A171" t="inlineStr">
        <is>
          <t>A 9214-2023</t>
        </is>
      </c>
      <c r="B171" s="1" t="n">
        <v>44980</v>
      </c>
      <c r="C171" s="1" t="n">
        <v>45758</v>
      </c>
      <c r="D171" t="inlineStr">
        <is>
          <t>STOCKHOLMS LÄN</t>
        </is>
      </c>
      <c r="E171" t="inlineStr">
        <is>
          <t>NORRTÄLJE</t>
        </is>
      </c>
      <c r="G171" t="n">
        <v>10.6</v>
      </c>
      <c r="H171" t="n">
        <v>1</v>
      </c>
      <c r="I171" t="n">
        <v>1</v>
      </c>
      <c r="J171" t="n">
        <v>0</v>
      </c>
      <c r="K171" t="n">
        <v>0</v>
      </c>
      <c r="L171" t="n">
        <v>0</v>
      </c>
      <c r="M171" t="n">
        <v>0</v>
      </c>
      <c r="N171" t="n">
        <v>0</v>
      </c>
      <c r="O171" t="n">
        <v>0</v>
      </c>
      <c r="P171" t="n">
        <v>0</v>
      </c>
      <c r="Q171" t="n">
        <v>1</v>
      </c>
      <c r="R171" s="2" t="inlineStr">
        <is>
          <t>Guckusko</t>
        </is>
      </c>
      <c r="S171">
        <f>HYPERLINK("https://klasma.github.io/Logging_0188/artfynd/A 9214-2023 artfynd.xlsx", "A 9214-2023")</f>
        <v/>
      </c>
      <c r="T171">
        <f>HYPERLINK("https://klasma.github.io/Logging_0188/kartor/A 9214-2023 karta.png", "A 9214-2023")</f>
        <v/>
      </c>
      <c r="V171">
        <f>HYPERLINK("https://klasma.github.io/Logging_0188/klagomål/A 9214-2023 FSC-klagomål.docx", "A 9214-2023")</f>
        <v/>
      </c>
      <c r="W171">
        <f>HYPERLINK("https://klasma.github.io/Logging_0188/klagomålsmail/A 9214-2023 FSC-klagomål mail.docx", "A 9214-2023")</f>
        <v/>
      </c>
      <c r="X171">
        <f>HYPERLINK("https://klasma.github.io/Logging_0188/tillsyn/A 9214-2023 tillsynsbegäran.docx", "A 9214-2023")</f>
        <v/>
      </c>
      <c r="Y171">
        <f>HYPERLINK("https://klasma.github.io/Logging_0188/tillsynsmail/A 9214-2023 tillsynsbegäran mail.docx", "A 9214-2023")</f>
        <v/>
      </c>
    </row>
    <row r="172" ht="15" customHeight="1">
      <c r="A172" t="inlineStr">
        <is>
          <t>A 9271-2023</t>
        </is>
      </c>
      <c r="B172" s="1" t="n">
        <v>44980</v>
      </c>
      <c r="C172" s="1" t="n">
        <v>45758</v>
      </c>
      <c r="D172" t="inlineStr">
        <is>
          <t>STOCKHOLMS LÄN</t>
        </is>
      </c>
      <c r="E172" t="inlineStr">
        <is>
          <t>NORRTÄLJE</t>
        </is>
      </c>
      <c r="G172" t="n">
        <v>5.3</v>
      </c>
      <c r="H172" t="n">
        <v>1</v>
      </c>
      <c r="I172" t="n">
        <v>0</v>
      </c>
      <c r="J172" t="n">
        <v>0</v>
      </c>
      <c r="K172" t="n">
        <v>1</v>
      </c>
      <c r="L172" t="n">
        <v>0</v>
      </c>
      <c r="M172" t="n">
        <v>0</v>
      </c>
      <c r="N172" t="n">
        <v>0</v>
      </c>
      <c r="O172" t="n">
        <v>1</v>
      </c>
      <c r="P172" t="n">
        <v>1</v>
      </c>
      <c r="Q172" t="n">
        <v>1</v>
      </c>
      <c r="R172" s="2" t="inlineStr">
        <is>
          <t>Hällebräcka</t>
        </is>
      </c>
      <c r="S172">
        <f>HYPERLINK("https://klasma.github.io/Logging_0188/artfynd/A 9271-2023 artfynd.xlsx", "A 9271-2023")</f>
        <v/>
      </c>
      <c r="T172">
        <f>HYPERLINK("https://klasma.github.io/Logging_0188/kartor/A 9271-2023 karta.png", "A 9271-2023")</f>
        <v/>
      </c>
      <c r="V172">
        <f>HYPERLINK("https://klasma.github.io/Logging_0188/klagomål/A 9271-2023 FSC-klagomål.docx", "A 9271-2023")</f>
        <v/>
      </c>
      <c r="W172">
        <f>HYPERLINK("https://klasma.github.io/Logging_0188/klagomålsmail/A 9271-2023 FSC-klagomål mail.docx", "A 9271-2023")</f>
        <v/>
      </c>
      <c r="X172">
        <f>HYPERLINK("https://klasma.github.io/Logging_0188/tillsyn/A 9271-2023 tillsynsbegäran.docx", "A 9271-2023")</f>
        <v/>
      </c>
      <c r="Y172">
        <f>HYPERLINK("https://klasma.github.io/Logging_0188/tillsynsmail/A 9271-2023 tillsynsbegäran mail.docx", "A 9271-2023")</f>
        <v/>
      </c>
    </row>
    <row r="173" ht="15" customHeight="1">
      <c r="A173" t="inlineStr">
        <is>
          <t>A 9522-2023</t>
        </is>
      </c>
      <c r="B173" s="1" t="n">
        <v>44981</v>
      </c>
      <c r="C173" s="1" t="n">
        <v>45758</v>
      </c>
      <c r="D173" t="inlineStr">
        <is>
          <t>STOCKHOLMS LÄN</t>
        </is>
      </c>
      <c r="E173" t="inlineStr">
        <is>
          <t>NORRTÄLJE</t>
        </is>
      </c>
      <c r="F173" t="inlineStr">
        <is>
          <t>Holmen skog AB</t>
        </is>
      </c>
      <c r="G173" t="n">
        <v>7.5</v>
      </c>
      <c r="H173" t="n">
        <v>1</v>
      </c>
      <c r="I173" t="n">
        <v>0</v>
      </c>
      <c r="J173" t="n">
        <v>0</v>
      </c>
      <c r="K173" t="n">
        <v>0</v>
      </c>
      <c r="L173" t="n">
        <v>1</v>
      </c>
      <c r="M173" t="n">
        <v>0</v>
      </c>
      <c r="N173" t="n">
        <v>0</v>
      </c>
      <c r="O173" t="n">
        <v>1</v>
      </c>
      <c r="P173" t="n">
        <v>1</v>
      </c>
      <c r="Q173" t="n">
        <v>1</v>
      </c>
      <c r="R173" s="2" t="inlineStr">
        <is>
          <t>Asknätfjäril</t>
        </is>
      </c>
      <c r="S173">
        <f>HYPERLINK("https://klasma.github.io/Logging_0188/artfynd/A 9522-2023 artfynd.xlsx", "A 9522-2023")</f>
        <v/>
      </c>
      <c r="T173">
        <f>HYPERLINK("https://klasma.github.io/Logging_0188/kartor/A 9522-2023 karta.png", "A 9522-2023")</f>
        <v/>
      </c>
      <c r="V173">
        <f>HYPERLINK("https://klasma.github.io/Logging_0188/klagomål/A 9522-2023 FSC-klagomål.docx", "A 9522-2023")</f>
        <v/>
      </c>
      <c r="W173">
        <f>HYPERLINK("https://klasma.github.io/Logging_0188/klagomålsmail/A 9522-2023 FSC-klagomål mail.docx", "A 9522-2023")</f>
        <v/>
      </c>
      <c r="X173">
        <f>HYPERLINK("https://klasma.github.io/Logging_0188/tillsyn/A 9522-2023 tillsynsbegäran.docx", "A 9522-2023")</f>
        <v/>
      </c>
      <c r="Y173">
        <f>HYPERLINK("https://klasma.github.io/Logging_0188/tillsynsmail/A 9522-2023 tillsynsbegäran mail.docx", "A 9522-2023")</f>
        <v/>
      </c>
    </row>
    <row r="174" ht="15" customHeight="1">
      <c r="A174" t="inlineStr">
        <is>
          <t>A 10019-2023</t>
        </is>
      </c>
      <c r="B174" s="1" t="n">
        <v>44985</v>
      </c>
      <c r="C174" s="1" t="n">
        <v>45758</v>
      </c>
      <c r="D174" t="inlineStr">
        <is>
          <t>STOCKHOLMS LÄN</t>
        </is>
      </c>
      <c r="E174" t="inlineStr">
        <is>
          <t>NORRTÄLJE</t>
        </is>
      </c>
      <c r="G174" t="n">
        <v>8.4</v>
      </c>
      <c r="H174" t="n">
        <v>0</v>
      </c>
      <c r="I174" t="n">
        <v>1</v>
      </c>
      <c r="J174" t="n">
        <v>0</v>
      </c>
      <c r="K174" t="n">
        <v>0</v>
      </c>
      <c r="L174" t="n">
        <v>0</v>
      </c>
      <c r="M174" t="n">
        <v>0</v>
      </c>
      <c r="N174" t="n">
        <v>0</v>
      </c>
      <c r="O174" t="n">
        <v>0</v>
      </c>
      <c r="P174" t="n">
        <v>0</v>
      </c>
      <c r="Q174" t="n">
        <v>1</v>
      </c>
      <c r="R174" s="2" t="inlineStr">
        <is>
          <t>Underviol</t>
        </is>
      </c>
      <c r="S174">
        <f>HYPERLINK("https://klasma.github.io/Logging_0188/artfynd/A 10019-2023 artfynd.xlsx", "A 10019-2023")</f>
        <v/>
      </c>
      <c r="T174">
        <f>HYPERLINK("https://klasma.github.io/Logging_0188/kartor/A 10019-2023 karta.png", "A 10019-2023")</f>
        <v/>
      </c>
      <c r="V174">
        <f>HYPERLINK("https://klasma.github.io/Logging_0188/klagomål/A 10019-2023 FSC-klagomål.docx", "A 10019-2023")</f>
        <v/>
      </c>
      <c r="W174">
        <f>HYPERLINK("https://klasma.github.io/Logging_0188/klagomålsmail/A 10019-2023 FSC-klagomål mail.docx", "A 10019-2023")</f>
        <v/>
      </c>
      <c r="X174">
        <f>HYPERLINK("https://klasma.github.io/Logging_0188/tillsyn/A 10019-2023 tillsynsbegäran.docx", "A 10019-2023")</f>
        <v/>
      </c>
      <c r="Y174">
        <f>HYPERLINK("https://klasma.github.io/Logging_0188/tillsynsmail/A 10019-2023 tillsynsbegäran mail.docx", "A 10019-2023")</f>
        <v/>
      </c>
    </row>
    <row r="175" ht="15" customHeight="1">
      <c r="A175" t="inlineStr">
        <is>
          <t>A 11429-2023</t>
        </is>
      </c>
      <c r="B175" s="1" t="n">
        <v>44993</v>
      </c>
      <c r="C175" s="1" t="n">
        <v>45758</v>
      </c>
      <c r="D175" t="inlineStr">
        <is>
          <t>STOCKHOLMS LÄN</t>
        </is>
      </c>
      <c r="E175" t="inlineStr">
        <is>
          <t>NORRTÄLJE</t>
        </is>
      </c>
      <c r="G175" t="n">
        <v>2</v>
      </c>
      <c r="H175" t="n">
        <v>0</v>
      </c>
      <c r="I175" t="n">
        <v>0</v>
      </c>
      <c r="J175" t="n">
        <v>1</v>
      </c>
      <c r="K175" t="n">
        <v>0</v>
      </c>
      <c r="L175" t="n">
        <v>0</v>
      </c>
      <c r="M175" t="n">
        <v>0</v>
      </c>
      <c r="N175" t="n">
        <v>0</v>
      </c>
      <c r="O175" t="n">
        <v>1</v>
      </c>
      <c r="P175" t="n">
        <v>0</v>
      </c>
      <c r="Q175" t="n">
        <v>1</v>
      </c>
      <c r="R175" s="2" t="inlineStr">
        <is>
          <t>Skogsklocka</t>
        </is>
      </c>
      <c r="S175">
        <f>HYPERLINK("https://klasma.github.io/Logging_0188/artfynd/A 11429-2023 artfynd.xlsx", "A 11429-2023")</f>
        <v/>
      </c>
      <c r="T175">
        <f>HYPERLINK("https://klasma.github.io/Logging_0188/kartor/A 11429-2023 karta.png", "A 11429-2023")</f>
        <v/>
      </c>
      <c r="V175">
        <f>HYPERLINK("https://klasma.github.io/Logging_0188/klagomål/A 11429-2023 FSC-klagomål.docx", "A 11429-2023")</f>
        <v/>
      </c>
      <c r="W175">
        <f>HYPERLINK("https://klasma.github.io/Logging_0188/klagomålsmail/A 11429-2023 FSC-klagomål mail.docx", "A 11429-2023")</f>
        <v/>
      </c>
      <c r="X175">
        <f>HYPERLINK("https://klasma.github.io/Logging_0188/tillsyn/A 11429-2023 tillsynsbegäran.docx", "A 11429-2023")</f>
        <v/>
      </c>
      <c r="Y175">
        <f>HYPERLINK("https://klasma.github.io/Logging_0188/tillsynsmail/A 11429-2023 tillsynsbegäran mail.docx", "A 11429-2023")</f>
        <v/>
      </c>
    </row>
    <row r="176" ht="15" customHeight="1">
      <c r="A176" t="inlineStr">
        <is>
          <t>A 12442-2023</t>
        </is>
      </c>
      <c r="B176" s="1" t="n">
        <v>44999</v>
      </c>
      <c r="C176" s="1" t="n">
        <v>45758</v>
      </c>
      <c r="D176" t="inlineStr">
        <is>
          <t>STOCKHOLMS LÄN</t>
        </is>
      </c>
      <c r="E176" t="inlineStr">
        <is>
          <t>NORRTÄLJE</t>
        </is>
      </c>
      <c r="G176" t="n">
        <v>1.9</v>
      </c>
      <c r="H176" t="n">
        <v>1</v>
      </c>
      <c r="I176" t="n">
        <v>0</v>
      </c>
      <c r="J176" t="n">
        <v>0</v>
      </c>
      <c r="K176" t="n">
        <v>0</v>
      </c>
      <c r="L176" t="n">
        <v>0</v>
      </c>
      <c r="M176" t="n">
        <v>0</v>
      </c>
      <c r="N176" t="n">
        <v>0</v>
      </c>
      <c r="O176" t="n">
        <v>0</v>
      </c>
      <c r="P176" t="n">
        <v>0</v>
      </c>
      <c r="Q176" t="n">
        <v>1</v>
      </c>
      <c r="R176" s="2" t="inlineStr">
        <is>
          <t>Gullviva</t>
        </is>
      </c>
      <c r="S176">
        <f>HYPERLINK("https://klasma.github.io/Logging_0188/artfynd/A 12442-2023 artfynd.xlsx", "A 12442-2023")</f>
        <v/>
      </c>
      <c r="T176">
        <f>HYPERLINK("https://klasma.github.io/Logging_0188/kartor/A 12442-2023 karta.png", "A 12442-2023")</f>
        <v/>
      </c>
      <c r="V176">
        <f>HYPERLINK("https://klasma.github.io/Logging_0188/klagomål/A 12442-2023 FSC-klagomål.docx", "A 12442-2023")</f>
        <v/>
      </c>
      <c r="W176">
        <f>HYPERLINK("https://klasma.github.io/Logging_0188/klagomålsmail/A 12442-2023 FSC-klagomål mail.docx", "A 12442-2023")</f>
        <v/>
      </c>
      <c r="X176">
        <f>HYPERLINK("https://klasma.github.io/Logging_0188/tillsyn/A 12442-2023 tillsynsbegäran.docx", "A 12442-2023")</f>
        <v/>
      </c>
      <c r="Y176">
        <f>HYPERLINK("https://klasma.github.io/Logging_0188/tillsynsmail/A 12442-2023 tillsynsbegäran mail.docx", "A 12442-2023")</f>
        <v/>
      </c>
    </row>
    <row r="177" ht="15" customHeight="1">
      <c r="A177" t="inlineStr">
        <is>
          <t>A 15644-2023</t>
        </is>
      </c>
      <c r="B177" s="1" t="n">
        <v>45021</v>
      </c>
      <c r="C177" s="1" t="n">
        <v>45758</v>
      </c>
      <c r="D177" t="inlineStr">
        <is>
          <t>STOCKHOLMS LÄN</t>
        </is>
      </c>
      <c r="E177" t="inlineStr">
        <is>
          <t>NORRTÄLJE</t>
        </is>
      </c>
      <c r="F177" t="inlineStr">
        <is>
          <t>Holmen skog AB</t>
        </is>
      </c>
      <c r="G177" t="n">
        <v>13</v>
      </c>
      <c r="H177" t="n">
        <v>1</v>
      </c>
      <c r="I177" t="n">
        <v>0</v>
      </c>
      <c r="J177" t="n">
        <v>0</v>
      </c>
      <c r="K177" t="n">
        <v>0</v>
      </c>
      <c r="L177" t="n">
        <v>1</v>
      </c>
      <c r="M177" t="n">
        <v>0</v>
      </c>
      <c r="N177" t="n">
        <v>0</v>
      </c>
      <c r="O177" t="n">
        <v>1</v>
      </c>
      <c r="P177" t="n">
        <v>1</v>
      </c>
      <c r="Q177" t="n">
        <v>1</v>
      </c>
      <c r="R177" s="2" t="inlineStr">
        <is>
          <t>Asknätfjäril</t>
        </is>
      </c>
      <c r="S177">
        <f>HYPERLINK("https://klasma.github.io/Logging_0188/artfynd/A 15644-2023 artfynd.xlsx", "A 15644-2023")</f>
        <v/>
      </c>
      <c r="T177">
        <f>HYPERLINK("https://klasma.github.io/Logging_0188/kartor/A 15644-2023 karta.png", "A 15644-2023")</f>
        <v/>
      </c>
      <c r="V177">
        <f>HYPERLINK("https://klasma.github.io/Logging_0188/klagomål/A 15644-2023 FSC-klagomål.docx", "A 15644-2023")</f>
        <v/>
      </c>
      <c r="W177">
        <f>HYPERLINK("https://klasma.github.io/Logging_0188/klagomålsmail/A 15644-2023 FSC-klagomål mail.docx", "A 15644-2023")</f>
        <v/>
      </c>
      <c r="X177">
        <f>HYPERLINK("https://klasma.github.io/Logging_0188/tillsyn/A 15644-2023 tillsynsbegäran.docx", "A 15644-2023")</f>
        <v/>
      </c>
      <c r="Y177">
        <f>HYPERLINK("https://klasma.github.io/Logging_0188/tillsynsmail/A 15644-2023 tillsynsbegäran mail.docx", "A 15644-2023")</f>
        <v/>
      </c>
    </row>
    <row r="178" ht="15" customHeight="1">
      <c r="A178" t="inlineStr">
        <is>
          <t>A 18216-2023</t>
        </is>
      </c>
      <c r="B178" s="1" t="n">
        <v>45041</v>
      </c>
      <c r="C178" s="1" t="n">
        <v>45758</v>
      </c>
      <c r="D178" t="inlineStr">
        <is>
          <t>STOCKHOLMS LÄN</t>
        </is>
      </c>
      <c r="E178" t="inlineStr">
        <is>
          <t>NORRTÄLJE</t>
        </is>
      </c>
      <c r="F178" t="inlineStr">
        <is>
          <t>Holmen skog AB</t>
        </is>
      </c>
      <c r="G178" t="n">
        <v>1.9</v>
      </c>
      <c r="H178" t="n">
        <v>0</v>
      </c>
      <c r="I178" t="n">
        <v>1</v>
      </c>
      <c r="J178" t="n">
        <v>0</v>
      </c>
      <c r="K178" t="n">
        <v>0</v>
      </c>
      <c r="L178" t="n">
        <v>0</v>
      </c>
      <c r="M178" t="n">
        <v>0</v>
      </c>
      <c r="N178" t="n">
        <v>0</v>
      </c>
      <c r="O178" t="n">
        <v>0</v>
      </c>
      <c r="P178" t="n">
        <v>0</v>
      </c>
      <c r="Q178" t="n">
        <v>1</v>
      </c>
      <c r="R178" s="2" t="inlineStr">
        <is>
          <t>Vårärt</t>
        </is>
      </c>
      <c r="S178">
        <f>HYPERLINK("https://klasma.github.io/Logging_0188/artfynd/A 18216-2023 artfynd.xlsx", "A 18216-2023")</f>
        <v/>
      </c>
      <c r="T178">
        <f>HYPERLINK("https://klasma.github.io/Logging_0188/kartor/A 18216-2023 karta.png", "A 18216-2023")</f>
        <v/>
      </c>
      <c r="V178">
        <f>HYPERLINK("https://klasma.github.io/Logging_0188/klagomål/A 18216-2023 FSC-klagomål.docx", "A 18216-2023")</f>
        <v/>
      </c>
      <c r="W178">
        <f>HYPERLINK("https://klasma.github.io/Logging_0188/klagomålsmail/A 18216-2023 FSC-klagomål mail.docx", "A 18216-2023")</f>
        <v/>
      </c>
      <c r="X178">
        <f>HYPERLINK("https://klasma.github.io/Logging_0188/tillsyn/A 18216-2023 tillsynsbegäran.docx", "A 18216-2023")</f>
        <v/>
      </c>
      <c r="Y178">
        <f>HYPERLINK("https://klasma.github.io/Logging_0188/tillsynsmail/A 18216-2023 tillsynsbegäran mail.docx", "A 18216-2023")</f>
        <v/>
      </c>
    </row>
    <row r="179" ht="15" customHeight="1">
      <c r="A179" t="inlineStr">
        <is>
          <t>A 21431-2023</t>
        </is>
      </c>
      <c r="B179" s="1" t="n">
        <v>45063</v>
      </c>
      <c r="C179" s="1" t="n">
        <v>45758</v>
      </c>
      <c r="D179" t="inlineStr">
        <is>
          <t>STOCKHOLMS LÄN</t>
        </is>
      </c>
      <c r="E179" t="inlineStr">
        <is>
          <t>NORRTÄLJE</t>
        </is>
      </c>
      <c r="F179" t="inlineStr">
        <is>
          <t>Holmen skog AB</t>
        </is>
      </c>
      <c r="G179" t="n">
        <v>4</v>
      </c>
      <c r="H179" t="n">
        <v>1</v>
      </c>
      <c r="I179" t="n">
        <v>1</v>
      </c>
      <c r="J179" t="n">
        <v>0</v>
      </c>
      <c r="K179" t="n">
        <v>0</v>
      </c>
      <c r="L179" t="n">
        <v>0</v>
      </c>
      <c r="M179" t="n">
        <v>0</v>
      </c>
      <c r="N179" t="n">
        <v>0</v>
      </c>
      <c r="O179" t="n">
        <v>0</v>
      </c>
      <c r="P179" t="n">
        <v>0</v>
      </c>
      <c r="Q179" t="n">
        <v>1</v>
      </c>
      <c r="R179" s="2" t="inlineStr">
        <is>
          <t>Nästrot</t>
        </is>
      </c>
      <c r="S179">
        <f>HYPERLINK("https://klasma.github.io/Logging_0188/artfynd/A 21431-2023 artfynd.xlsx", "A 21431-2023")</f>
        <v/>
      </c>
      <c r="T179">
        <f>HYPERLINK("https://klasma.github.io/Logging_0188/kartor/A 21431-2023 karta.png", "A 21431-2023")</f>
        <v/>
      </c>
      <c r="V179">
        <f>HYPERLINK("https://klasma.github.io/Logging_0188/klagomål/A 21431-2023 FSC-klagomål.docx", "A 21431-2023")</f>
        <v/>
      </c>
      <c r="W179">
        <f>HYPERLINK("https://klasma.github.io/Logging_0188/klagomålsmail/A 21431-2023 FSC-klagomål mail.docx", "A 21431-2023")</f>
        <v/>
      </c>
      <c r="X179">
        <f>HYPERLINK("https://klasma.github.io/Logging_0188/tillsyn/A 21431-2023 tillsynsbegäran.docx", "A 21431-2023")</f>
        <v/>
      </c>
      <c r="Y179">
        <f>HYPERLINK("https://klasma.github.io/Logging_0188/tillsynsmail/A 21431-2023 tillsynsbegäran mail.docx", "A 21431-2023")</f>
        <v/>
      </c>
    </row>
    <row r="180" ht="15" customHeight="1">
      <c r="A180" t="inlineStr">
        <is>
          <t>A 21744-2023</t>
        </is>
      </c>
      <c r="B180" s="1" t="n">
        <v>45065</v>
      </c>
      <c r="C180" s="1" t="n">
        <v>45758</v>
      </c>
      <c r="D180" t="inlineStr">
        <is>
          <t>STOCKHOLMS LÄN</t>
        </is>
      </c>
      <c r="E180" t="inlineStr">
        <is>
          <t>NORRTÄLJE</t>
        </is>
      </c>
      <c r="F180" t="inlineStr">
        <is>
          <t>Holmen skog AB</t>
        </is>
      </c>
      <c r="G180" t="n">
        <v>4.2</v>
      </c>
      <c r="H180" t="n">
        <v>0</v>
      </c>
      <c r="I180" t="n">
        <v>1</v>
      </c>
      <c r="J180" t="n">
        <v>0</v>
      </c>
      <c r="K180" t="n">
        <v>0</v>
      </c>
      <c r="L180" t="n">
        <v>0</v>
      </c>
      <c r="M180" t="n">
        <v>0</v>
      </c>
      <c r="N180" t="n">
        <v>0</v>
      </c>
      <c r="O180" t="n">
        <v>0</v>
      </c>
      <c r="P180" t="n">
        <v>0</v>
      </c>
      <c r="Q180" t="n">
        <v>1</v>
      </c>
      <c r="R180" s="2" t="inlineStr">
        <is>
          <t>Korallblylav</t>
        </is>
      </c>
      <c r="S180">
        <f>HYPERLINK("https://klasma.github.io/Logging_0188/artfynd/A 21744-2023 artfynd.xlsx", "A 21744-2023")</f>
        <v/>
      </c>
      <c r="T180">
        <f>HYPERLINK("https://klasma.github.io/Logging_0188/kartor/A 21744-2023 karta.png", "A 21744-2023")</f>
        <v/>
      </c>
      <c r="V180">
        <f>HYPERLINK("https://klasma.github.io/Logging_0188/klagomål/A 21744-2023 FSC-klagomål.docx", "A 21744-2023")</f>
        <v/>
      </c>
      <c r="W180">
        <f>HYPERLINK("https://klasma.github.io/Logging_0188/klagomålsmail/A 21744-2023 FSC-klagomål mail.docx", "A 21744-2023")</f>
        <v/>
      </c>
      <c r="X180">
        <f>HYPERLINK("https://klasma.github.io/Logging_0188/tillsyn/A 21744-2023 tillsynsbegäran.docx", "A 21744-2023")</f>
        <v/>
      </c>
      <c r="Y180">
        <f>HYPERLINK("https://klasma.github.io/Logging_0188/tillsynsmail/A 21744-2023 tillsynsbegäran mail.docx", "A 21744-2023")</f>
        <v/>
      </c>
    </row>
    <row r="181" ht="15" customHeight="1">
      <c r="A181" t="inlineStr">
        <is>
          <t>A 24535-2023</t>
        </is>
      </c>
      <c r="B181" s="1" t="n">
        <v>45082</v>
      </c>
      <c r="C181" s="1" t="n">
        <v>45758</v>
      </c>
      <c r="D181" t="inlineStr">
        <is>
          <t>STOCKHOLMS LÄN</t>
        </is>
      </c>
      <c r="E181" t="inlineStr">
        <is>
          <t>NORRTÄLJE</t>
        </is>
      </c>
      <c r="F181" t="inlineStr">
        <is>
          <t>Kommuner</t>
        </is>
      </c>
      <c r="G181" t="n">
        <v>2</v>
      </c>
      <c r="H181" t="n">
        <v>1</v>
      </c>
      <c r="I181" t="n">
        <v>0</v>
      </c>
      <c r="J181" t="n">
        <v>0</v>
      </c>
      <c r="K181" t="n">
        <v>0</v>
      </c>
      <c r="L181" t="n">
        <v>0</v>
      </c>
      <c r="M181" t="n">
        <v>0</v>
      </c>
      <c r="N181" t="n">
        <v>0</v>
      </c>
      <c r="O181" t="n">
        <v>0</v>
      </c>
      <c r="P181" t="n">
        <v>0</v>
      </c>
      <c r="Q181" t="n">
        <v>1</v>
      </c>
      <c r="R181" s="2" t="inlineStr">
        <is>
          <t>Blåsippa</t>
        </is>
      </c>
      <c r="S181">
        <f>HYPERLINK("https://klasma.github.io/Logging_0188/artfynd/A 24535-2023 artfynd.xlsx", "A 24535-2023")</f>
        <v/>
      </c>
      <c r="T181">
        <f>HYPERLINK("https://klasma.github.io/Logging_0188/kartor/A 24535-2023 karta.png", "A 24535-2023")</f>
        <v/>
      </c>
      <c r="V181">
        <f>HYPERLINK("https://klasma.github.io/Logging_0188/klagomål/A 24535-2023 FSC-klagomål.docx", "A 24535-2023")</f>
        <v/>
      </c>
      <c r="W181">
        <f>HYPERLINK("https://klasma.github.io/Logging_0188/klagomålsmail/A 24535-2023 FSC-klagomål mail.docx", "A 24535-2023")</f>
        <v/>
      </c>
      <c r="X181">
        <f>HYPERLINK("https://klasma.github.io/Logging_0188/tillsyn/A 24535-2023 tillsynsbegäran.docx", "A 24535-2023")</f>
        <v/>
      </c>
      <c r="Y181">
        <f>HYPERLINK("https://klasma.github.io/Logging_0188/tillsynsmail/A 24535-2023 tillsynsbegäran mail.docx", "A 24535-2023")</f>
        <v/>
      </c>
    </row>
    <row r="182" ht="15" customHeight="1">
      <c r="A182" t="inlineStr">
        <is>
          <t>A 26635-2023</t>
        </is>
      </c>
      <c r="B182" s="1" t="n">
        <v>45092</v>
      </c>
      <c r="C182" s="1" t="n">
        <v>45758</v>
      </c>
      <c r="D182" t="inlineStr">
        <is>
          <t>STOCKHOLMS LÄN</t>
        </is>
      </c>
      <c r="E182" t="inlineStr">
        <is>
          <t>NORRTÄLJE</t>
        </is>
      </c>
      <c r="G182" t="n">
        <v>3.1</v>
      </c>
      <c r="H182" t="n">
        <v>1</v>
      </c>
      <c r="I182" t="n">
        <v>0</v>
      </c>
      <c r="J182" t="n">
        <v>0</v>
      </c>
      <c r="K182" t="n">
        <v>0</v>
      </c>
      <c r="L182" t="n">
        <v>0</v>
      </c>
      <c r="M182" t="n">
        <v>0</v>
      </c>
      <c r="N182" t="n">
        <v>0</v>
      </c>
      <c r="O182" t="n">
        <v>0</v>
      </c>
      <c r="P182" t="n">
        <v>0</v>
      </c>
      <c r="Q182" t="n">
        <v>1</v>
      </c>
      <c r="R182" s="2" t="inlineStr">
        <is>
          <t>Fläcknycklar</t>
        </is>
      </c>
      <c r="S182">
        <f>HYPERLINK("https://klasma.github.io/Logging_0188/artfynd/A 26635-2023 artfynd.xlsx", "A 26635-2023")</f>
        <v/>
      </c>
      <c r="T182">
        <f>HYPERLINK("https://klasma.github.io/Logging_0188/kartor/A 26635-2023 karta.png", "A 26635-2023")</f>
        <v/>
      </c>
      <c r="V182">
        <f>HYPERLINK("https://klasma.github.io/Logging_0188/klagomål/A 26635-2023 FSC-klagomål.docx", "A 26635-2023")</f>
        <v/>
      </c>
      <c r="W182">
        <f>HYPERLINK("https://klasma.github.io/Logging_0188/klagomålsmail/A 26635-2023 FSC-klagomål mail.docx", "A 26635-2023")</f>
        <v/>
      </c>
      <c r="X182">
        <f>HYPERLINK("https://klasma.github.io/Logging_0188/tillsyn/A 26635-2023 tillsynsbegäran.docx", "A 26635-2023")</f>
        <v/>
      </c>
      <c r="Y182">
        <f>HYPERLINK("https://klasma.github.io/Logging_0188/tillsynsmail/A 26635-2023 tillsynsbegäran mail.docx", "A 26635-2023")</f>
        <v/>
      </c>
    </row>
    <row r="183" ht="15" customHeight="1">
      <c r="A183" t="inlineStr">
        <is>
          <t>A 35649-2023</t>
        </is>
      </c>
      <c r="B183" s="1" t="n">
        <v>45146</v>
      </c>
      <c r="C183" s="1" t="n">
        <v>45758</v>
      </c>
      <c r="D183" t="inlineStr">
        <is>
          <t>STOCKHOLMS LÄN</t>
        </is>
      </c>
      <c r="E183" t="inlineStr">
        <is>
          <t>NORRTÄLJE</t>
        </is>
      </c>
      <c r="G183" t="n">
        <v>25.1</v>
      </c>
      <c r="H183" t="n">
        <v>0</v>
      </c>
      <c r="I183" t="n">
        <v>0</v>
      </c>
      <c r="J183" t="n">
        <v>1</v>
      </c>
      <c r="K183" t="n">
        <v>0</v>
      </c>
      <c r="L183" t="n">
        <v>0</v>
      </c>
      <c r="M183" t="n">
        <v>0</v>
      </c>
      <c r="N183" t="n">
        <v>0</v>
      </c>
      <c r="O183" t="n">
        <v>1</v>
      </c>
      <c r="P183" t="n">
        <v>0</v>
      </c>
      <c r="Q183" t="n">
        <v>1</v>
      </c>
      <c r="R183" s="2" t="inlineStr">
        <is>
          <t>Månlåsbräken</t>
        </is>
      </c>
      <c r="S183">
        <f>HYPERLINK("https://klasma.github.io/Logging_0188/artfynd/A 35649-2023 artfynd.xlsx", "A 35649-2023")</f>
        <v/>
      </c>
      <c r="T183">
        <f>HYPERLINK("https://klasma.github.io/Logging_0188/kartor/A 35649-2023 karta.png", "A 35649-2023")</f>
        <v/>
      </c>
      <c r="V183">
        <f>HYPERLINK("https://klasma.github.io/Logging_0188/klagomål/A 35649-2023 FSC-klagomål.docx", "A 35649-2023")</f>
        <v/>
      </c>
      <c r="W183">
        <f>HYPERLINK("https://klasma.github.io/Logging_0188/klagomålsmail/A 35649-2023 FSC-klagomål mail.docx", "A 35649-2023")</f>
        <v/>
      </c>
      <c r="X183">
        <f>HYPERLINK("https://klasma.github.io/Logging_0188/tillsyn/A 35649-2023 tillsynsbegäran.docx", "A 35649-2023")</f>
        <v/>
      </c>
      <c r="Y183">
        <f>HYPERLINK("https://klasma.github.io/Logging_0188/tillsynsmail/A 35649-2023 tillsynsbegäran mail.docx", "A 35649-2023")</f>
        <v/>
      </c>
    </row>
    <row r="184" ht="15" customHeight="1">
      <c r="A184" t="inlineStr">
        <is>
          <t>A 43178-2023</t>
        </is>
      </c>
      <c r="B184" s="1" t="n">
        <v>45183</v>
      </c>
      <c r="C184" s="1" t="n">
        <v>45758</v>
      </c>
      <c r="D184" t="inlineStr">
        <is>
          <t>STOCKHOLMS LÄN</t>
        </is>
      </c>
      <c r="E184" t="inlineStr">
        <is>
          <t>NORRTÄLJE</t>
        </is>
      </c>
      <c r="F184" t="inlineStr">
        <is>
          <t>Kyrkan</t>
        </is>
      </c>
      <c r="G184" t="n">
        <v>1.5</v>
      </c>
      <c r="H184" t="n">
        <v>0</v>
      </c>
      <c r="I184" t="n">
        <v>0</v>
      </c>
      <c r="J184" t="n">
        <v>1</v>
      </c>
      <c r="K184" t="n">
        <v>0</v>
      </c>
      <c r="L184" t="n">
        <v>0</v>
      </c>
      <c r="M184" t="n">
        <v>0</v>
      </c>
      <c r="N184" t="n">
        <v>0</v>
      </c>
      <c r="O184" t="n">
        <v>1</v>
      </c>
      <c r="P184" t="n">
        <v>0</v>
      </c>
      <c r="Q184" t="n">
        <v>1</v>
      </c>
      <c r="R184" s="2" t="inlineStr">
        <is>
          <t>Mindre bastardsvärmare</t>
        </is>
      </c>
      <c r="S184">
        <f>HYPERLINK("https://klasma.github.io/Logging_0188/artfynd/A 43178-2023 artfynd.xlsx", "A 43178-2023")</f>
        <v/>
      </c>
      <c r="T184">
        <f>HYPERLINK("https://klasma.github.io/Logging_0188/kartor/A 43178-2023 karta.png", "A 43178-2023")</f>
        <v/>
      </c>
      <c r="V184">
        <f>HYPERLINK("https://klasma.github.io/Logging_0188/klagomål/A 43178-2023 FSC-klagomål.docx", "A 43178-2023")</f>
        <v/>
      </c>
      <c r="W184">
        <f>HYPERLINK("https://klasma.github.io/Logging_0188/klagomålsmail/A 43178-2023 FSC-klagomål mail.docx", "A 43178-2023")</f>
        <v/>
      </c>
      <c r="X184">
        <f>HYPERLINK("https://klasma.github.io/Logging_0188/tillsyn/A 43178-2023 tillsynsbegäran.docx", "A 43178-2023")</f>
        <v/>
      </c>
      <c r="Y184">
        <f>HYPERLINK("https://klasma.github.io/Logging_0188/tillsynsmail/A 43178-2023 tillsynsbegäran mail.docx", "A 43178-2023")</f>
        <v/>
      </c>
    </row>
    <row r="185" ht="15" customHeight="1">
      <c r="A185" t="inlineStr">
        <is>
          <t>A 43171-2023</t>
        </is>
      </c>
      <c r="B185" s="1" t="n">
        <v>45183</v>
      </c>
      <c r="C185" s="1" t="n">
        <v>45758</v>
      </c>
      <c r="D185" t="inlineStr">
        <is>
          <t>STOCKHOLMS LÄN</t>
        </is>
      </c>
      <c r="E185" t="inlineStr">
        <is>
          <t>NORRTÄLJE</t>
        </is>
      </c>
      <c r="F185" t="inlineStr">
        <is>
          <t>Kyrkan</t>
        </is>
      </c>
      <c r="G185" t="n">
        <v>1.3</v>
      </c>
      <c r="H185" t="n">
        <v>0</v>
      </c>
      <c r="I185" t="n">
        <v>0</v>
      </c>
      <c r="J185" t="n">
        <v>0</v>
      </c>
      <c r="K185" t="n">
        <v>0</v>
      </c>
      <c r="L185" t="n">
        <v>1</v>
      </c>
      <c r="M185" t="n">
        <v>0</v>
      </c>
      <c r="N185" t="n">
        <v>0</v>
      </c>
      <c r="O185" t="n">
        <v>1</v>
      </c>
      <c r="P185" t="n">
        <v>1</v>
      </c>
      <c r="Q185" t="n">
        <v>1</v>
      </c>
      <c r="R185" s="2" t="inlineStr">
        <is>
          <t>Ryl</t>
        </is>
      </c>
      <c r="S185">
        <f>HYPERLINK("https://klasma.github.io/Logging_0188/artfynd/A 43171-2023 artfynd.xlsx", "A 43171-2023")</f>
        <v/>
      </c>
      <c r="T185">
        <f>HYPERLINK("https://klasma.github.io/Logging_0188/kartor/A 43171-2023 karta.png", "A 43171-2023")</f>
        <v/>
      </c>
      <c r="U185">
        <f>HYPERLINK("https://klasma.github.io/Logging_0188/knärot/A 43171-2023 karta knärot.png", "A 43171-2023")</f>
        <v/>
      </c>
      <c r="V185">
        <f>HYPERLINK("https://klasma.github.io/Logging_0188/klagomål/A 43171-2023 FSC-klagomål.docx", "A 43171-2023")</f>
        <v/>
      </c>
      <c r="W185">
        <f>HYPERLINK("https://klasma.github.io/Logging_0188/klagomålsmail/A 43171-2023 FSC-klagomål mail.docx", "A 43171-2023")</f>
        <v/>
      </c>
      <c r="X185">
        <f>HYPERLINK("https://klasma.github.io/Logging_0188/tillsyn/A 43171-2023 tillsynsbegäran.docx", "A 43171-2023")</f>
        <v/>
      </c>
      <c r="Y185">
        <f>HYPERLINK("https://klasma.github.io/Logging_0188/tillsynsmail/A 43171-2023 tillsynsbegäran mail.docx", "A 43171-2023")</f>
        <v/>
      </c>
    </row>
    <row r="186" ht="15" customHeight="1">
      <c r="A186" t="inlineStr">
        <is>
          <t>A 43350-2023</t>
        </is>
      </c>
      <c r="B186" s="1" t="n">
        <v>45183</v>
      </c>
      <c r="C186" s="1" t="n">
        <v>45758</v>
      </c>
      <c r="D186" t="inlineStr">
        <is>
          <t>STOCKHOLMS LÄN</t>
        </is>
      </c>
      <c r="E186" t="inlineStr">
        <is>
          <t>NORRTÄLJE</t>
        </is>
      </c>
      <c r="F186" t="inlineStr">
        <is>
          <t>Holmen skog AB</t>
        </is>
      </c>
      <c r="G186" t="n">
        <v>4.2</v>
      </c>
      <c r="H186" t="n">
        <v>1</v>
      </c>
      <c r="I186" t="n">
        <v>0</v>
      </c>
      <c r="J186" t="n">
        <v>0</v>
      </c>
      <c r="K186" t="n">
        <v>0</v>
      </c>
      <c r="L186" t="n">
        <v>0</v>
      </c>
      <c r="M186" t="n">
        <v>0</v>
      </c>
      <c r="N186" t="n">
        <v>0</v>
      </c>
      <c r="O186" t="n">
        <v>0</v>
      </c>
      <c r="P186" t="n">
        <v>0</v>
      </c>
      <c r="Q186" t="n">
        <v>1</v>
      </c>
      <c r="R186" s="2" t="inlineStr">
        <is>
          <t>Revlummer</t>
        </is>
      </c>
      <c r="S186">
        <f>HYPERLINK("https://klasma.github.io/Logging_0188/artfynd/A 43350-2023 artfynd.xlsx", "A 43350-2023")</f>
        <v/>
      </c>
      <c r="T186">
        <f>HYPERLINK("https://klasma.github.io/Logging_0188/kartor/A 43350-2023 karta.png", "A 43350-2023")</f>
        <v/>
      </c>
      <c r="V186">
        <f>HYPERLINK("https://klasma.github.io/Logging_0188/klagomål/A 43350-2023 FSC-klagomål.docx", "A 43350-2023")</f>
        <v/>
      </c>
      <c r="W186">
        <f>HYPERLINK("https://klasma.github.io/Logging_0188/klagomålsmail/A 43350-2023 FSC-klagomål mail.docx", "A 43350-2023")</f>
        <v/>
      </c>
      <c r="X186">
        <f>HYPERLINK("https://klasma.github.io/Logging_0188/tillsyn/A 43350-2023 tillsynsbegäran.docx", "A 43350-2023")</f>
        <v/>
      </c>
      <c r="Y186">
        <f>HYPERLINK("https://klasma.github.io/Logging_0188/tillsynsmail/A 43350-2023 tillsynsbegäran mail.docx", "A 43350-2023")</f>
        <v/>
      </c>
    </row>
    <row r="187" ht="15" customHeight="1">
      <c r="A187" t="inlineStr">
        <is>
          <t>A 43354-2023</t>
        </is>
      </c>
      <c r="B187" s="1" t="n">
        <v>45183</v>
      </c>
      <c r="C187" s="1" t="n">
        <v>45758</v>
      </c>
      <c r="D187" t="inlineStr">
        <is>
          <t>STOCKHOLMS LÄN</t>
        </is>
      </c>
      <c r="E187" t="inlineStr">
        <is>
          <t>NORRTÄLJE</t>
        </is>
      </c>
      <c r="F187" t="inlineStr">
        <is>
          <t>Holmen skog AB</t>
        </is>
      </c>
      <c r="G187" t="n">
        <v>9.9</v>
      </c>
      <c r="H187" t="n">
        <v>0</v>
      </c>
      <c r="I187" t="n">
        <v>1</v>
      </c>
      <c r="J187" t="n">
        <v>0</v>
      </c>
      <c r="K187" t="n">
        <v>0</v>
      </c>
      <c r="L187" t="n">
        <v>0</v>
      </c>
      <c r="M187" t="n">
        <v>0</v>
      </c>
      <c r="N187" t="n">
        <v>0</v>
      </c>
      <c r="O187" t="n">
        <v>0</v>
      </c>
      <c r="P187" t="n">
        <v>0</v>
      </c>
      <c r="Q187" t="n">
        <v>1</v>
      </c>
      <c r="R187" s="2" t="inlineStr">
        <is>
          <t>Tibast</t>
        </is>
      </c>
      <c r="S187">
        <f>HYPERLINK("https://klasma.github.io/Logging_0188/artfynd/A 43354-2023 artfynd.xlsx", "A 43354-2023")</f>
        <v/>
      </c>
      <c r="T187">
        <f>HYPERLINK("https://klasma.github.io/Logging_0188/kartor/A 43354-2023 karta.png", "A 43354-2023")</f>
        <v/>
      </c>
      <c r="V187">
        <f>HYPERLINK("https://klasma.github.io/Logging_0188/klagomål/A 43354-2023 FSC-klagomål.docx", "A 43354-2023")</f>
        <v/>
      </c>
      <c r="W187">
        <f>HYPERLINK("https://klasma.github.io/Logging_0188/klagomålsmail/A 43354-2023 FSC-klagomål mail.docx", "A 43354-2023")</f>
        <v/>
      </c>
      <c r="X187">
        <f>HYPERLINK("https://klasma.github.io/Logging_0188/tillsyn/A 43354-2023 tillsynsbegäran.docx", "A 43354-2023")</f>
        <v/>
      </c>
      <c r="Y187">
        <f>HYPERLINK("https://klasma.github.io/Logging_0188/tillsynsmail/A 43354-2023 tillsynsbegäran mail.docx", "A 43354-2023")</f>
        <v/>
      </c>
    </row>
    <row r="188" ht="15" customHeight="1">
      <c r="A188" t="inlineStr">
        <is>
          <t>A 45172-2023</t>
        </is>
      </c>
      <c r="B188" s="1" t="n">
        <v>45191</v>
      </c>
      <c r="C188" s="1" t="n">
        <v>45758</v>
      </c>
      <c r="D188" t="inlineStr">
        <is>
          <t>STOCKHOLMS LÄN</t>
        </is>
      </c>
      <c r="E188" t="inlineStr">
        <is>
          <t>NORRTÄLJE</t>
        </is>
      </c>
      <c r="F188" t="inlineStr">
        <is>
          <t>Sveaskog</t>
        </is>
      </c>
      <c r="G188" t="n">
        <v>3.8</v>
      </c>
      <c r="H188" t="n">
        <v>1</v>
      </c>
      <c r="I188" t="n">
        <v>0</v>
      </c>
      <c r="J188" t="n">
        <v>1</v>
      </c>
      <c r="K188" t="n">
        <v>0</v>
      </c>
      <c r="L188" t="n">
        <v>0</v>
      </c>
      <c r="M188" t="n">
        <v>0</v>
      </c>
      <c r="N188" t="n">
        <v>0</v>
      </c>
      <c r="O188" t="n">
        <v>1</v>
      </c>
      <c r="P188" t="n">
        <v>0</v>
      </c>
      <c r="Q188" t="n">
        <v>1</v>
      </c>
      <c r="R188" s="2" t="inlineStr">
        <is>
          <t>Slaguggla</t>
        </is>
      </c>
      <c r="S188">
        <f>HYPERLINK("https://klasma.github.io/Logging_0188/artfynd/A 45172-2023 artfynd.xlsx", "A 45172-2023")</f>
        <v/>
      </c>
      <c r="T188">
        <f>HYPERLINK("https://klasma.github.io/Logging_0188/kartor/A 45172-2023 karta.png", "A 45172-2023")</f>
        <v/>
      </c>
      <c r="V188">
        <f>HYPERLINK("https://klasma.github.io/Logging_0188/klagomål/A 45172-2023 FSC-klagomål.docx", "A 45172-2023")</f>
        <v/>
      </c>
      <c r="W188">
        <f>HYPERLINK("https://klasma.github.io/Logging_0188/klagomålsmail/A 45172-2023 FSC-klagomål mail.docx", "A 45172-2023")</f>
        <v/>
      </c>
      <c r="X188">
        <f>HYPERLINK("https://klasma.github.io/Logging_0188/tillsyn/A 45172-2023 tillsynsbegäran.docx", "A 45172-2023")</f>
        <v/>
      </c>
      <c r="Y188">
        <f>HYPERLINK("https://klasma.github.io/Logging_0188/tillsynsmail/A 45172-2023 tillsynsbegäran mail.docx", "A 45172-2023")</f>
        <v/>
      </c>
      <c r="Z188">
        <f>HYPERLINK("https://klasma.github.io/Logging_0188/fåglar/A 45172-2023 prioriterade fågelarter.docx", "A 45172-2023")</f>
        <v/>
      </c>
    </row>
    <row r="189" ht="15" customHeight="1">
      <c r="A189" t="inlineStr">
        <is>
          <t>A 48131-2023</t>
        </is>
      </c>
      <c r="B189" s="1" t="n">
        <v>45205</v>
      </c>
      <c r="C189" s="1" t="n">
        <v>45758</v>
      </c>
      <c r="D189" t="inlineStr">
        <is>
          <t>STOCKHOLMS LÄN</t>
        </is>
      </c>
      <c r="E189" t="inlineStr">
        <is>
          <t>NORRTÄLJE</t>
        </is>
      </c>
      <c r="G189" t="n">
        <v>2.3</v>
      </c>
      <c r="H189" t="n">
        <v>0</v>
      </c>
      <c r="I189" t="n">
        <v>0</v>
      </c>
      <c r="J189" t="n">
        <v>1</v>
      </c>
      <c r="K189" t="n">
        <v>0</v>
      </c>
      <c r="L189" t="n">
        <v>0</v>
      </c>
      <c r="M189" t="n">
        <v>0</v>
      </c>
      <c r="N189" t="n">
        <v>0</v>
      </c>
      <c r="O189" t="n">
        <v>1</v>
      </c>
      <c r="P189" t="n">
        <v>0</v>
      </c>
      <c r="Q189" t="n">
        <v>1</v>
      </c>
      <c r="R189" s="2" t="inlineStr">
        <is>
          <t>Slåtterfibbla</t>
        </is>
      </c>
      <c r="S189">
        <f>HYPERLINK("https://klasma.github.io/Logging_0188/artfynd/A 48131-2023 artfynd.xlsx", "A 48131-2023")</f>
        <v/>
      </c>
      <c r="T189">
        <f>HYPERLINK("https://klasma.github.io/Logging_0188/kartor/A 48131-2023 karta.png", "A 48131-2023")</f>
        <v/>
      </c>
      <c r="V189">
        <f>HYPERLINK("https://klasma.github.io/Logging_0188/klagomål/A 48131-2023 FSC-klagomål.docx", "A 48131-2023")</f>
        <v/>
      </c>
      <c r="W189">
        <f>HYPERLINK("https://klasma.github.io/Logging_0188/klagomålsmail/A 48131-2023 FSC-klagomål mail.docx", "A 48131-2023")</f>
        <v/>
      </c>
      <c r="X189">
        <f>HYPERLINK("https://klasma.github.io/Logging_0188/tillsyn/A 48131-2023 tillsynsbegäran.docx", "A 48131-2023")</f>
        <v/>
      </c>
      <c r="Y189">
        <f>HYPERLINK("https://klasma.github.io/Logging_0188/tillsynsmail/A 48131-2023 tillsynsbegäran mail.docx", "A 48131-2023")</f>
        <v/>
      </c>
    </row>
    <row r="190" ht="15" customHeight="1">
      <c r="A190" t="inlineStr">
        <is>
          <t>A 51909-2023</t>
        </is>
      </c>
      <c r="B190" s="1" t="n">
        <v>45223</v>
      </c>
      <c r="C190" s="1" t="n">
        <v>45758</v>
      </c>
      <c r="D190" t="inlineStr">
        <is>
          <t>STOCKHOLMS LÄN</t>
        </is>
      </c>
      <c r="E190" t="inlineStr">
        <is>
          <t>NORRTÄLJE</t>
        </is>
      </c>
      <c r="G190" t="n">
        <v>8.1</v>
      </c>
      <c r="H190" t="n">
        <v>1</v>
      </c>
      <c r="I190" t="n">
        <v>1</v>
      </c>
      <c r="J190" t="n">
        <v>0</v>
      </c>
      <c r="K190" t="n">
        <v>0</v>
      </c>
      <c r="L190" t="n">
        <v>0</v>
      </c>
      <c r="M190" t="n">
        <v>0</v>
      </c>
      <c r="N190" t="n">
        <v>0</v>
      </c>
      <c r="O190" t="n">
        <v>0</v>
      </c>
      <c r="P190" t="n">
        <v>0</v>
      </c>
      <c r="Q190" t="n">
        <v>1</v>
      </c>
      <c r="R190" s="2" t="inlineStr">
        <is>
          <t>Skogsknipprot</t>
        </is>
      </c>
      <c r="S190">
        <f>HYPERLINK("https://klasma.github.io/Logging_0188/artfynd/A 51909-2023 artfynd.xlsx", "A 51909-2023")</f>
        <v/>
      </c>
      <c r="T190">
        <f>HYPERLINK("https://klasma.github.io/Logging_0188/kartor/A 51909-2023 karta.png", "A 51909-2023")</f>
        <v/>
      </c>
      <c r="V190">
        <f>HYPERLINK("https://klasma.github.io/Logging_0188/klagomål/A 51909-2023 FSC-klagomål.docx", "A 51909-2023")</f>
        <v/>
      </c>
      <c r="W190">
        <f>HYPERLINK("https://klasma.github.io/Logging_0188/klagomålsmail/A 51909-2023 FSC-klagomål mail.docx", "A 51909-2023")</f>
        <v/>
      </c>
      <c r="X190">
        <f>HYPERLINK("https://klasma.github.io/Logging_0188/tillsyn/A 51909-2023 tillsynsbegäran.docx", "A 51909-2023")</f>
        <v/>
      </c>
      <c r="Y190">
        <f>HYPERLINK("https://klasma.github.io/Logging_0188/tillsynsmail/A 51909-2023 tillsynsbegäran mail.docx", "A 51909-2023")</f>
        <v/>
      </c>
    </row>
    <row r="191" ht="15" customHeight="1">
      <c r="A191" t="inlineStr">
        <is>
          <t>A 52508-2023</t>
        </is>
      </c>
      <c r="B191" s="1" t="n">
        <v>45225</v>
      </c>
      <c r="C191" s="1" t="n">
        <v>45758</v>
      </c>
      <c r="D191" t="inlineStr">
        <is>
          <t>STOCKHOLMS LÄN</t>
        </is>
      </c>
      <c r="E191" t="inlineStr">
        <is>
          <t>NORRTÄLJE</t>
        </is>
      </c>
      <c r="G191" t="n">
        <v>19.7</v>
      </c>
      <c r="H191" t="n">
        <v>1</v>
      </c>
      <c r="I191" t="n">
        <v>0</v>
      </c>
      <c r="J191" t="n">
        <v>0</v>
      </c>
      <c r="K191" t="n">
        <v>1</v>
      </c>
      <c r="L191" t="n">
        <v>0</v>
      </c>
      <c r="M191" t="n">
        <v>0</v>
      </c>
      <c r="N191" t="n">
        <v>0</v>
      </c>
      <c r="O191" t="n">
        <v>1</v>
      </c>
      <c r="P191" t="n">
        <v>1</v>
      </c>
      <c r="Q191" t="n">
        <v>1</v>
      </c>
      <c r="R191" s="2" t="inlineStr">
        <is>
          <t>Svärta</t>
        </is>
      </c>
      <c r="S191">
        <f>HYPERLINK("https://klasma.github.io/Logging_0188/artfynd/A 52508-2023 artfynd.xlsx", "A 52508-2023")</f>
        <v/>
      </c>
      <c r="T191">
        <f>HYPERLINK("https://klasma.github.io/Logging_0188/kartor/A 52508-2023 karta.png", "A 52508-2023")</f>
        <v/>
      </c>
      <c r="V191">
        <f>HYPERLINK("https://klasma.github.io/Logging_0188/klagomål/A 52508-2023 FSC-klagomål.docx", "A 52508-2023")</f>
        <v/>
      </c>
      <c r="W191">
        <f>HYPERLINK("https://klasma.github.io/Logging_0188/klagomålsmail/A 52508-2023 FSC-klagomål mail.docx", "A 52508-2023")</f>
        <v/>
      </c>
      <c r="X191">
        <f>HYPERLINK("https://klasma.github.io/Logging_0188/tillsyn/A 52508-2023 tillsynsbegäran.docx", "A 52508-2023")</f>
        <v/>
      </c>
      <c r="Y191">
        <f>HYPERLINK("https://klasma.github.io/Logging_0188/tillsynsmail/A 52508-2023 tillsynsbegäran mail.docx", "A 52508-2023")</f>
        <v/>
      </c>
    </row>
    <row r="192" ht="15" customHeight="1">
      <c r="A192" t="inlineStr">
        <is>
          <t>A 55767-2023</t>
        </is>
      </c>
      <c r="B192" s="1" t="n">
        <v>45239</v>
      </c>
      <c r="C192" s="1" t="n">
        <v>45758</v>
      </c>
      <c r="D192" t="inlineStr">
        <is>
          <t>STOCKHOLMS LÄN</t>
        </is>
      </c>
      <c r="E192" t="inlineStr">
        <is>
          <t>NORRTÄLJE</t>
        </is>
      </c>
      <c r="G192" t="n">
        <v>3.7</v>
      </c>
      <c r="H192" t="n">
        <v>0</v>
      </c>
      <c r="I192" t="n">
        <v>1</v>
      </c>
      <c r="J192" t="n">
        <v>0</v>
      </c>
      <c r="K192" t="n">
        <v>0</v>
      </c>
      <c r="L192" t="n">
        <v>0</v>
      </c>
      <c r="M192" t="n">
        <v>0</v>
      </c>
      <c r="N192" t="n">
        <v>0</v>
      </c>
      <c r="O192" t="n">
        <v>0</v>
      </c>
      <c r="P192" t="n">
        <v>0</v>
      </c>
      <c r="Q192" t="n">
        <v>1</v>
      </c>
      <c r="R192" s="2" t="inlineStr">
        <is>
          <t>Ögonpyrola</t>
        </is>
      </c>
      <c r="S192">
        <f>HYPERLINK("https://klasma.github.io/Logging_0188/artfynd/A 55767-2023 artfynd.xlsx", "A 55767-2023")</f>
        <v/>
      </c>
      <c r="T192">
        <f>HYPERLINK("https://klasma.github.io/Logging_0188/kartor/A 55767-2023 karta.png", "A 55767-2023")</f>
        <v/>
      </c>
      <c r="V192">
        <f>HYPERLINK("https://klasma.github.io/Logging_0188/klagomål/A 55767-2023 FSC-klagomål.docx", "A 55767-2023")</f>
        <v/>
      </c>
      <c r="W192">
        <f>HYPERLINK("https://klasma.github.io/Logging_0188/klagomålsmail/A 55767-2023 FSC-klagomål mail.docx", "A 55767-2023")</f>
        <v/>
      </c>
      <c r="X192">
        <f>HYPERLINK("https://klasma.github.io/Logging_0188/tillsyn/A 55767-2023 tillsynsbegäran.docx", "A 55767-2023")</f>
        <v/>
      </c>
      <c r="Y192">
        <f>HYPERLINK("https://klasma.github.io/Logging_0188/tillsynsmail/A 55767-2023 tillsynsbegäran mail.docx", "A 55767-2023")</f>
        <v/>
      </c>
    </row>
    <row r="193" ht="15" customHeight="1">
      <c r="A193" t="inlineStr">
        <is>
          <t>A 59580-2023</t>
        </is>
      </c>
      <c r="B193" s="1" t="n">
        <v>45254</v>
      </c>
      <c r="C193" s="1" t="n">
        <v>45758</v>
      </c>
      <c r="D193" t="inlineStr">
        <is>
          <t>STOCKHOLMS LÄN</t>
        </is>
      </c>
      <c r="E193" t="inlineStr">
        <is>
          <t>NORRTÄLJE</t>
        </is>
      </c>
      <c r="G193" t="n">
        <v>3.2</v>
      </c>
      <c r="H193" t="n">
        <v>0</v>
      </c>
      <c r="I193" t="n">
        <v>1</v>
      </c>
      <c r="J193" t="n">
        <v>0</v>
      </c>
      <c r="K193" t="n">
        <v>0</v>
      </c>
      <c r="L193" t="n">
        <v>0</v>
      </c>
      <c r="M193" t="n">
        <v>0</v>
      </c>
      <c r="N193" t="n">
        <v>0</v>
      </c>
      <c r="O193" t="n">
        <v>0</v>
      </c>
      <c r="P193" t="n">
        <v>0</v>
      </c>
      <c r="Q193" t="n">
        <v>1</v>
      </c>
      <c r="R193" s="2" t="inlineStr">
        <is>
          <t>Trådticka</t>
        </is>
      </c>
      <c r="S193">
        <f>HYPERLINK("https://klasma.github.io/Logging_0188/artfynd/A 59580-2023 artfynd.xlsx", "A 59580-2023")</f>
        <v/>
      </c>
      <c r="T193">
        <f>HYPERLINK("https://klasma.github.io/Logging_0188/kartor/A 59580-2023 karta.png", "A 59580-2023")</f>
        <v/>
      </c>
      <c r="V193">
        <f>HYPERLINK("https://klasma.github.io/Logging_0188/klagomål/A 59580-2023 FSC-klagomål.docx", "A 59580-2023")</f>
        <v/>
      </c>
      <c r="W193">
        <f>HYPERLINK("https://klasma.github.io/Logging_0188/klagomålsmail/A 59580-2023 FSC-klagomål mail.docx", "A 59580-2023")</f>
        <v/>
      </c>
      <c r="X193">
        <f>HYPERLINK("https://klasma.github.io/Logging_0188/tillsyn/A 59580-2023 tillsynsbegäran.docx", "A 59580-2023")</f>
        <v/>
      </c>
      <c r="Y193">
        <f>HYPERLINK("https://klasma.github.io/Logging_0188/tillsynsmail/A 59580-2023 tillsynsbegäran mail.docx", "A 59580-2023")</f>
        <v/>
      </c>
    </row>
    <row r="194" ht="15" customHeight="1">
      <c r="A194" t="inlineStr">
        <is>
          <t>A 63851-2023</t>
        </is>
      </c>
      <c r="B194" s="1" t="n">
        <v>45278</v>
      </c>
      <c r="C194" s="1" t="n">
        <v>45758</v>
      </c>
      <c r="D194" t="inlineStr">
        <is>
          <t>STOCKHOLMS LÄN</t>
        </is>
      </c>
      <c r="E194" t="inlineStr">
        <is>
          <t>NORRTÄLJE</t>
        </is>
      </c>
      <c r="G194" t="n">
        <v>5.6</v>
      </c>
      <c r="H194" t="n">
        <v>1</v>
      </c>
      <c r="I194" t="n">
        <v>0</v>
      </c>
      <c r="J194" t="n">
        <v>0</v>
      </c>
      <c r="K194" t="n">
        <v>0</v>
      </c>
      <c r="L194" t="n">
        <v>0</v>
      </c>
      <c r="M194" t="n">
        <v>0</v>
      </c>
      <c r="N194" t="n">
        <v>0</v>
      </c>
      <c r="O194" t="n">
        <v>0</v>
      </c>
      <c r="P194" t="n">
        <v>0</v>
      </c>
      <c r="Q194" t="n">
        <v>1</v>
      </c>
      <c r="R194" s="2" t="inlineStr">
        <is>
          <t>Tjäder</t>
        </is>
      </c>
      <c r="S194">
        <f>HYPERLINK("https://klasma.github.io/Logging_0188/artfynd/A 63851-2023 artfynd.xlsx", "A 63851-2023")</f>
        <v/>
      </c>
      <c r="T194">
        <f>HYPERLINK("https://klasma.github.io/Logging_0188/kartor/A 63851-2023 karta.png", "A 63851-2023")</f>
        <v/>
      </c>
      <c r="V194">
        <f>HYPERLINK("https://klasma.github.io/Logging_0188/klagomål/A 63851-2023 FSC-klagomål.docx", "A 63851-2023")</f>
        <v/>
      </c>
      <c r="W194">
        <f>HYPERLINK("https://klasma.github.io/Logging_0188/klagomålsmail/A 63851-2023 FSC-klagomål mail.docx", "A 63851-2023")</f>
        <v/>
      </c>
      <c r="X194">
        <f>HYPERLINK("https://klasma.github.io/Logging_0188/tillsyn/A 63851-2023 tillsynsbegäran.docx", "A 63851-2023")</f>
        <v/>
      </c>
      <c r="Y194">
        <f>HYPERLINK("https://klasma.github.io/Logging_0188/tillsynsmail/A 63851-2023 tillsynsbegäran mail.docx", "A 63851-2023")</f>
        <v/>
      </c>
      <c r="Z194">
        <f>HYPERLINK("https://klasma.github.io/Logging_0188/fåglar/A 63851-2023 prioriterade fågelarter.docx", "A 63851-2023")</f>
        <v/>
      </c>
    </row>
    <row r="195" ht="15" customHeight="1">
      <c r="A195" t="inlineStr">
        <is>
          <t>A 64456-2023</t>
        </is>
      </c>
      <c r="B195" s="1" t="n">
        <v>45280</v>
      </c>
      <c r="C195" s="1" t="n">
        <v>45758</v>
      </c>
      <c r="D195" t="inlineStr">
        <is>
          <t>STOCKHOLMS LÄN</t>
        </is>
      </c>
      <c r="E195" t="inlineStr">
        <is>
          <t>NORRTÄLJE</t>
        </is>
      </c>
      <c r="G195" t="n">
        <v>2.5</v>
      </c>
      <c r="H195" t="n">
        <v>0</v>
      </c>
      <c r="I195" t="n">
        <v>1</v>
      </c>
      <c r="J195" t="n">
        <v>0</v>
      </c>
      <c r="K195" t="n">
        <v>0</v>
      </c>
      <c r="L195" t="n">
        <v>0</v>
      </c>
      <c r="M195" t="n">
        <v>0</v>
      </c>
      <c r="N195" t="n">
        <v>0</v>
      </c>
      <c r="O195" t="n">
        <v>0</v>
      </c>
      <c r="P195" t="n">
        <v>0</v>
      </c>
      <c r="Q195" t="n">
        <v>1</v>
      </c>
      <c r="R195" s="2" t="inlineStr">
        <is>
          <t>Rödgul trumpetsvamp</t>
        </is>
      </c>
      <c r="S195">
        <f>HYPERLINK("https://klasma.github.io/Logging_0188/artfynd/A 64456-2023 artfynd.xlsx", "A 64456-2023")</f>
        <v/>
      </c>
      <c r="T195">
        <f>HYPERLINK("https://klasma.github.io/Logging_0188/kartor/A 64456-2023 karta.png", "A 64456-2023")</f>
        <v/>
      </c>
      <c r="V195">
        <f>HYPERLINK("https://klasma.github.io/Logging_0188/klagomål/A 64456-2023 FSC-klagomål.docx", "A 64456-2023")</f>
        <v/>
      </c>
      <c r="W195">
        <f>HYPERLINK("https://klasma.github.io/Logging_0188/klagomålsmail/A 64456-2023 FSC-klagomål mail.docx", "A 64456-2023")</f>
        <v/>
      </c>
      <c r="X195">
        <f>HYPERLINK("https://klasma.github.io/Logging_0188/tillsyn/A 64456-2023 tillsynsbegäran.docx", "A 64456-2023")</f>
        <v/>
      </c>
      <c r="Y195">
        <f>HYPERLINK("https://klasma.github.io/Logging_0188/tillsynsmail/A 64456-2023 tillsynsbegäran mail.docx", "A 64456-2023")</f>
        <v/>
      </c>
    </row>
    <row r="196" ht="15" customHeight="1">
      <c r="A196" t="inlineStr">
        <is>
          <t>A 4730-2024</t>
        </is>
      </c>
      <c r="B196" s="1" t="n">
        <v>45328</v>
      </c>
      <c r="C196" s="1" t="n">
        <v>45758</v>
      </c>
      <c r="D196" t="inlineStr">
        <is>
          <t>STOCKHOLMS LÄN</t>
        </is>
      </c>
      <c r="E196" t="inlineStr">
        <is>
          <t>NORRTÄLJE</t>
        </is>
      </c>
      <c r="G196" t="n">
        <v>4.4</v>
      </c>
      <c r="H196" t="n">
        <v>1</v>
      </c>
      <c r="I196" t="n">
        <v>0</v>
      </c>
      <c r="J196" t="n">
        <v>0</v>
      </c>
      <c r="K196" t="n">
        <v>0</v>
      </c>
      <c r="L196" t="n">
        <v>0</v>
      </c>
      <c r="M196" t="n">
        <v>0</v>
      </c>
      <c r="N196" t="n">
        <v>0</v>
      </c>
      <c r="O196" t="n">
        <v>0</v>
      </c>
      <c r="P196" t="n">
        <v>0</v>
      </c>
      <c r="Q196" t="n">
        <v>1</v>
      </c>
      <c r="R196" s="2" t="inlineStr">
        <is>
          <t>Blåsippa</t>
        </is>
      </c>
      <c r="S196">
        <f>HYPERLINK("https://klasma.github.io/Logging_0188/artfynd/A 4730-2024 artfynd.xlsx", "A 4730-2024")</f>
        <v/>
      </c>
      <c r="T196">
        <f>HYPERLINK("https://klasma.github.io/Logging_0188/kartor/A 4730-2024 karta.png", "A 4730-2024")</f>
        <v/>
      </c>
      <c r="V196">
        <f>HYPERLINK("https://klasma.github.io/Logging_0188/klagomål/A 4730-2024 FSC-klagomål.docx", "A 4730-2024")</f>
        <v/>
      </c>
      <c r="W196">
        <f>HYPERLINK("https://klasma.github.io/Logging_0188/klagomålsmail/A 4730-2024 FSC-klagomål mail.docx", "A 4730-2024")</f>
        <v/>
      </c>
      <c r="X196">
        <f>HYPERLINK("https://klasma.github.io/Logging_0188/tillsyn/A 4730-2024 tillsynsbegäran.docx", "A 4730-2024")</f>
        <v/>
      </c>
      <c r="Y196">
        <f>HYPERLINK("https://klasma.github.io/Logging_0188/tillsynsmail/A 4730-2024 tillsynsbegäran mail.docx", "A 4730-2024")</f>
        <v/>
      </c>
    </row>
    <row r="197" ht="15" customHeight="1">
      <c r="A197" t="inlineStr">
        <is>
          <t>A 6950-2024</t>
        </is>
      </c>
      <c r="B197" s="1" t="n">
        <v>45343</v>
      </c>
      <c r="C197" s="1" t="n">
        <v>45758</v>
      </c>
      <c r="D197" t="inlineStr">
        <is>
          <t>STOCKHOLMS LÄN</t>
        </is>
      </c>
      <c r="E197" t="inlineStr">
        <is>
          <t>NORRTÄLJE</t>
        </is>
      </c>
      <c r="G197" t="n">
        <v>26.8</v>
      </c>
      <c r="H197" t="n">
        <v>1</v>
      </c>
      <c r="I197" t="n">
        <v>0</v>
      </c>
      <c r="J197" t="n">
        <v>0</v>
      </c>
      <c r="K197" t="n">
        <v>0</v>
      </c>
      <c r="L197" t="n">
        <v>0</v>
      </c>
      <c r="M197" t="n">
        <v>0</v>
      </c>
      <c r="N197" t="n">
        <v>0</v>
      </c>
      <c r="O197" t="n">
        <v>0</v>
      </c>
      <c r="P197" t="n">
        <v>0</v>
      </c>
      <c r="Q197" t="n">
        <v>1</v>
      </c>
      <c r="R197" s="2" t="inlineStr">
        <is>
          <t>Blåsippa</t>
        </is>
      </c>
      <c r="S197">
        <f>HYPERLINK("https://klasma.github.io/Logging_0188/artfynd/A 6950-2024 artfynd.xlsx", "A 6950-2024")</f>
        <v/>
      </c>
      <c r="T197">
        <f>HYPERLINK("https://klasma.github.io/Logging_0188/kartor/A 6950-2024 karta.png", "A 6950-2024")</f>
        <v/>
      </c>
      <c r="V197">
        <f>HYPERLINK("https://klasma.github.io/Logging_0188/klagomål/A 6950-2024 FSC-klagomål.docx", "A 6950-2024")</f>
        <v/>
      </c>
      <c r="W197">
        <f>HYPERLINK("https://klasma.github.io/Logging_0188/klagomålsmail/A 6950-2024 FSC-klagomål mail.docx", "A 6950-2024")</f>
        <v/>
      </c>
      <c r="X197">
        <f>HYPERLINK("https://klasma.github.io/Logging_0188/tillsyn/A 6950-2024 tillsynsbegäran.docx", "A 6950-2024")</f>
        <v/>
      </c>
      <c r="Y197">
        <f>HYPERLINK("https://klasma.github.io/Logging_0188/tillsynsmail/A 6950-2024 tillsynsbegäran mail.docx", "A 6950-2024")</f>
        <v/>
      </c>
    </row>
    <row r="198" ht="15" customHeight="1">
      <c r="A198" t="inlineStr">
        <is>
          <t>A 20468-2024</t>
        </is>
      </c>
      <c r="B198" s="1" t="n">
        <v>45435</v>
      </c>
      <c r="C198" s="1" t="n">
        <v>45758</v>
      </c>
      <c r="D198" t="inlineStr">
        <is>
          <t>STOCKHOLMS LÄN</t>
        </is>
      </c>
      <c r="E198" t="inlineStr">
        <is>
          <t>NORRTÄLJE</t>
        </is>
      </c>
      <c r="G198" t="n">
        <v>2.2</v>
      </c>
      <c r="H198" t="n">
        <v>0</v>
      </c>
      <c r="I198" t="n">
        <v>0</v>
      </c>
      <c r="J198" t="n">
        <v>0</v>
      </c>
      <c r="K198" t="n">
        <v>0</v>
      </c>
      <c r="L198" t="n">
        <v>1</v>
      </c>
      <c r="M198" t="n">
        <v>0</v>
      </c>
      <c r="N198" t="n">
        <v>0</v>
      </c>
      <c r="O198" t="n">
        <v>1</v>
      </c>
      <c r="P198" t="n">
        <v>1</v>
      </c>
      <c r="Q198" t="n">
        <v>1</v>
      </c>
      <c r="R198" s="2" t="inlineStr">
        <is>
          <t>Fältgentiana</t>
        </is>
      </c>
      <c r="S198">
        <f>HYPERLINK("https://klasma.github.io/Logging_0188/artfynd/A 20468-2024 artfynd.xlsx", "A 20468-2024")</f>
        <v/>
      </c>
      <c r="T198">
        <f>HYPERLINK("https://klasma.github.io/Logging_0188/kartor/A 20468-2024 karta.png", "A 20468-2024")</f>
        <v/>
      </c>
      <c r="V198">
        <f>HYPERLINK("https://klasma.github.io/Logging_0188/klagomål/A 20468-2024 FSC-klagomål.docx", "A 20468-2024")</f>
        <v/>
      </c>
      <c r="W198">
        <f>HYPERLINK("https://klasma.github.io/Logging_0188/klagomålsmail/A 20468-2024 FSC-klagomål mail.docx", "A 20468-2024")</f>
        <v/>
      </c>
      <c r="X198">
        <f>HYPERLINK("https://klasma.github.io/Logging_0188/tillsyn/A 20468-2024 tillsynsbegäran.docx", "A 20468-2024")</f>
        <v/>
      </c>
      <c r="Y198">
        <f>HYPERLINK("https://klasma.github.io/Logging_0188/tillsynsmail/A 20468-2024 tillsynsbegäran mail.docx", "A 20468-2024")</f>
        <v/>
      </c>
    </row>
    <row r="199" ht="15" customHeight="1">
      <c r="A199" t="inlineStr">
        <is>
          <t>A 22190-2024</t>
        </is>
      </c>
      <c r="B199" s="1" t="n">
        <v>45446</v>
      </c>
      <c r="C199" s="1" t="n">
        <v>45758</v>
      </c>
      <c r="D199" t="inlineStr">
        <is>
          <t>STOCKHOLMS LÄN</t>
        </is>
      </c>
      <c r="E199" t="inlineStr">
        <is>
          <t>NORRTÄLJE</t>
        </is>
      </c>
      <c r="G199" t="n">
        <v>2.8</v>
      </c>
      <c r="H199" t="n">
        <v>1</v>
      </c>
      <c r="I199" t="n">
        <v>0</v>
      </c>
      <c r="J199" t="n">
        <v>0</v>
      </c>
      <c r="K199" t="n">
        <v>0</v>
      </c>
      <c r="L199" t="n">
        <v>0</v>
      </c>
      <c r="M199" t="n">
        <v>0</v>
      </c>
      <c r="N199" t="n">
        <v>0</v>
      </c>
      <c r="O199" t="n">
        <v>0</v>
      </c>
      <c r="P199" t="n">
        <v>0</v>
      </c>
      <c r="Q199" t="n">
        <v>1</v>
      </c>
      <c r="R199" s="2" t="inlineStr">
        <is>
          <t>Vanlig groda</t>
        </is>
      </c>
      <c r="S199">
        <f>HYPERLINK("https://klasma.github.io/Logging_0188/artfynd/A 22190-2024 artfynd.xlsx", "A 22190-2024")</f>
        <v/>
      </c>
      <c r="T199">
        <f>HYPERLINK("https://klasma.github.io/Logging_0188/kartor/A 22190-2024 karta.png", "A 22190-2024")</f>
        <v/>
      </c>
      <c r="V199">
        <f>HYPERLINK("https://klasma.github.io/Logging_0188/klagomål/A 22190-2024 FSC-klagomål.docx", "A 22190-2024")</f>
        <v/>
      </c>
      <c r="W199">
        <f>HYPERLINK("https://klasma.github.io/Logging_0188/klagomålsmail/A 22190-2024 FSC-klagomål mail.docx", "A 22190-2024")</f>
        <v/>
      </c>
      <c r="X199">
        <f>HYPERLINK("https://klasma.github.io/Logging_0188/tillsyn/A 22190-2024 tillsynsbegäran.docx", "A 22190-2024")</f>
        <v/>
      </c>
      <c r="Y199">
        <f>HYPERLINK("https://klasma.github.io/Logging_0188/tillsynsmail/A 22190-2024 tillsynsbegäran mail.docx", "A 22190-2024")</f>
        <v/>
      </c>
    </row>
    <row r="200" ht="15" customHeight="1">
      <c r="A200" t="inlineStr">
        <is>
          <t>A 23146-2024</t>
        </is>
      </c>
      <c r="B200" s="1" t="n">
        <v>45450</v>
      </c>
      <c r="C200" s="1" t="n">
        <v>45758</v>
      </c>
      <c r="D200" t="inlineStr">
        <is>
          <t>STOCKHOLMS LÄN</t>
        </is>
      </c>
      <c r="E200" t="inlineStr">
        <is>
          <t>NORRTÄLJE</t>
        </is>
      </c>
      <c r="F200" t="inlineStr">
        <is>
          <t>Kommuner</t>
        </is>
      </c>
      <c r="G200" t="n">
        <v>6</v>
      </c>
      <c r="H200" t="n">
        <v>0</v>
      </c>
      <c r="I200" t="n">
        <v>0</v>
      </c>
      <c r="J200" t="n">
        <v>1</v>
      </c>
      <c r="K200" t="n">
        <v>0</v>
      </c>
      <c r="L200" t="n">
        <v>0</v>
      </c>
      <c r="M200" t="n">
        <v>0</v>
      </c>
      <c r="N200" t="n">
        <v>0</v>
      </c>
      <c r="O200" t="n">
        <v>1</v>
      </c>
      <c r="P200" t="n">
        <v>0</v>
      </c>
      <c r="Q200" t="n">
        <v>1</v>
      </c>
      <c r="R200" s="2" t="inlineStr">
        <is>
          <t>Motaggsvamp</t>
        </is>
      </c>
      <c r="S200">
        <f>HYPERLINK("https://klasma.github.io/Logging_0188/artfynd/A 23146-2024 artfynd.xlsx", "A 23146-2024")</f>
        <v/>
      </c>
      <c r="T200">
        <f>HYPERLINK("https://klasma.github.io/Logging_0188/kartor/A 23146-2024 karta.png", "A 23146-2024")</f>
        <v/>
      </c>
      <c r="V200">
        <f>HYPERLINK("https://klasma.github.io/Logging_0188/klagomål/A 23146-2024 FSC-klagomål.docx", "A 23146-2024")</f>
        <v/>
      </c>
      <c r="W200">
        <f>HYPERLINK("https://klasma.github.io/Logging_0188/klagomålsmail/A 23146-2024 FSC-klagomål mail.docx", "A 23146-2024")</f>
        <v/>
      </c>
      <c r="X200">
        <f>HYPERLINK("https://klasma.github.io/Logging_0188/tillsyn/A 23146-2024 tillsynsbegäran.docx", "A 23146-2024")</f>
        <v/>
      </c>
      <c r="Y200">
        <f>HYPERLINK("https://klasma.github.io/Logging_0188/tillsynsmail/A 23146-2024 tillsynsbegäran mail.docx", "A 23146-2024")</f>
        <v/>
      </c>
    </row>
    <row r="201" ht="15" customHeight="1">
      <c r="A201" t="inlineStr">
        <is>
          <t>A 24577-2024</t>
        </is>
      </c>
      <c r="B201" s="1" t="n">
        <v>45460</v>
      </c>
      <c r="C201" s="1" t="n">
        <v>45758</v>
      </c>
      <c r="D201" t="inlineStr">
        <is>
          <t>STOCKHOLMS LÄN</t>
        </is>
      </c>
      <c r="E201" t="inlineStr">
        <is>
          <t>NORRTÄLJE</t>
        </is>
      </c>
      <c r="G201" t="n">
        <v>3.8</v>
      </c>
      <c r="H201" t="n">
        <v>0</v>
      </c>
      <c r="I201" t="n">
        <v>1</v>
      </c>
      <c r="J201" t="n">
        <v>0</v>
      </c>
      <c r="K201" t="n">
        <v>0</v>
      </c>
      <c r="L201" t="n">
        <v>0</v>
      </c>
      <c r="M201" t="n">
        <v>0</v>
      </c>
      <c r="N201" t="n">
        <v>0</v>
      </c>
      <c r="O201" t="n">
        <v>0</v>
      </c>
      <c r="P201" t="n">
        <v>0</v>
      </c>
      <c r="Q201" t="n">
        <v>1</v>
      </c>
      <c r="R201" s="2" t="inlineStr">
        <is>
          <t>Rostfläck</t>
        </is>
      </c>
      <c r="S201">
        <f>HYPERLINK("https://klasma.github.io/Logging_0188/artfynd/A 24577-2024 artfynd.xlsx", "A 24577-2024")</f>
        <v/>
      </c>
      <c r="T201">
        <f>HYPERLINK("https://klasma.github.io/Logging_0188/kartor/A 24577-2024 karta.png", "A 24577-2024")</f>
        <v/>
      </c>
      <c r="V201">
        <f>HYPERLINK("https://klasma.github.io/Logging_0188/klagomål/A 24577-2024 FSC-klagomål.docx", "A 24577-2024")</f>
        <v/>
      </c>
      <c r="W201">
        <f>HYPERLINK("https://klasma.github.io/Logging_0188/klagomålsmail/A 24577-2024 FSC-klagomål mail.docx", "A 24577-2024")</f>
        <v/>
      </c>
      <c r="X201">
        <f>HYPERLINK("https://klasma.github.io/Logging_0188/tillsyn/A 24577-2024 tillsynsbegäran.docx", "A 24577-2024")</f>
        <v/>
      </c>
      <c r="Y201">
        <f>HYPERLINK("https://klasma.github.io/Logging_0188/tillsynsmail/A 24577-2024 tillsynsbegäran mail.docx", "A 24577-2024")</f>
        <v/>
      </c>
    </row>
    <row r="202" ht="15" customHeight="1">
      <c r="A202" t="inlineStr">
        <is>
          <t>A 24528-2024</t>
        </is>
      </c>
      <c r="B202" s="1" t="n">
        <v>45460</v>
      </c>
      <c r="C202" s="1" t="n">
        <v>45758</v>
      </c>
      <c r="D202" t="inlineStr">
        <is>
          <t>STOCKHOLMS LÄN</t>
        </is>
      </c>
      <c r="E202" t="inlineStr">
        <is>
          <t>NORRTÄLJE</t>
        </is>
      </c>
      <c r="G202" t="n">
        <v>1.4</v>
      </c>
      <c r="H202" t="n">
        <v>1</v>
      </c>
      <c r="I202" t="n">
        <v>0</v>
      </c>
      <c r="J202" t="n">
        <v>0</v>
      </c>
      <c r="K202" t="n">
        <v>1</v>
      </c>
      <c r="L202" t="n">
        <v>0</v>
      </c>
      <c r="M202" t="n">
        <v>0</v>
      </c>
      <c r="N202" t="n">
        <v>0</v>
      </c>
      <c r="O202" t="n">
        <v>1</v>
      </c>
      <c r="P202" t="n">
        <v>1</v>
      </c>
      <c r="Q202" t="n">
        <v>1</v>
      </c>
      <c r="R202" s="2" t="inlineStr">
        <is>
          <t>Hällebräcka</t>
        </is>
      </c>
      <c r="S202">
        <f>HYPERLINK("https://klasma.github.io/Logging_0188/artfynd/A 24528-2024 artfynd.xlsx", "A 24528-2024")</f>
        <v/>
      </c>
      <c r="T202">
        <f>HYPERLINK("https://klasma.github.io/Logging_0188/kartor/A 24528-2024 karta.png", "A 24528-2024")</f>
        <v/>
      </c>
      <c r="V202">
        <f>HYPERLINK("https://klasma.github.io/Logging_0188/klagomål/A 24528-2024 FSC-klagomål.docx", "A 24528-2024")</f>
        <v/>
      </c>
      <c r="W202">
        <f>HYPERLINK("https://klasma.github.io/Logging_0188/klagomålsmail/A 24528-2024 FSC-klagomål mail.docx", "A 24528-2024")</f>
        <v/>
      </c>
      <c r="X202">
        <f>HYPERLINK("https://klasma.github.io/Logging_0188/tillsyn/A 24528-2024 tillsynsbegäran.docx", "A 24528-2024")</f>
        <v/>
      </c>
      <c r="Y202">
        <f>HYPERLINK("https://klasma.github.io/Logging_0188/tillsynsmail/A 24528-2024 tillsynsbegäran mail.docx", "A 24528-2024")</f>
        <v/>
      </c>
    </row>
    <row r="203" ht="15" customHeight="1">
      <c r="A203" t="inlineStr">
        <is>
          <t>A 26120-2024</t>
        </is>
      </c>
      <c r="B203" s="1" t="n">
        <v>45468</v>
      </c>
      <c r="C203" s="1" t="n">
        <v>45758</v>
      </c>
      <c r="D203" t="inlineStr">
        <is>
          <t>STOCKHOLMS LÄN</t>
        </is>
      </c>
      <c r="E203" t="inlineStr">
        <is>
          <t>NORRTÄLJE</t>
        </is>
      </c>
      <c r="G203" t="n">
        <v>1.8</v>
      </c>
      <c r="H203" t="n">
        <v>0</v>
      </c>
      <c r="I203" t="n">
        <v>0</v>
      </c>
      <c r="J203" t="n">
        <v>1</v>
      </c>
      <c r="K203" t="n">
        <v>0</v>
      </c>
      <c r="L203" t="n">
        <v>0</v>
      </c>
      <c r="M203" t="n">
        <v>0</v>
      </c>
      <c r="N203" t="n">
        <v>0</v>
      </c>
      <c r="O203" t="n">
        <v>1</v>
      </c>
      <c r="P203" t="n">
        <v>0</v>
      </c>
      <c r="Q203" t="n">
        <v>1</v>
      </c>
      <c r="R203" s="2" t="inlineStr">
        <is>
          <t>Majviva</t>
        </is>
      </c>
      <c r="S203">
        <f>HYPERLINK("https://klasma.github.io/Logging_0188/artfynd/A 26120-2024 artfynd.xlsx", "A 26120-2024")</f>
        <v/>
      </c>
      <c r="T203">
        <f>HYPERLINK("https://klasma.github.io/Logging_0188/kartor/A 26120-2024 karta.png", "A 26120-2024")</f>
        <v/>
      </c>
      <c r="V203">
        <f>HYPERLINK("https://klasma.github.io/Logging_0188/klagomål/A 26120-2024 FSC-klagomål.docx", "A 26120-2024")</f>
        <v/>
      </c>
      <c r="W203">
        <f>HYPERLINK("https://klasma.github.io/Logging_0188/klagomålsmail/A 26120-2024 FSC-klagomål mail.docx", "A 26120-2024")</f>
        <v/>
      </c>
      <c r="X203">
        <f>HYPERLINK("https://klasma.github.io/Logging_0188/tillsyn/A 26120-2024 tillsynsbegäran.docx", "A 26120-2024")</f>
        <v/>
      </c>
      <c r="Y203">
        <f>HYPERLINK("https://klasma.github.io/Logging_0188/tillsynsmail/A 26120-2024 tillsynsbegäran mail.docx", "A 26120-2024")</f>
        <v/>
      </c>
    </row>
    <row r="204" ht="15" customHeight="1">
      <c r="A204" t="inlineStr">
        <is>
          <t>A 27538-2024</t>
        </is>
      </c>
      <c r="B204" s="1" t="n">
        <v>45474</v>
      </c>
      <c r="C204" s="1" t="n">
        <v>45758</v>
      </c>
      <c r="D204" t="inlineStr">
        <is>
          <t>STOCKHOLMS LÄN</t>
        </is>
      </c>
      <c r="E204" t="inlineStr">
        <is>
          <t>NORRTÄLJE</t>
        </is>
      </c>
      <c r="G204" t="n">
        <v>1.5</v>
      </c>
      <c r="H204" t="n">
        <v>1</v>
      </c>
      <c r="I204" t="n">
        <v>1</v>
      </c>
      <c r="J204" t="n">
        <v>0</v>
      </c>
      <c r="K204" t="n">
        <v>0</v>
      </c>
      <c r="L204" t="n">
        <v>0</v>
      </c>
      <c r="M204" t="n">
        <v>0</v>
      </c>
      <c r="N204" t="n">
        <v>0</v>
      </c>
      <c r="O204" t="n">
        <v>0</v>
      </c>
      <c r="P204" t="n">
        <v>0</v>
      </c>
      <c r="Q204" t="n">
        <v>1</v>
      </c>
      <c r="R204" s="2" t="inlineStr">
        <is>
          <t>Skogsknipprot</t>
        </is>
      </c>
      <c r="S204">
        <f>HYPERLINK("https://klasma.github.io/Logging_0188/artfynd/A 27538-2024 artfynd.xlsx", "A 27538-2024")</f>
        <v/>
      </c>
      <c r="T204">
        <f>HYPERLINK("https://klasma.github.io/Logging_0188/kartor/A 27538-2024 karta.png", "A 27538-2024")</f>
        <v/>
      </c>
      <c r="V204">
        <f>HYPERLINK("https://klasma.github.io/Logging_0188/klagomål/A 27538-2024 FSC-klagomål.docx", "A 27538-2024")</f>
        <v/>
      </c>
      <c r="W204">
        <f>HYPERLINK("https://klasma.github.io/Logging_0188/klagomålsmail/A 27538-2024 FSC-klagomål mail.docx", "A 27538-2024")</f>
        <v/>
      </c>
      <c r="X204">
        <f>HYPERLINK("https://klasma.github.io/Logging_0188/tillsyn/A 27538-2024 tillsynsbegäran.docx", "A 27538-2024")</f>
        <v/>
      </c>
      <c r="Y204">
        <f>HYPERLINK("https://klasma.github.io/Logging_0188/tillsynsmail/A 27538-2024 tillsynsbegäran mail.docx", "A 27538-2024")</f>
        <v/>
      </c>
    </row>
    <row r="205" ht="15" customHeight="1">
      <c r="A205" t="inlineStr">
        <is>
          <t>A 35764-2024</t>
        </is>
      </c>
      <c r="B205" s="1" t="n">
        <v>45532</v>
      </c>
      <c r="C205" s="1" t="n">
        <v>45758</v>
      </c>
      <c r="D205" t="inlineStr">
        <is>
          <t>STOCKHOLMS LÄN</t>
        </is>
      </c>
      <c r="E205" t="inlineStr">
        <is>
          <t>NORRTÄLJE</t>
        </is>
      </c>
      <c r="G205" t="n">
        <v>14.2</v>
      </c>
      <c r="H205" t="n">
        <v>1</v>
      </c>
      <c r="I205" t="n">
        <v>0</v>
      </c>
      <c r="J205" t="n">
        <v>0</v>
      </c>
      <c r="K205" t="n">
        <v>1</v>
      </c>
      <c r="L205" t="n">
        <v>0</v>
      </c>
      <c r="M205" t="n">
        <v>0</v>
      </c>
      <c r="N205" t="n">
        <v>0</v>
      </c>
      <c r="O205" t="n">
        <v>1</v>
      </c>
      <c r="P205" t="n">
        <v>1</v>
      </c>
      <c r="Q205" t="n">
        <v>1</v>
      </c>
      <c r="R205" s="2" t="inlineStr">
        <is>
          <t>Knärot</t>
        </is>
      </c>
      <c r="S205">
        <f>HYPERLINK("https://klasma.github.io/Logging_0188/artfynd/A 35764-2024 artfynd.xlsx", "A 35764-2024")</f>
        <v/>
      </c>
      <c r="T205">
        <f>HYPERLINK("https://klasma.github.io/Logging_0188/kartor/A 35764-2024 karta.png", "A 35764-2024")</f>
        <v/>
      </c>
      <c r="U205">
        <f>HYPERLINK("https://klasma.github.io/Logging_0188/knärot/A 35764-2024 karta knärot.png", "A 35764-2024")</f>
        <v/>
      </c>
      <c r="V205">
        <f>HYPERLINK("https://klasma.github.io/Logging_0188/klagomål/A 35764-2024 FSC-klagomål.docx", "A 35764-2024")</f>
        <v/>
      </c>
      <c r="W205">
        <f>HYPERLINK("https://klasma.github.io/Logging_0188/klagomålsmail/A 35764-2024 FSC-klagomål mail.docx", "A 35764-2024")</f>
        <v/>
      </c>
      <c r="X205">
        <f>HYPERLINK("https://klasma.github.io/Logging_0188/tillsyn/A 35764-2024 tillsynsbegäran.docx", "A 35764-2024")</f>
        <v/>
      </c>
      <c r="Y205">
        <f>HYPERLINK("https://klasma.github.io/Logging_0188/tillsynsmail/A 35764-2024 tillsynsbegäran mail.docx", "A 35764-2024")</f>
        <v/>
      </c>
    </row>
    <row r="206" ht="15" customHeight="1">
      <c r="A206" t="inlineStr">
        <is>
          <t>A 37918-2024</t>
        </is>
      </c>
      <c r="B206" s="1" t="n">
        <v>45544</v>
      </c>
      <c r="C206" s="1" t="n">
        <v>45758</v>
      </c>
      <c r="D206" t="inlineStr">
        <is>
          <t>STOCKHOLMS LÄN</t>
        </is>
      </c>
      <c r="E206" t="inlineStr">
        <is>
          <t>NORRTÄLJE</t>
        </is>
      </c>
      <c r="F206" t="inlineStr">
        <is>
          <t>Holmen skog AB</t>
        </is>
      </c>
      <c r="G206" t="n">
        <v>8.4</v>
      </c>
      <c r="H206" t="n">
        <v>1</v>
      </c>
      <c r="I206" t="n">
        <v>0</v>
      </c>
      <c r="J206" t="n">
        <v>0</v>
      </c>
      <c r="K206" t="n">
        <v>0</v>
      </c>
      <c r="L206" t="n">
        <v>1</v>
      </c>
      <c r="M206" t="n">
        <v>0</v>
      </c>
      <c r="N206" t="n">
        <v>0</v>
      </c>
      <c r="O206" t="n">
        <v>1</v>
      </c>
      <c r="P206" t="n">
        <v>1</v>
      </c>
      <c r="Q206" t="n">
        <v>1</v>
      </c>
      <c r="R206" s="2" t="inlineStr">
        <is>
          <t>Asknätfjäril</t>
        </is>
      </c>
      <c r="S206">
        <f>HYPERLINK("https://klasma.github.io/Logging_0188/artfynd/A 37918-2024 artfynd.xlsx", "A 37918-2024")</f>
        <v/>
      </c>
      <c r="T206">
        <f>HYPERLINK("https://klasma.github.io/Logging_0188/kartor/A 37918-2024 karta.png", "A 37918-2024")</f>
        <v/>
      </c>
      <c r="V206">
        <f>HYPERLINK("https://klasma.github.io/Logging_0188/klagomål/A 37918-2024 FSC-klagomål.docx", "A 37918-2024")</f>
        <v/>
      </c>
      <c r="W206">
        <f>HYPERLINK("https://klasma.github.io/Logging_0188/klagomålsmail/A 37918-2024 FSC-klagomål mail.docx", "A 37918-2024")</f>
        <v/>
      </c>
      <c r="X206">
        <f>HYPERLINK("https://klasma.github.io/Logging_0188/tillsyn/A 37918-2024 tillsynsbegäran.docx", "A 37918-2024")</f>
        <v/>
      </c>
      <c r="Y206">
        <f>HYPERLINK("https://klasma.github.io/Logging_0188/tillsynsmail/A 37918-2024 tillsynsbegäran mail.docx", "A 37918-2024")</f>
        <v/>
      </c>
    </row>
    <row r="207" ht="15" customHeight="1">
      <c r="A207" t="inlineStr">
        <is>
          <t>A 44547-2024</t>
        </is>
      </c>
      <c r="B207" s="1" t="n">
        <v>45574</v>
      </c>
      <c r="C207" s="1" t="n">
        <v>45758</v>
      </c>
      <c r="D207" t="inlineStr">
        <is>
          <t>STOCKHOLMS LÄN</t>
        </is>
      </c>
      <c r="E207" t="inlineStr">
        <is>
          <t>NORRTÄLJE</t>
        </is>
      </c>
      <c r="G207" t="n">
        <v>11.1</v>
      </c>
      <c r="H207" t="n">
        <v>0</v>
      </c>
      <c r="I207" t="n">
        <v>0</v>
      </c>
      <c r="J207" t="n">
        <v>1</v>
      </c>
      <c r="K207" t="n">
        <v>0</v>
      </c>
      <c r="L207" t="n">
        <v>0</v>
      </c>
      <c r="M207" t="n">
        <v>0</v>
      </c>
      <c r="N207" t="n">
        <v>0</v>
      </c>
      <c r="O207" t="n">
        <v>1</v>
      </c>
      <c r="P207" t="n">
        <v>0</v>
      </c>
      <c r="Q207" t="n">
        <v>1</v>
      </c>
      <c r="R207" s="2" t="inlineStr">
        <is>
          <t>Skogsklocka</t>
        </is>
      </c>
      <c r="S207">
        <f>HYPERLINK("https://klasma.github.io/Logging_0188/artfynd/A 44547-2024 artfynd.xlsx", "A 44547-2024")</f>
        <v/>
      </c>
      <c r="T207">
        <f>HYPERLINK("https://klasma.github.io/Logging_0188/kartor/A 44547-2024 karta.png", "A 44547-2024")</f>
        <v/>
      </c>
      <c r="V207">
        <f>HYPERLINK("https://klasma.github.io/Logging_0188/klagomål/A 44547-2024 FSC-klagomål.docx", "A 44547-2024")</f>
        <v/>
      </c>
      <c r="W207">
        <f>HYPERLINK("https://klasma.github.io/Logging_0188/klagomålsmail/A 44547-2024 FSC-klagomål mail.docx", "A 44547-2024")</f>
        <v/>
      </c>
      <c r="X207">
        <f>HYPERLINK("https://klasma.github.io/Logging_0188/tillsyn/A 44547-2024 tillsynsbegäran.docx", "A 44547-2024")</f>
        <v/>
      </c>
      <c r="Y207">
        <f>HYPERLINK("https://klasma.github.io/Logging_0188/tillsynsmail/A 44547-2024 tillsynsbegäran mail.docx", "A 44547-2024")</f>
        <v/>
      </c>
    </row>
    <row r="208" ht="15" customHeight="1">
      <c r="A208" t="inlineStr">
        <is>
          <t>A 52363-2024</t>
        </is>
      </c>
      <c r="B208" s="1" t="n">
        <v>45609</v>
      </c>
      <c r="C208" s="1" t="n">
        <v>45758</v>
      </c>
      <c r="D208" t="inlineStr">
        <is>
          <t>STOCKHOLMS LÄN</t>
        </is>
      </c>
      <c r="E208" t="inlineStr">
        <is>
          <t>NORRTÄLJE</t>
        </is>
      </c>
      <c r="G208" t="n">
        <v>9.199999999999999</v>
      </c>
      <c r="H208" t="n">
        <v>1</v>
      </c>
      <c r="I208" t="n">
        <v>0</v>
      </c>
      <c r="J208" t="n">
        <v>0</v>
      </c>
      <c r="K208" t="n">
        <v>0</v>
      </c>
      <c r="L208" t="n">
        <v>0</v>
      </c>
      <c r="M208" t="n">
        <v>0</v>
      </c>
      <c r="N208" t="n">
        <v>0</v>
      </c>
      <c r="O208" t="n">
        <v>0</v>
      </c>
      <c r="P208" t="n">
        <v>0</v>
      </c>
      <c r="Q208" t="n">
        <v>1</v>
      </c>
      <c r="R208" s="2" t="inlineStr">
        <is>
          <t>Revlummer</t>
        </is>
      </c>
      <c r="S208">
        <f>HYPERLINK("https://klasma.github.io/Logging_0188/artfynd/A 52363-2024 artfynd.xlsx", "A 52363-2024")</f>
        <v/>
      </c>
      <c r="T208">
        <f>HYPERLINK("https://klasma.github.io/Logging_0188/kartor/A 52363-2024 karta.png", "A 52363-2024")</f>
        <v/>
      </c>
      <c r="V208">
        <f>HYPERLINK("https://klasma.github.io/Logging_0188/klagomål/A 52363-2024 FSC-klagomål.docx", "A 52363-2024")</f>
        <v/>
      </c>
      <c r="W208">
        <f>HYPERLINK("https://klasma.github.io/Logging_0188/klagomålsmail/A 52363-2024 FSC-klagomål mail.docx", "A 52363-2024")</f>
        <v/>
      </c>
      <c r="X208">
        <f>HYPERLINK("https://klasma.github.io/Logging_0188/tillsyn/A 52363-2024 tillsynsbegäran.docx", "A 52363-2024")</f>
        <v/>
      </c>
      <c r="Y208">
        <f>HYPERLINK("https://klasma.github.io/Logging_0188/tillsynsmail/A 52363-2024 tillsynsbegäran mail.docx", "A 52363-2024")</f>
        <v/>
      </c>
    </row>
    <row r="209" ht="15" customHeight="1">
      <c r="A209" t="inlineStr">
        <is>
          <t>A 52611-2024</t>
        </is>
      </c>
      <c r="B209" s="1" t="n">
        <v>45609</v>
      </c>
      <c r="C209" s="1" t="n">
        <v>45758</v>
      </c>
      <c r="D209" t="inlineStr">
        <is>
          <t>STOCKHOLMS LÄN</t>
        </is>
      </c>
      <c r="E209" t="inlineStr">
        <is>
          <t>NORRTÄLJE</t>
        </is>
      </c>
      <c r="G209" t="n">
        <v>10.6</v>
      </c>
      <c r="H209" t="n">
        <v>1</v>
      </c>
      <c r="I209" t="n">
        <v>0</v>
      </c>
      <c r="J209" t="n">
        <v>0</v>
      </c>
      <c r="K209" t="n">
        <v>0</v>
      </c>
      <c r="L209" t="n">
        <v>0</v>
      </c>
      <c r="M209" t="n">
        <v>0</v>
      </c>
      <c r="N209" t="n">
        <v>0</v>
      </c>
      <c r="O209" t="n">
        <v>0</v>
      </c>
      <c r="P209" t="n">
        <v>0</v>
      </c>
      <c r="Q209" t="n">
        <v>1</v>
      </c>
      <c r="R209" s="2" t="inlineStr">
        <is>
          <t>Blåsippa</t>
        </is>
      </c>
      <c r="S209">
        <f>HYPERLINK("https://klasma.github.io/Logging_0188/artfynd/A 52611-2024 artfynd.xlsx", "A 52611-2024")</f>
        <v/>
      </c>
      <c r="T209">
        <f>HYPERLINK("https://klasma.github.io/Logging_0188/kartor/A 52611-2024 karta.png", "A 52611-2024")</f>
        <v/>
      </c>
      <c r="V209">
        <f>HYPERLINK("https://klasma.github.io/Logging_0188/klagomål/A 52611-2024 FSC-klagomål.docx", "A 52611-2024")</f>
        <v/>
      </c>
      <c r="W209">
        <f>HYPERLINK("https://klasma.github.io/Logging_0188/klagomålsmail/A 52611-2024 FSC-klagomål mail.docx", "A 52611-2024")</f>
        <v/>
      </c>
      <c r="X209">
        <f>HYPERLINK("https://klasma.github.io/Logging_0188/tillsyn/A 52611-2024 tillsynsbegäran.docx", "A 52611-2024")</f>
        <v/>
      </c>
      <c r="Y209">
        <f>HYPERLINK("https://klasma.github.io/Logging_0188/tillsynsmail/A 52611-2024 tillsynsbegäran mail.docx", "A 52611-2024")</f>
        <v/>
      </c>
    </row>
    <row r="210" ht="15" customHeight="1">
      <c r="A210" t="inlineStr">
        <is>
          <t>A 62129-2024</t>
        </is>
      </c>
      <c r="B210" s="1" t="n">
        <v>45646</v>
      </c>
      <c r="C210" s="1" t="n">
        <v>45758</v>
      </c>
      <c r="D210" t="inlineStr">
        <is>
          <t>STOCKHOLMS LÄN</t>
        </is>
      </c>
      <c r="E210" t="inlineStr">
        <is>
          <t>NORRTÄLJE</t>
        </is>
      </c>
      <c r="G210" t="n">
        <v>5.9</v>
      </c>
      <c r="H210" t="n">
        <v>0</v>
      </c>
      <c r="I210" t="n">
        <v>1</v>
      </c>
      <c r="J210" t="n">
        <v>0</v>
      </c>
      <c r="K210" t="n">
        <v>0</v>
      </c>
      <c r="L210" t="n">
        <v>0</v>
      </c>
      <c r="M210" t="n">
        <v>0</v>
      </c>
      <c r="N210" t="n">
        <v>0</v>
      </c>
      <c r="O210" t="n">
        <v>0</v>
      </c>
      <c r="P210" t="n">
        <v>0</v>
      </c>
      <c r="Q210" t="n">
        <v>1</v>
      </c>
      <c r="R210" s="2" t="inlineStr">
        <is>
          <t>Bronshjon</t>
        </is>
      </c>
      <c r="S210">
        <f>HYPERLINK("https://klasma.github.io/Logging_0188/artfynd/A 62129-2024 artfynd.xlsx", "A 62129-2024")</f>
        <v/>
      </c>
      <c r="T210">
        <f>HYPERLINK("https://klasma.github.io/Logging_0188/kartor/A 62129-2024 karta.png", "A 62129-2024")</f>
        <v/>
      </c>
      <c r="V210">
        <f>HYPERLINK("https://klasma.github.io/Logging_0188/klagomål/A 62129-2024 FSC-klagomål.docx", "A 62129-2024")</f>
        <v/>
      </c>
      <c r="W210">
        <f>HYPERLINK("https://klasma.github.io/Logging_0188/klagomålsmail/A 62129-2024 FSC-klagomål mail.docx", "A 62129-2024")</f>
        <v/>
      </c>
      <c r="X210">
        <f>HYPERLINK("https://klasma.github.io/Logging_0188/tillsyn/A 62129-2024 tillsynsbegäran.docx", "A 62129-2024")</f>
        <v/>
      </c>
      <c r="Y210">
        <f>HYPERLINK("https://klasma.github.io/Logging_0188/tillsynsmail/A 62129-2024 tillsynsbegäran mail.docx", "A 62129-2024")</f>
        <v/>
      </c>
    </row>
    <row r="211" ht="15" customHeight="1">
      <c r="A211" t="inlineStr">
        <is>
          <t>A 3116-2025</t>
        </is>
      </c>
      <c r="B211" s="1" t="n">
        <v>45678</v>
      </c>
      <c r="C211" s="1" t="n">
        <v>45758</v>
      </c>
      <c r="D211" t="inlineStr">
        <is>
          <t>STOCKHOLMS LÄN</t>
        </is>
      </c>
      <c r="E211" t="inlineStr">
        <is>
          <t>NORRTÄLJE</t>
        </is>
      </c>
      <c r="G211" t="n">
        <v>10.8</v>
      </c>
      <c r="H211" t="n">
        <v>1</v>
      </c>
      <c r="I211" t="n">
        <v>0</v>
      </c>
      <c r="J211" t="n">
        <v>0</v>
      </c>
      <c r="K211" t="n">
        <v>0</v>
      </c>
      <c r="L211" t="n">
        <v>0</v>
      </c>
      <c r="M211" t="n">
        <v>0</v>
      </c>
      <c r="N211" t="n">
        <v>0</v>
      </c>
      <c r="O211" t="n">
        <v>0</v>
      </c>
      <c r="P211" t="n">
        <v>0</v>
      </c>
      <c r="Q211" t="n">
        <v>1</v>
      </c>
      <c r="R211" s="2" t="inlineStr">
        <is>
          <t>Mattlummer</t>
        </is>
      </c>
      <c r="S211">
        <f>HYPERLINK("https://klasma.github.io/Logging_0188/artfynd/A 3116-2025 artfynd.xlsx", "A 3116-2025")</f>
        <v/>
      </c>
      <c r="T211">
        <f>HYPERLINK("https://klasma.github.io/Logging_0188/kartor/A 3116-2025 karta.png", "A 3116-2025")</f>
        <v/>
      </c>
      <c r="V211">
        <f>HYPERLINK("https://klasma.github.io/Logging_0188/klagomål/A 3116-2025 FSC-klagomål.docx", "A 3116-2025")</f>
        <v/>
      </c>
      <c r="W211">
        <f>HYPERLINK("https://klasma.github.io/Logging_0188/klagomålsmail/A 3116-2025 FSC-klagomål mail.docx", "A 3116-2025")</f>
        <v/>
      </c>
      <c r="X211">
        <f>HYPERLINK("https://klasma.github.io/Logging_0188/tillsyn/A 3116-2025 tillsynsbegäran.docx", "A 3116-2025")</f>
        <v/>
      </c>
      <c r="Y211">
        <f>HYPERLINK("https://klasma.github.io/Logging_0188/tillsynsmail/A 3116-2025 tillsynsbegäran mail.docx", "A 3116-2025")</f>
        <v/>
      </c>
    </row>
    <row r="212" ht="15" customHeight="1">
      <c r="A212" t="inlineStr">
        <is>
          <t>A 4532-2025</t>
        </is>
      </c>
      <c r="B212" s="1" t="n">
        <v>45687</v>
      </c>
      <c r="C212" s="1" t="n">
        <v>45758</v>
      </c>
      <c r="D212" t="inlineStr">
        <is>
          <t>STOCKHOLMS LÄN</t>
        </is>
      </c>
      <c r="E212" t="inlineStr">
        <is>
          <t>NORRTÄLJE</t>
        </is>
      </c>
      <c r="F212" t="inlineStr">
        <is>
          <t>Holmen skog AB</t>
        </is>
      </c>
      <c r="G212" t="n">
        <v>6.4</v>
      </c>
      <c r="H212" t="n">
        <v>1</v>
      </c>
      <c r="I212" t="n">
        <v>0</v>
      </c>
      <c r="J212" t="n">
        <v>0</v>
      </c>
      <c r="K212" t="n">
        <v>0</v>
      </c>
      <c r="L212" t="n">
        <v>1</v>
      </c>
      <c r="M212" t="n">
        <v>0</v>
      </c>
      <c r="N212" t="n">
        <v>0</v>
      </c>
      <c r="O212" t="n">
        <v>1</v>
      </c>
      <c r="P212" t="n">
        <v>1</v>
      </c>
      <c r="Q212" t="n">
        <v>1</v>
      </c>
      <c r="R212" s="2" t="inlineStr">
        <is>
          <t>Asknätfjäril</t>
        </is>
      </c>
      <c r="S212">
        <f>HYPERLINK("https://klasma.github.io/Logging_0188/artfynd/A 4532-2025 artfynd.xlsx", "A 4532-2025")</f>
        <v/>
      </c>
      <c r="T212">
        <f>HYPERLINK("https://klasma.github.io/Logging_0188/kartor/A 4532-2025 karta.png", "A 4532-2025")</f>
        <v/>
      </c>
      <c r="V212">
        <f>HYPERLINK("https://klasma.github.io/Logging_0188/klagomål/A 4532-2025 FSC-klagomål.docx", "A 4532-2025")</f>
        <v/>
      </c>
      <c r="W212">
        <f>HYPERLINK("https://klasma.github.io/Logging_0188/klagomålsmail/A 4532-2025 FSC-klagomål mail.docx", "A 4532-2025")</f>
        <v/>
      </c>
      <c r="X212">
        <f>HYPERLINK("https://klasma.github.io/Logging_0188/tillsyn/A 4532-2025 tillsynsbegäran.docx", "A 4532-2025")</f>
        <v/>
      </c>
      <c r="Y212">
        <f>HYPERLINK("https://klasma.github.io/Logging_0188/tillsynsmail/A 4532-2025 tillsynsbegäran mail.docx", "A 4532-2025")</f>
        <v/>
      </c>
    </row>
    <row r="213" ht="15" customHeight="1">
      <c r="A213" t="inlineStr">
        <is>
          <t>A 8371-2025</t>
        </is>
      </c>
      <c r="B213" s="1" t="n">
        <v>45708</v>
      </c>
      <c r="C213" s="1" t="n">
        <v>45758</v>
      </c>
      <c r="D213" t="inlineStr">
        <is>
          <t>STOCKHOLMS LÄN</t>
        </is>
      </c>
      <c r="E213" t="inlineStr">
        <is>
          <t>NORRTÄLJE</t>
        </is>
      </c>
      <c r="F213" t="inlineStr">
        <is>
          <t>Övriga Aktiebolag</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HYPERLINK("https://klasma.github.io/Logging_0188/artfynd/A 8371-2025 artfynd.xlsx", "A 8371-2025")</f>
        <v/>
      </c>
      <c r="T213">
        <f>HYPERLINK("https://klasma.github.io/Logging_0188/kartor/A 8371-2025 karta.png", "A 8371-2025")</f>
        <v/>
      </c>
      <c r="V213">
        <f>HYPERLINK("https://klasma.github.io/Logging_0188/klagomål/A 8371-2025 FSC-klagomål.docx", "A 8371-2025")</f>
        <v/>
      </c>
      <c r="W213">
        <f>HYPERLINK("https://klasma.github.io/Logging_0188/klagomålsmail/A 8371-2025 FSC-klagomål mail.docx", "A 8371-2025")</f>
        <v/>
      </c>
      <c r="X213">
        <f>HYPERLINK("https://klasma.github.io/Logging_0188/tillsyn/A 8371-2025 tillsynsbegäran.docx", "A 8371-2025")</f>
        <v/>
      </c>
      <c r="Y213">
        <f>HYPERLINK("https://klasma.github.io/Logging_0188/tillsynsmail/A 8371-2025 tillsynsbegäran mail.docx", "A 8371-2025")</f>
        <v/>
      </c>
      <c r="Z213">
        <f>HYPERLINK("https://klasma.github.io/Logging_0188/fåglar/A 8371-2025 prioriterade fågelarter.docx", "A 8371-2025")</f>
        <v/>
      </c>
    </row>
    <row r="214" ht="15" customHeight="1">
      <c r="A214" t="inlineStr">
        <is>
          <t>A 13271-2025</t>
        </is>
      </c>
      <c r="B214" s="1" t="n">
        <v>45735</v>
      </c>
      <c r="C214" s="1" t="n">
        <v>45758</v>
      </c>
      <c r="D214" t="inlineStr">
        <is>
          <t>STOCKHOLMS LÄN</t>
        </is>
      </c>
      <c r="E214" t="inlineStr">
        <is>
          <t>NORRTÄLJE</t>
        </is>
      </c>
      <c r="G214" t="n">
        <v>7.2</v>
      </c>
      <c r="H214" t="n">
        <v>1</v>
      </c>
      <c r="I214" t="n">
        <v>0</v>
      </c>
      <c r="J214" t="n">
        <v>0</v>
      </c>
      <c r="K214" t="n">
        <v>0</v>
      </c>
      <c r="L214" t="n">
        <v>1</v>
      </c>
      <c r="M214" t="n">
        <v>0</v>
      </c>
      <c r="N214" t="n">
        <v>0</v>
      </c>
      <c r="O214" t="n">
        <v>1</v>
      </c>
      <c r="P214" t="n">
        <v>1</v>
      </c>
      <c r="Q214" t="n">
        <v>1</v>
      </c>
      <c r="R214" s="2" t="inlineStr">
        <is>
          <t>Asknätfjäril</t>
        </is>
      </c>
      <c r="S214">
        <f>HYPERLINK("https://klasma.github.io/Logging_010188/artfynd/A 13271-2025 artfynd.xlsx", "A 13271-2025")</f>
        <v/>
      </c>
      <c r="T214">
        <f>HYPERLINK("https://klasma.github.io/Logging_010188/kartor/A 13271-2025 karta.png", "A 13271-2025")</f>
        <v/>
      </c>
      <c r="V214">
        <f>HYPERLINK("https://klasma.github.io/Logging_010188/klagomål/A 13271-2025 FSC-klagomål.docx", "A 13271-2025")</f>
        <v/>
      </c>
      <c r="W214">
        <f>HYPERLINK("https://klasma.github.io/Logging_010188/klagomålsmail/A 13271-2025 FSC-klagomål mail.docx", "A 13271-2025")</f>
        <v/>
      </c>
      <c r="X214">
        <f>HYPERLINK("https://klasma.github.io/Logging_010188/tillsyn/A 13271-2025 tillsynsbegäran.docx", "A 13271-2025")</f>
        <v/>
      </c>
      <c r="Y214">
        <f>HYPERLINK("https://klasma.github.io/Logging_010188/tillsynsmail/A 13271-2025 tillsynsbegäran mail.docx", "A 13271-2025")</f>
        <v/>
      </c>
    </row>
    <row r="215" ht="15" customHeight="1">
      <c r="A215" t="inlineStr">
        <is>
          <t>A 16870-2025</t>
        </is>
      </c>
      <c r="B215" s="1" t="n">
        <v>45754</v>
      </c>
      <c r="C215" s="1" t="n">
        <v>45758</v>
      </c>
      <c r="D215" t="inlineStr">
        <is>
          <t>STOCKHOLMS LÄN</t>
        </is>
      </c>
      <c r="E215" t="inlineStr">
        <is>
          <t>NORRTÄLJE</t>
        </is>
      </c>
      <c r="G215" t="n">
        <v>24.6</v>
      </c>
      <c r="H215" t="n">
        <v>1</v>
      </c>
      <c r="I215" t="n">
        <v>0</v>
      </c>
      <c r="J215" t="n">
        <v>0</v>
      </c>
      <c r="K215" t="n">
        <v>0</v>
      </c>
      <c r="L215" t="n">
        <v>0</v>
      </c>
      <c r="M215" t="n">
        <v>0</v>
      </c>
      <c r="N215" t="n">
        <v>0</v>
      </c>
      <c r="O215" t="n">
        <v>0</v>
      </c>
      <c r="P215" t="n">
        <v>0</v>
      </c>
      <c r="Q215" t="n">
        <v>1</v>
      </c>
      <c r="R215" s="2" t="inlineStr">
        <is>
          <t>Vanlig groda</t>
        </is>
      </c>
      <c r="S215">
        <f>HYPERLINK("https://klasma.github.io/Logging_010188/artfynd/A 16870-2025 artfynd.xlsx", "A 16870-2025")</f>
        <v/>
      </c>
      <c r="T215">
        <f>HYPERLINK("https://klasma.github.io/Logging_010188/kartor/A 16870-2025 karta.png", "A 16870-2025")</f>
        <v/>
      </c>
      <c r="V215">
        <f>HYPERLINK("https://klasma.github.io/Logging_010188/klagomål/A 16870-2025 FSC-klagomål.docx", "A 16870-2025")</f>
        <v/>
      </c>
      <c r="W215">
        <f>HYPERLINK("https://klasma.github.io/Logging_010188/klagomålsmail/A 16870-2025 FSC-klagomål mail.docx", "A 16870-2025")</f>
        <v/>
      </c>
      <c r="X215">
        <f>HYPERLINK("https://klasma.github.io/Logging_010188/tillsyn/A 16870-2025 tillsynsbegäran.docx", "A 16870-2025")</f>
        <v/>
      </c>
      <c r="Y215">
        <f>HYPERLINK("https://klasma.github.io/Logging_010188/tillsynsmail/A 16870-2025 tillsynsbegäran mail.docx", "A 16870-2025")</f>
        <v/>
      </c>
    </row>
    <row r="216" ht="15" customHeight="1">
      <c r="A216" t="inlineStr">
        <is>
          <t>A 17752-2019</t>
        </is>
      </c>
      <c r="B216" s="1" t="n">
        <v>43556</v>
      </c>
      <c r="C216" s="1" t="n">
        <v>45758</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17795-2019</t>
        </is>
      </c>
      <c r="B217" s="1" t="n">
        <v>43556</v>
      </c>
      <c r="C217" s="1" t="n">
        <v>45758</v>
      </c>
      <c r="D217" t="inlineStr">
        <is>
          <t>STOCKHOLMS LÄN</t>
        </is>
      </c>
      <c r="E217" t="inlineStr">
        <is>
          <t>NORRTÄLJE</t>
        </is>
      </c>
      <c r="G217" t="n">
        <v>0.8</v>
      </c>
      <c r="H217" t="n">
        <v>0</v>
      </c>
      <c r="I217" t="n">
        <v>0</v>
      </c>
      <c r="J217" t="n">
        <v>0</v>
      </c>
      <c r="K217" t="n">
        <v>0</v>
      </c>
      <c r="L217" t="n">
        <v>0</v>
      </c>
      <c r="M217" t="n">
        <v>0</v>
      </c>
      <c r="N217" t="n">
        <v>0</v>
      </c>
      <c r="O217" t="n">
        <v>0</v>
      </c>
      <c r="P217" t="n">
        <v>0</v>
      </c>
      <c r="Q217" t="n">
        <v>0</v>
      </c>
      <c r="R217" s="2" t="inlineStr"/>
    </row>
    <row r="218" ht="15" customHeight="1">
      <c r="A218" t="inlineStr">
        <is>
          <t>A 17757-2019</t>
        </is>
      </c>
      <c r="B218" s="1" t="n">
        <v>43556</v>
      </c>
      <c r="C218" s="1" t="n">
        <v>45758</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17963-2019</t>
        </is>
      </c>
      <c r="B219" s="1" t="n">
        <v>43557</v>
      </c>
      <c r="C219" s="1" t="n">
        <v>45758</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18378-2019</t>
        </is>
      </c>
      <c r="B220" s="1" t="n">
        <v>43559</v>
      </c>
      <c r="C220" s="1" t="n">
        <v>45758</v>
      </c>
      <c r="D220" t="inlineStr">
        <is>
          <t>STOCKHOLMS LÄN</t>
        </is>
      </c>
      <c r="E220" t="inlineStr">
        <is>
          <t>NORRTÄLJE</t>
        </is>
      </c>
      <c r="G220" t="n">
        <v>5.8</v>
      </c>
      <c r="H220" t="n">
        <v>0</v>
      </c>
      <c r="I220" t="n">
        <v>0</v>
      </c>
      <c r="J220" t="n">
        <v>0</v>
      </c>
      <c r="K220" t="n">
        <v>0</v>
      </c>
      <c r="L220" t="n">
        <v>0</v>
      </c>
      <c r="M220" t="n">
        <v>0</v>
      </c>
      <c r="N220" t="n">
        <v>0</v>
      </c>
      <c r="O220" t="n">
        <v>0</v>
      </c>
      <c r="P220" t="n">
        <v>0</v>
      </c>
      <c r="Q220" t="n">
        <v>0</v>
      </c>
      <c r="R220" s="2" t="inlineStr"/>
    </row>
    <row r="221" ht="15" customHeight="1">
      <c r="A221" t="inlineStr">
        <is>
          <t>A 18664-2019</t>
        </is>
      </c>
      <c r="B221" s="1" t="n">
        <v>43560</v>
      </c>
      <c r="C221" s="1" t="n">
        <v>45758</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18767-2019</t>
        </is>
      </c>
      <c r="B222" s="1" t="n">
        <v>43560</v>
      </c>
      <c r="C222" s="1" t="n">
        <v>45758</v>
      </c>
      <c r="D222" t="inlineStr">
        <is>
          <t>STOCKHOLMS LÄN</t>
        </is>
      </c>
      <c r="E222" t="inlineStr">
        <is>
          <t>NORRTÄLJE</t>
        </is>
      </c>
      <c r="G222" t="n">
        <v>4</v>
      </c>
      <c r="H222" t="n">
        <v>0</v>
      </c>
      <c r="I222" t="n">
        <v>0</v>
      </c>
      <c r="J222" t="n">
        <v>0</v>
      </c>
      <c r="K222" t="n">
        <v>0</v>
      </c>
      <c r="L222" t="n">
        <v>0</v>
      </c>
      <c r="M222" t="n">
        <v>0</v>
      </c>
      <c r="N222" t="n">
        <v>0</v>
      </c>
      <c r="O222" t="n">
        <v>0</v>
      </c>
      <c r="P222" t="n">
        <v>0</v>
      </c>
      <c r="Q222" t="n">
        <v>0</v>
      </c>
      <c r="R222" s="2" t="inlineStr"/>
    </row>
    <row r="223" ht="15" customHeight="1">
      <c r="A223" t="inlineStr">
        <is>
          <t>A 18820-2019</t>
        </is>
      </c>
      <c r="B223" s="1" t="n">
        <v>43563</v>
      </c>
      <c r="C223" s="1" t="n">
        <v>45758</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18890-2019</t>
        </is>
      </c>
      <c r="B224" s="1" t="n">
        <v>43563</v>
      </c>
      <c r="C224" s="1" t="n">
        <v>45758</v>
      </c>
      <c r="D224" t="inlineStr">
        <is>
          <t>STOCKHOLMS LÄN</t>
        </is>
      </c>
      <c r="E224" t="inlineStr">
        <is>
          <t>NORRTÄLJE</t>
        </is>
      </c>
      <c r="G224" t="n">
        <v>4.7</v>
      </c>
      <c r="H224" t="n">
        <v>0</v>
      </c>
      <c r="I224" t="n">
        <v>0</v>
      </c>
      <c r="J224" t="n">
        <v>0</v>
      </c>
      <c r="K224" t="n">
        <v>0</v>
      </c>
      <c r="L224" t="n">
        <v>0</v>
      </c>
      <c r="M224" t="n">
        <v>0</v>
      </c>
      <c r="N224" t="n">
        <v>0</v>
      </c>
      <c r="O224" t="n">
        <v>0</v>
      </c>
      <c r="P224" t="n">
        <v>0</v>
      </c>
      <c r="Q224" t="n">
        <v>0</v>
      </c>
      <c r="R224" s="2" t="inlineStr"/>
    </row>
    <row r="225" ht="15" customHeight="1">
      <c r="A225" t="inlineStr">
        <is>
          <t>A 18909-2019</t>
        </is>
      </c>
      <c r="B225" s="1" t="n">
        <v>43563</v>
      </c>
      <c r="C225" s="1" t="n">
        <v>45758</v>
      </c>
      <c r="D225" t="inlineStr">
        <is>
          <t>STOCKHOLMS LÄN</t>
        </is>
      </c>
      <c r="E225" t="inlineStr">
        <is>
          <t>NORRTÄLJE</t>
        </is>
      </c>
      <c r="G225" t="n">
        <v>2.9</v>
      </c>
      <c r="H225" t="n">
        <v>0</v>
      </c>
      <c r="I225" t="n">
        <v>0</v>
      </c>
      <c r="J225" t="n">
        <v>0</v>
      </c>
      <c r="K225" t="n">
        <v>0</v>
      </c>
      <c r="L225" t="n">
        <v>0</v>
      </c>
      <c r="M225" t="n">
        <v>0</v>
      </c>
      <c r="N225" t="n">
        <v>0</v>
      </c>
      <c r="O225" t="n">
        <v>0</v>
      </c>
      <c r="P225" t="n">
        <v>0</v>
      </c>
      <c r="Q225" t="n">
        <v>0</v>
      </c>
      <c r="R225" s="2" t="inlineStr"/>
    </row>
    <row r="226" ht="15" customHeight="1">
      <c r="A226" t="inlineStr">
        <is>
          <t>A 19026-2019</t>
        </is>
      </c>
      <c r="B226" s="1" t="n">
        <v>43563</v>
      </c>
      <c r="C226" s="1" t="n">
        <v>45758</v>
      </c>
      <c r="D226" t="inlineStr">
        <is>
          <t>STOCKHOLMS LÄN</t>
        </is>
      </c>
      <c r="E226" t="inlineStr">
        <is>
          <t>NORRTÄLJE</t>
        </is>
      </c>
      <c r="G226" t="n">
        <v>4.4</v>
      </c>
      <c r="H226" t="n">
        <v>0</v>
      </c>
      <c r="I226" t="n">
        <v>0</v>
      </c>
      <c r="J226" t="n">
        <v>0</v>
      </c>
      <c r="K226" t="n">
        <v>0</v>
      </c>
      <c r="L226" t="n">
        <v>0</v>
      </c>
      <c r="M226" t="n">
        <v>0</v>
      </c>
      <c r="N226" t="n">
        <v>0</v>
      </c>
      <c r="O226" t="n">
        <v>0</v>
      </c>
      <c r="P226" t="n">
        <v>0</v>
      </c>
      <c r="Q226" t="n">
        <v>0</v>
      </c>
      <c r="R226" s="2" t="inlineStr"/>
    </row>
    <row r="227" ht="15" customHeight="1">
      <c r="A227" t="inlineStr">
        <is>
          <t>A 19014-2019</t>
        </is>
      </c>
      <c r="B227" s="1" t="n">
        <v>43563</v>
      </c>
      <c r="C227" s="1" t="n">
        <v>45758</v>
      </c>
      <c r="D227" t="inlineStr">
        <is>
          <t>STOCKHOLMS LÄN</t>
        </is>
      </c>
      <c r="E227" t="inlineStr">
        <is>
          <t>NORRTÄLJE</t>
        </is>
      </c>
      <c r="G227" t="n">
        <v>2.2</v>
      </c>
      <c r="H227" t="n">
        <v>0</v>
      </c>
      <c r="I227" t="n">
        <v>0</v>
      </c>
      <c r="J227" t="n">
        <v>0</v>
      </c>
      <c r="K227" t="n">
        <v>0</v>
      </c>
      <c r="L227" t="n">
        <v>0</v>
      </c>
      <c r="M227" t="n">
        <v>0</v>
      </c>
      <c r="N227" t="n">
        <v>0</v>
      </c>
      <c r="O227" t="n">
        <v>0</v>
      </c>
      <c r="P227" t="n">
        <v>0</v>
      </c>
      <c r="Q227" t="n">
        <v>0</v>
      </c>
      <c r="R227" s="2" t="inlineStr"/>
    </row>
    <row r="228" ht="15" customHeight="1">
      <c r="A228" t="inlineStr">
        <is>
          <t>A 19247-2019</t>
        </is>
      </c>
      <c r="B228" s="1" t="n">
        <v>43564</v>
      </c>
      <c r="C228" s="1" t="n">
        <v>45758</v>
      </c>
      <c r="D228" t="inlineStr">
        <is>
          <t>STOCKHOLMS LÄN</t>
        </is>
      </c>
      <c r="E228" t="inlineStr">
        <is>
          <t>NORRTÄLJE</t>
        </is>
      </c>
      <c r="G228" t="n">
        <v>1.8</v>
      </c>
      <c r="H228" t="n">
        <v>0</v>
      </c>
      <c r="I228" t="n">
        <v>0</v>
      </c>
      <c r="J228" t="n">
        <v>0</v>
      </c>
      <c r="K228" t="n">
        <v>0</v>
      </c>
      <c r="L228" t="n">
        <v>0</v>
      </c>
      <c r="M228" t="n">
        <v>0</v>
      </c>
      <c r="N228" t="n">
        <v>0</v>
      </c>
      <c r="O228" t="n">
        <v>0</v>
      </c>
      <c r="P228" t="n">
        <v>0</v>
      </c>
      <c r="Q228" t="n">
        <v>0</v>
      </c>
      <c r="R228" s="2" t="inlineStr"/>
    </row>
    <row r="229" ht="15" customHeight="1">
      <c r="A229" t="inlineStr">
        <is>
          <t>A 19255-2019</t>
        </is>
      </c>
      <c r="B229" s="1" t="n">
        <v>43564</v>
      </c>
      <c r="C229" s="1" t="n">
        <v>45758</v>
      </c>
      <c r="D229" t="inlineStr">
        <is>
          <t>STOCKHOLMS LÄN</t>
        </is>
      </c>
      <c r="E229" t="inlineStr">
        <is>
          <t>NORRTÄLJE</t>
        </is>
      </c>
      <c r="G229" t="n">
        <v>2.6</v>
      </c>
      <c r="H229" t="n">
        <v>0</v>
      </c>
      <c r="I229" t="n">
        <v>0</v>
      </c>
      <c r="J229" t="n">
        <v>0</v>
      </c>
      <c r="K229" t="n">
        <v>0</v>
      </c>
      <c r="L229" t="n">
        <v>0</v>
      </c>
      <c r="M229" t="n">
        <v>0</v>
      </c>
      <c r="N229" t="n">
        <v>0</v>
      </c>
      <c r="O229" t="n">
        <v>0</v>
      </c>
      <c r="P229" t="n">
        <v>0</v>
      </c>
      <c r="Q229" t="n">
        <v>0</v>
      </c>
      <c r="R229" s="2" t="inlineStr"/>
    </row>
    <row r="230" ht="15" customHeight="1">
      <c r="A230" t="inlineStr">
        <is>
          <t>A 19302-2019</t>
        </is>
      </c>
      <c r="B230" s="1" t="n">
        <v>43565</v>
      </c>
      <c r="C230" s="1" t="n">
        <v>45758</v>
      </c>
      <c r="D230" t="inlineStr">
        <is>
          <t>STOCKHOLMS LÄN</t>
        </is>
      </c>
      <c r="E230" t="inlineStr">
        <is>
          <t>NORRTÄLJE</t>
        </is>
      </c>
      <c r="F230" t="inlineStr">
        <is>
          <t>Kommuner</t>
        </is>
      </c>
      <c r="G230" t="n">
        <v>4.2</v>
      </c>
      <c r="H230" t="n">
        <v>0</v>
      </c>
      <c r="I230" t="n">
        <v>0</v>
      </c>
      <c r="J230" t="n">
        <v>0</v>
      </c>
      <c r="K230" t="n">
        <v>0</v>
      </c>
      <c r="L230" t="n">
        <v>0</v>
      </c>
      <c r="M230" t="n">
        <v>0</v>
      </c>
      <c r="N230" t="n">
        <v>0</v>
      </c>
      <c r="O230" t="n">
        <v>0</v>
      </c>
      <c r="P230" t="n">
        <v>0</v>
      </c>
      <c r="Q230" t="n">
        <v>0</v>
      </c>
      <c r="R230" s="2" t="inlineStr"/>
    </row>
    <row r="231" ht="15" customHeight="1">
      <c r="A231" t="inlineStr">
        <is>
          <t>A 19301-2019</t>
        </is>
      </c>
      <c r="B231" s="1" t="n">
        <v>43565</v>
      </c>
      <c r="C231" s="1" t="n">
        <v>45758</v>
      </c>
      <c r="D231" t="inlineStr">
        <is>
          <t>STOCKHOLMS LÄN</t>
        </is>
      </c>
      <c r="E231" t="inlineStr">
        <is>
          <t>NORRTÄLJE</t>
        </is>
      </c>
      <c r="F231" t="inlineStr">
        <is>
          <t>Kommuner</t>
        </is>
      </c>
      <c r="G231" t="n">
        <v>3.9</v>
      </c>
      <c r="H231" t="n">
        <v>0</v>
      </c>
      <c r="I231" t="n">
        <v>0</v>
      </c>
      <c r="J231" t="n">
        <v>0</v>
      </c>
      <c r="K231" t="n">
        <v>0</v>
      </c>
      <c r="L231" t="n">
        <v>0</v>
      </c>
      <c r="M231" t="n">
        <v>0</v>
      </c>
      <c r="N231" t="n">
        <v>0</v>
      </c>
      <c r="O231" t="n">
        <v>0</v>
      </c>
      <c r="P231" t="n">
        <v>0</v>
      </c>
      <c r="Q231" t="n">
        <v>0</v>
      </c>
      <c r="R231" s="2" t="inlineStr"/>
    </row>
    <row r="232" ht="15" customHeight="1">
      <c r="A232" t="inlineStr">
        <is>
          <t>A 19297-2019</t>
        </is>
      </c>
      <c r="B232" s="1" t="n">
        <v>43565</v>
      </c>
      <c r="C232" s="1" t="n">
        <v>45758</v>
      </c>
      <c r="D232" t="inlineStr">
        <is>
          <t>STOCKHOLMS LÄN</t>
        </is>
      </c>
      <c r="E232" t="inlineStr">
        <is>
          <t>NORRTÄLJE</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19537-2019</t>
        </is>
      </c>
      <c r="B233" s="1" t="n">
        <v>43565</v>
      </c>
      <c r="C233" s="1" t="n">
        <v>45758</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19539-2019</t>
        </is>
      </c>
      <c r="B234" s="1" t="n">
        <v>43565</v>
      </c>
      <c r="C234" s="1" t="n">
        <v>45758</v>
      </c>
      <c r="D234" t="inlineStr">
        <is>
          <t>STOCKHOLMS LÄN</t>
        </is>
      </c>
      <c r="E234" t="inlineStr">
        <is>
          <t>NORRTÄLJE</t>
        </is>
      </c>
      <c r="G234" t="n">
        <v>2.4</v>
      </c>
      <c r="H234" t="n">
        <v>0</v>
      </c>
      <c r="I234" t="n">
        <v>0</v>
      </c>
      <c r="J234" t="n">
        <v>0</v>
      </c>
      <c r="K234" t="n">
        <v>0</v>
      </c>
      <c r="L234" t="n">
        <v>0</v>
      </c>
      <c r="M234" t="n">
        <v>0</v>
      </c>
      <c r="N234" t="n">
        <v>0</v>
      </c>
      <c r="O234" t="n">
        <v>0</v>
      </c>
      <c r="P234" t="n">
        <v>0</v>
      </c>
      <c r="Q234" t="n">
        <v>0</v>
      </c>
      <c r="R234" s="2" t="inlineStr"/>
    </row>
    <row r="235" ht="15" customHeight="1">
      <c r="A235" t="inlineStr">
        <is>
          <t>A 19540-2019</t>
        </is>
      </c>
      <c r="B235" s="1" t="n">
        <v>43565</v>
      </c>
      <c r="C235" s="1" t="n">
        <v>45758</v>
      </c>
      <c r="D235" t="inlineStr">
        <is>
          <t>STOCKHOLMS LÄN</t>
        </is>
      </c>
      <c r="E235" t="inlineStr">
        <is>
          <t>NORRTÄLJE</t>
        </is>
      </c>
      <c r="G235" t="n">
        <v>1.8</v>
      </c>
      <c r="H235" t="n">
        <v>0</v>
      </c>
      <c r="I235" t="n">
        <v>0</v>
      </c>
      <c r="J235" t="n">
        <v>0</v>
      </c>
      <c r="K235" t="n">
        <v>0</v>
      </c>
      <c r="L235" t="n">
        <v>0</v>
      </c>
      <c r="M235" t="n">
        <v>0</v>
      </c>
      <c r="N235" t="n">
        <v>0</v>
      </c>
      <c r="O235" t="n">
        <v>0</v>
      </c>
      <c r="P235" t="n">
        <v>0</v>
      </c>
      <c r="Q235" t="n">
        <v>0</v>
      </c>
      <c r="R235" s="2" t="inlineStr"/>
    </row>
    <row r="236" ht="15" customHeight="1">
      <c r="A236" t="inlineStr">
        <is>
          <t>A 19638-2019</t>
        </is>
      </c>
      <c r="B236" s="1" t="n">
        <v>43566</v>
      </c>
      <c r="C236" s="1" t="n">
        <v>45758</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19593-2019</t>
        </is>
      </c>
      <c r="B237" s="1" t="n">
        <v>43566</v>
      </c>
      <c r="C237" s="1" t="n">
        <v>45758</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19872-2019</t>
        </is>
      </c>
      <c r="B238" s="1" t="n">
        <v>43567</v>
      </c>
      <c r="C238" s="1" t="n">
        <v>45758</v>
      </c>
      <c r="D238" t="inlineStr">
        <is>
          <t>STOCKHOLMS LÄN</t>
        </is>
      </c>
      <c r="E238" t="inlineStr">
        <is>
          <t>NORRTÄLJE</t>
        </is>
      </c>
      <c r="G238" t="n">
        <v>1.8</v>
      </c>
      <c r="H238" t="n">
        <v>0</v>
      </c>
      <c r="I238" t="n">
        <v>0</v>
      </c>
      <c r="J238" t="n">
        <v>0</v>
      </c>
      <c r="K238" t="n">
        <v>0</v>
      </c>
      <c r="L238" t="n">
        <v>0</v>
      </c>
      <c r="M238" t="n">
        <v>0</v>
      </c>
      <c r="N238" t="n">
        <v>0</v>
      </c>
      <c r="O238" t="n">
        <v>0</v>
      </c>
      <c r="P238" t="n">
        <v>0</v>
      </c>
      <c r="Q238" t="n">
        <v>0</v>
      </c>
      <c r="R238" s="2" t="inlineStr"/>
    </row>
    <row r="239" ht="15" customHeight="1">
      <c r="A239" t="inlineStr">
        <is>
          <t>A 19811-2019</t>
        </is>
      </c>
      <c r="B239" s="1" t="n">
        <v>43567</v>
      </c>
      <c r="C239" s="1" t="n">
        <v>45758</v>
      </c>
      <c r="D239" t="inlineStr">
        <is>
          <t>STOCKHOLMS LÄN</t>
        </is>
      </c>
      <c r="E239" t="inlineStr">
        <is>
          <t>NORRTÄLJE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19812-2019</t>
        </is>
      </c>
      <c r="B240" s="1" t="n">
        <v>43567</v>
      </c>
      <c r="C240" s="1" t="n">
        <v>45758</v>
      </c>
      <c r="D240" t="inlineStr">
        <is>
          <t>STOCKHOLMS LÄN</t>
        </is>
      </c>
      <c r="E240" t="inlineStr">
        <is>
          <t>NORRTÄLJE</t>
        </is>
      </c>
      <c r="F240" t="inlineStr">
        <is>
          <t>Kommuner</t>
        </is>
      </c>
      <c r="G240" t="n">
        <v>1.5</v>
      </c>
      <c r="H240" t="n">
        <v>0</v>
      </c>
      <c r="I240" t="n">
        <v>0</v>
      </c>
      <c r="J240" t="n">
        <v>0</v>
      </c>
      <c r="K240" t="n">
        <v>0</v>
      </c>
      <c r="L240" t="n">
        <v>0</v>
      </c>
      <c r="M240" t="n">
        <v>0</v>
      </c>
      <c r="N240" t="n">
        <v>0</v>
      </c>
      <c r="O240" t="n">
        <v>0</v>
      </c>
      <c r="P240" t="n">
        <v>0</v>
      </c>
      <c r="Q240" t="n">
        <v>0</v>
      </c>
      <c r="R240" s="2" t="inlineStr"/>
    </row>
    <row r="241" ht="15" customHeight="1">
      <c r="A241" t="inlineStr">
        <is>
          <t>A 19931-2019</t>
        </is>
      </c>
      <c r="B241" s="1" t="n">
        <v>43568</v>
      </c>
      <c r="C241" s="1" t="n">
        <v>45758</v>
      </c>
      <c r="D241" t="inlineStr">
        <is>
          <t>STOCKHOLMS LÄN</t>
        </is>
      </c>
      <c r="E241" t="inlineStr">
        <is>
          <t>NORRTÄLJE</t>
        </is>
      </c>
      <c r="G241" t="n">
        <v>4.2</v>
      </c>
      <c r="H241" t="n">
        <v>0</v>
      </c>
      <c r="I241" t="n">
        <v>0</v>
      </c>
      <c r="J241" t="n">
        <v>0</v>
      </c>
      <c r="K241" t="n">
        <v>0</v>
      </c>
      <c r="L241" t="n">
        <v>0</v>
      </c>
      <c r="M241" t="n">
        <v>0</v>
      </c>
      <c r="N241" t="n">
        <v>0</v>
      </c>
      <c r="O241" t="n">
        <v>0</v>
      </c>
      <c r="P241" t="n">
        <v>0</v>
      </c>
      <c r="Q241" t="n">
        <v>0</v>
      </c>
      <c r="R241" s="2" t="inlineStr"/>
    </row>
    <row r="242" ht="15" customHeight="1">
      <c r="A242" t="inlineStr">
        <is>
          <t>A 20033-2019</t>
        </is>
      </c>
      <c r="B242" s="1" t="n">
        <v>43570</v>
      </c>
      <c r="C242" s="1" t="n">
        <v>45758</v>
      </c>
      <c r="D242" t="inlineStr">
        <is>
          <t>STOCKHOLMS LÄN</t>
        </is>
      </c>
      <c r="E242" t="inlineStr">
        <is>
          <t>NORRTÄLJE</t>
        </is>
      </c>
      <c r="G242" t="n">
        <v>1.3</v>
      </c>
      <c r="H242" t="n">
        <v>0</v>
      </c>
      <c r="I242" t="n">
        <v>0</v>
      </c>
      <c r="J242" t="n">
        <v>0</v>
      </c>
      <c r="K242" t="n">
        <v>0</v>
      </c>
      <c r="L242" t="n">
        <v>0</v>
      </c>
      <c r="M242" t="n">
        <v>0</v>
      </c>
      <c r="N242" t="n">
        <v>0</v>
      </c>
      <c r="O242" t="n">
        <v>0</v>
      </c>
      <c r="P242" t="n">
        <v>0</v>
      </c>
      <c r="Q242" t="n">
        <v>0</v>
      </c>
      <c r="R242" s="2" t="inlineStr"/>
    </row>
    <row r="243" ht="15" customHeight="1">
      <c r="A243" t="inlineStr">
        <is>
          <t>A 20020-2019</t>
        </is>
      </c>
      <c r="B243" s="1" t="n">
        <v>43570</v>
      </c>
      <c r="C243" s="1" t="n">
        <v>45758</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20051-2019</t>
        </is>
      </c>
      <c r="B244" s="1" t="n">
        <v>43570</v>
      </c>
      <c r="C244" s="1" t="n">
        <v>45758</v>
      </c>
      <c r="D244" t="inlineStr">
        <is>
          <t>STOCKHOLMS LÄN</t>
        </is>
      </c>
      <c r="E244" t="inlineStr">
        <is>
          <t>NORRTÄLJE</t>
        </is>
      </c>
      <c r="G244" t="n">
        <v>1.4</v>
      </c>
      <c r="H244" t="n">
        <v>0</v>
      </c>
      <c r="I244" t="n">
        <v>0</v>
      </c>
      <c r="J244" t="n">
        <v>0</v>
      </c>
      <c r="K244" t="n">
        <v>0</v>
      </c>
      <c r="L244" t="n">
        <v>0</v>
      </c>
      <c r="M244" t="n">
        <v>0</v>
      </c>
      <c r="N244" t="n">
        <v>0</v>
      </c>
      <c r="O244" t="n">
        <v>0</v>
      </c>
      <c r="P244" t="n">
        <v>0</v>
      </c>
      <c r="Q244" t="n">
        <v>0</v>
      </c>
      <c r="R244" s="2" t="inlineStr"/>
    </row>
    <row r="245" ht="15" customHeight="1">
      <c r="A245" t="inlineStr">
        <is>
          <t>A 20137-2019</t>
        </is>
      </c>
      <c r="B245" s="1" t="n">
        <v>43570</v>
      </c>
      <c r="C245" s="1" t="n">
        <v>45758</v>
      </c>
      <c r="D245" t="inlineStr">
        <is>
          <t>STOCKHOLMS LÄN</t>
        </is>
      </c>
      <c r="E245" t="inlineStr">
        <is>
          <t>NORRTÄLJE</t>
        </is>
      </c>
      <c r="G245" t="n">
        <v>3</v>
      </c>
      <c r="H245" t="n">
        <v>0</v>
      </c>
      <c r="I245" t="n">
        <v>0</v>
      </c>
      <c r="J245" t="n">
        <v>0</v>
      </c>
      <c r="K245" t="n">
        <v>0</v>
      </c>
      <c r="L245" t="n">
        <v>0</v>
      </c>
      <c r="M245" t="n">
        <v>0</v>
      </c>
      <c r="N245" t="n">
        <v>0</v>
      </c>
      <c r="O245" t="n">
        <v>0</v>
      </c>
      <c r="P245" t="n">
        <v>0</v>
      </c>
      <c r="Q245" t="n">
        <v>0</v>
      </c>
      <c r="R245" s="2" t="inlineStr"/>
    </row>
    <row r="246" ht="15" customHeight="1">
      <c r="A246" t="inlineStr">
        <is>
          <t>A 20007-2019</t>
        </is>
      </c>
      <c r="B246" s="1" t="n">
        <v>43570</v>
      </c>
      <c r="C246" s="1" t="n">
        <v>45758</v>
      </c>
      <c r="D246" t="inlineStr">
        <is>
          <t>STOCKHOLMS LÄN</t>
        </is>
      </c>
      <c r="E246" t="inlineStr">
        <is>
          <t>NORRTÄLJE</t>
        </is>
      </c>
      <c r="G246" t="n">
        <v>1</v>
      </c>
      <c r="H246" t="n">
        <v>0</v>
      </c>
      <c r="I246" t="n">
        <v>0</v>
      </c>
      <c r="J246" t="n">
        <v>0</v>
      </c>
      <c r="K246" t="n">
        <v>0</v>
      </c>
      <c r="L246" t="n">
        <v>0</v>
      </c>
      <c r="M246" t="n">
        <v>0</v>
      </c>
      <c r="N246" t="n">
        <v>0</v>
      </c>
      <c r="O246" t="n">
        <v>0</v>
      </c>
      <c r="P246" t="n">
        <v>0</v>
      </c>
      <c r="Q246" t="n">
        <v>0</v>
      </c>
      <c r="R246" s="2" t="inlineStr"/>
    </row>
    <row r="247" ht="15" customHeight="1">
      <c r="A247" t="inlineStr">
        <is>
          <t>A 20052-2019</t>
        </is>
      </c>
      <c r="B247" s="1" t="n">
        <v>43570</v>
      </c>
      <c r="C247" s="1" t="n">
        <v>45758</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20159-2019</t>
        </is>
      </c>
      <c r="B248" s="1" t="n">
        <v>43570</v>
      </c>
      <c r="C248" s="1" t="n">
        <v>45758</v>
      </c>
      <c r="D248" t="inlineStr">
        <is>
          <t>STOCKHOLMS LÄN</t>
        </is>
      </c>
      <c r="E248" t="inlineStr">
        <is>
          <t>NORRTÄLJE</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20181-2019</t>
        </is>
      </c>
      <c r="B249" s="1" t="n">
        <v>43570</v>
      </c>
      <c r="C249" s="1" t="n">
        <v>45758</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20184-2019</t>
        </is>
      </c>
      <c r="B250" s="1" t="n">
        <v>43570</v>
      </c>
      <c r="C250" s="1" t="n">
        <v>45758</v>
      </c>
      <c r="D250" t="inlineStr">
        <is>
          <t>STOCKHOLMS LÄN</t>
        </is>
      </c>
      <c r="E250" t="inlineStr">
        <is>
          <t>NORRTÄLJE</t>
        </is>
      </c>
      <c r="G250" t="n">
        <v>2.8</v>
      </c>
      <c r="H250" t="n">
        <v>0</v>
      </c>
      <c r="I250" t="n">
        <v>0</v>
      </c>
      <c r="J250" t="n">
        <v>0</v>
      </c>
      <c r="K250" t="n">
        <v>0</v>
      </c>
      <c r="L250" t="n">
        <v>0</v>
      </c>
      <c r="M250" t="n">
        <v>0</v>
      </c>
      <c r="N250" t="n">
        <v>0</v>
      </c>
      <c r="O250" t="n">
        <v>0</v>
      </c>
      <c r="P250" t="n">
        <v>0</v>
      </c>
      <c r="Q250" t="n">
        <v>0</v>
      </c>
      <c r="R250" s="2" t="inlineStr"/>
    </row>
    <row r="251" ht="15" customHeight="1">
      <c r="A251" t="inlineStr">
        <is>
          <t>A 20193-2019</t>
        </is>
      </c>
      <c r="B251" s="1" t="n">
        <v>43570</v>
      </c>
      <c r="C251" s="1" t="n">
        <v>45758</v>
      </c>
      <c r="D251" t="inlineStr">
        <is>
          <t>STOCKHOLMS LÄN</t>
        </is>
      </c>
      <c r="E251" t="inlineStr">
        <is>
          <t>NORRTÄLJE</t>
        </is>
      </c>
      <c r="G251" t="n">
        <v>1.7</v>
      </c>
      <c r="H251" t="n">
        <v>0</v>
      </c>
      <c r="I251" t="n">
        <v>0</v>
      </c>
      <c r="J251" t="n">
        <v>0</v>
      </c>
      <c r="K251" t="n">
        <v>0</v>
      </c>
      <c r="L251" t="n">
        <v>0</v>
      </c>
      <c r="M251" t="n">
        <v>0</v>
      </c>
      <c r="N251" t="n">
        <v>0</v>
      </c>
      <c r="O251" t="n">
        <v>0</v>
      </c>
      <c r="P251" t="n">
        <v>0</v>
      </c>
      <c r="Q251" t="n">
        <v>0</v>
      </c>
      <c r="R251" s="2" t="inlineStr"/>
    </row>
    <row r="252" ht="15" customHeight="1">
      <c r="A252" t="inlineStr">
        <is>
          <t>A 20090-2019</t>
        </is>
      </c>
      <c r="B252" s="1" t="n">
        <v>43570</v>
      </c>
      <c r="C252" s="1" t="n">
        <v>45758</v>
      </c>
      <c r="D252" t="inlineStr">
        <is>
          <t>STOCKHOLMS LÄN</t>
        </is>
      </c>
      <c r="E252" t="inlineStr">
        <is>
          <t>NORRTÄLJE</t>
        </is>
      </c>
      <c r="F252" t="inlineStr">
        <is>
          <t>Kommuner</t>
        </is>
      </c>
      <c r="G252" t="n">
        <v>1.3</v>
      </c>
      <c r="H252" t="n">
        <v>0</v>
      </c>
      <c r="I252" t="n">
        <v>0</v>
      </c>
      <c r="J252" t="n">
        <v>0</v>
      </c>
      <c r="K252" t="n">
        <v>0</v>
      </c>
      <c r="L252" t="n">
        <v>0</v>
      </c>
      <c r="M252" t="n">
        <v>0</v>
      </c>
      <c r="N252" t="n">
        <v>0</v>
      </c>
      <c r="O252" t="n">
        <v>0</v>
      </c>
      <c r="P252" t="n">
        <v>0</v>
      </c>
      <c r="Q252" t="n">
        <v>0</v>
      </c>
      <c r="R252" s="2" t="inlineStr"/>
    </row>
    <row r="253" ht="15" customHeight="1">
      <c r="A253" t="inlineStr">
        <is>
          <t>A 20165-2019</t>
        </is>
      </c>
      <c r="B253" s="1" t="n">
        <v>43570</v>
      </c>
      <c r="C253" s="1" t="n">
        <v>45758</v>
      </c>
      <c r="D253" t="inlineStr">
        <is>
          <t>STOCKHOLMS LÄN</t>
        </is>
      </c>
      <c r="E253" t="inlineStr">
        <is>
          <t>NORRTÄLJE</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20023-2019</t>
        </is>
      </c>
      <c r="B254" s="1" t="n">
        <v>43570</v>
      </c>
      <c r="C254" s="1" t="n">
        <v>45758</v>
      </c>
      <c r="D254" t="inlineStr">
        <is>
          <t>STOCKHOLMS LÄN</t>
        </is>
      </c>
      <c r="E254" t="inlineStr">
        <is>
          <t>NORRTÄLJE</t>
        </is>
      </c>
      <c r="G254" t="n">
        <v>5.1</v>
      </c>
      <c r="H254" t="n">
        <v>0</v>
      </c>
      <c r="I254" t="n">
        <v>0</v>
      </c>
      <c r="J254" t="n">
        <v>0</v>
      </c>
      <c r="K254" t="n">
        <v>0</v>
      </c>
      <c r="L254" t="n">
        <v>0</v>
      </c>
      <c r="M254" t="n">
        <v>0</v>
      </c>
      <c r="N254" t="n">
        <v>0</v>
      </c>
      <c r="O254" t="n">
        <v>0</v>
      </c>
      <c r="P254" t="n">
        <v>0</v>
      </c>
      <c r="Q254" t="n">
        <v>0</v>
      </c>
      <c r="R254" s="2" t="inlineStr"/>
    </row>
    <row r="255" ht="15" customHeight="1">
      <c r="A255" t="inlineStr">
        <is>
          <t>A 20531-2019</t>
        </is>
      </c>
      <c r="B255" s="1" t="n">
        <v>43572</v>
      </c>
      <c r="C255" s="1" t="n">
        <v>45758</v>
      </c>
      <c r="D255" t="inlineStr">
        <is>
          <t>STOCKHOLMS LÄN</t>
        </is>
      </c>
      <c r="E255" t="inlineStr">
        <is>
          <t>NORRTÄLJE</t>
        </is>
      </c>
      <c r="G255" t="n">
        <v>2</v>
      </c>
      <c r="H255" t="n">
        <v>0</v>
      </c>
      <c r="I255" t="n">
        <v>0</v>
      </c>
      <c r="J255" t="n">
        <v>0</v>
      </c>
      <c r="K255" t="n">
        <v>0</v>
      </c>
      <c r="L255" t="n">
        <v>0</v>
      </c>
      <c r="M255" t="n">
        <v>0</v>
      </c>
      <c r="N255" t="n">
        <v>0</v>
      </c>
      <c r="O255" t="n">
        <v>0</v>
      </c>
      <c r="P255" t="n">
        <v>0</v>
      </c>
      <c r="Q255" t="n">
        <v>0</v>
      </c>
      <c r="R255" s="2" t="inlineStr"/>
    </row>
    <row r="256" ht="15" customHeight="1">
      <c r="A256" t="inlineStr">
        <is>
          <t>A 20743-2019</t>
        </is>
      </c>
      <c r="B256" s="1" t="n">
        <v>43573</v>
      </c>
      <c r="C256" s="1" t="n">
        <v>45758</v>
      </c>
      <c r="D256" t="inlineStr">
        <is>
          <t>STOCKHOLMS LÄN</t>
        </is>
      </c>
      <c r="E256" t="inlineStr">
        <is>
          <t>NORRTÄLJE</t>
        </is>
      </c>
      <c r="G256" t="n">
        <v>2.2</v>
      </c>
      <c r="H256" t="n">
        <v>0</v>
      </c>
      <c r="I256" t="n">
        <v>0</v>
      </c>
      <c r="J256" t="n">
        <v>0</v>
      </c>
      <c r="K256" t="n">
        <v>0</v>
      </c>
      <c r="L256" t="n">
        <v>0</v>
      </c>
      <c r="M256" t="n">
        <v>0</v>
      </c>
      <c r="N256" t="n">
        <v>0</v>
      </c>
      <c r="O256" t="n">
        <v>0</v>
      </c>
      <c r="P256" t="n">
        <v>0</v>
      </c>
      <c r="Q256" t="n">
        <v>0</v>
      </c>
      <c r="R256" s="2" t="inlineStr"/>
    </row>
    <row r="257" ht="15" customHeight="1">
      <c r="A257" t="inlineStr">
        <is>
          <t>A 20809-2019</t>
        </is>
      </c>
      <c r="B257" s="1" t="n">
        <v>43573</v>
      </c>
      <c r="C257" s="1" t="n">
        <v>45758</v>
      </c>
      <c r="D257" t="inlineStr">
        <is>
          <t>STOCKHOLMS LÄN</t>
        </is>
      </c>
      <c r="E257" t="inlineStr">
        <is>
          <t>NORRTÄLJE</t>
        </is>
      </c>
      <c r="F257" t="inlineStr">
        <is>
          <t>Kommuner</t>
        </is>
      </c>
      <c r="G257" t="n">
        <v>2.2</v>
      </c>
      <c r="H257" t="n">
        <v>0</v>
      </c>
      <c r="I257" t="n">
        <v>0</v>
      </c>
      <c r="J257" t="n">
        <v>0</v>
      </c>
      <c r="K257" t="n">
        <v>0</v>
      </c>
      <c r="L257" t="n">
        <v>0</v>
      </c>
      <c r="M257" t="n">
        <v>0</v>
      </c>
      <c r="N257" t="n">
        <v>0</v>
      </c>
      <c r="O257" t="n">
        <v>0</v>
      </c>
      <c r="P257" t="n">
        <v>0</v>
      </c>
      <c r="Q257" t="n">
        <v>0</v>
      </c>
      <c r="R257" s="2" t="inlineStr"/>
    </row>
    <row r="258" ht="15" customHeight="1">
      <c r="A258" t="inlineStr">
        <is>
          <t>A 20925-2019</t>
        </is>
      </c>
      <c r="B258" s="1" t="n">
        <v>43578</v>
      </c>
      <c r="C258" s="1" t="n">
        <v>45758</v>
      </c>
      <c r="D258" t="inlineStr">
        <is>
          <t>STOCKHOLMS LÄN</t>
        </is>
      </c>
      <c r="E258" t="inlineStr">
        <is>
          <t>NORRTÄLJE</t>
        </is>
      </c>
      <c r="G258" t="n">
        <v>5</v>
      </c>
      <c r="H258" t="n">
        <v>0</v>
      </c>
      <c r="I258" t="n">
        <v>0</v>
      </c>
      <c r="J258" t="n">
        <v>0</v>
      </c>
      <c r="K258" t="n">
        <v>0</v>
      </c>
      <c r="L258" t="n">
        <v>0</v>
      </c>
      <c r="M258" t="n">
        <v>0</v>
      </c>
      <c r="N258" t="n">
        <v>0</v>
      </c>
      <c r="O258" t="n">
        <v>0</v>
      </c>
      <c r="P258" t="n">
        <v>0</v>
      </c>
      <c r="Q258" t="n">
        <v>0</v>
      </c>
      <c r="R258" s="2" t="inlineStr"/>
    </row>
    <row r="259" ht="15" customHeight="1">
      <c r="A259" t="inlineStr">
        <is>
          <t>A 21062-2019</t>
        </is>
      </c>
      <c r="B259" s="1" t="n">
        <v>43578</v>
      </c>
      <c r="C259" s="1" t="n">
        <v>45758</v>
      </c>
      <c r="D259" t="inlineStr">
        <is>
          <t>STOCKHOLMS LÄN</t>
        </is>
      </c>
      <c r="E259" t="inlineStr">
        <is>
          <t>NORRTÄLJE</t>
        </is>
      </c>
      <c r="G259" t="n">
        <v>2.7</v>
      </c>
      <c r="H259" t="n">
        <v>0</v>
      </c>
      <c r="I259" t="n">
        <v>0</v>
      </c>
      <c r="J259" t="n">
        <v>0</v>
      </c>
      <c r="K259" t="n">
        <v>0</v>
      </c>
      <c r="L259" t="n">
        <v>0</v>
      </c>
      <c r="M259" t="n">
        <v>0</v>
      </c>
      <c r="N259" t="n">
        <v>0</v>
      </c>
      <c r="O259" t="n">
        <v>0</v>
      </c>
      <c r="P259" t="n">
        <v>0</v>
      </c>
      <c r="Q259" t="n">
        <v>0</v>
      </c>
      <c r="R259" s="2" t="inlineStr"/>
    </row>
    <row r="260" ht="15" customHeight="1">
      <c r="A260" t="inlineStr">
        <is>
          <t>A 21441-2019</t>
        </is>
      </c>
      <c r="B260" s="1" t="n">
        <v>43580</v>
      </c>
      <c r="C260" s="1" t="n">
        <v>45758</v>
      </c>
      <c r="D260" t="inlineStr">
        <is>
          <t>STOCKHOLMS LÄN</t>
        </is>
      </c>
      <c r="E260" t="inlineStr">
        <is>
          <t>NORRTÄLJE</t>
        </is>
      </c>
      <c r="G260" t="n">
        <v>0.7</v>
      </c>
      <c r="H260" t="n">
        <v>0</v>
      </c>
      <c r="I260" t="n">
        <v>0</v>
      </c>
      <c r="J260" t="n">
        <v>0</v>
      </c>
      <c r="K260" t="n">
        <v>0</v>
      </c>
      <c r="L260" t="n">
        <v>0</v>
      </c>
      <c r="M260" t="n">
        <v>0</v>
      </c>
      <c r="N260" t="n">
        <v>0</v>
      </c>
      <c r="O260" t="n">
        <v>0</v>
      </c>
      <c r="P260" t="n">
        <v>0</v>
      </c>
      <c r="Q260" t="n">
        <v>0</v>
      </c>
      <c r="R260" s="2" t="inlineStr"/>
    </row>
    <row r="261" ht="15" customHeight="1">
      <c r="A261" t="inlineStr">
        <is>
          <t>A 21521-2019</t>
        </is>
      </c>
      <c r="B261" s="1" t="n">
        <v>43580</v>
      </c>
      <c r="C261" s="1" t="n">
        <v>45758</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21508-2019</t>
        </is>
      </c>
      <c r="B262" s="1" t="n">
        <v>43580</v>
      </c>
      <c r="C262" s="1" t="n">
        <v>45758</v>
      </c>
      <c r="D262" t="inlineStr">
        <is>
          <t>STOCKHOLMS LÄN</t>
        </is>
      </c>
      <c r="E262" t="inlineStr">
        <is>
          <t>NORRTÄLJE</t>
        </is>
      </c>
      <c r="G262" t="n">
        <v>1.2</v>
      </c>
      <c r="H262" t="n">
        <v>0</v>
      </c>
      <c r="I262" t="n">
        <v>0</v>
      </c>
      <c r="J262" t="n">
        <v>0</v>
      </c>
      <c r="K262" t="n">
        <v>0</v>
      </c>
      <c r="L262" t="n">
        <v>0</v>
      </c>
      <c r="M262" t="n">
        <v>0</v>
      </c>
      <c r="N262" t="n">
        <v>0</v>
      </c>
      <c r="O262" t="n">
        <v>0</v>
      </c>
      <c r="P262" t="n">
        <v>0</v>
      </c>
      <c r="Q262" t="n">
        <v>0</v>
      </c>
      <c r="R262" s="2" t="inlineStr"/>
    </row>
    <row r="263" ht="15" customHeight="1">
      <c r="A263" t="inlineStr">
        <is>
          <t>A 21457-2019</t>
        </is>
      </c>
      <c r="B263" s="1" t="n">
        <v>43580</v>
      </c>
      <c r="C263" s="1" t="n">
        <v>45758</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21501-2019</t>
        </is>
      </c>
      <c r="B264" s="1" t="n">
        <v>43580</v>
      </c>
      <c r="C264" s="1" t="n">
        <v>45758</v>
      </c>
      <c r="D264" t="inlineStr">
        <is>
          <t>STOCKHOLMS LÄN</t>
        </is>
      </c>
      <c r="E264" t="inlineStr">
        <is>
          <t>NORRTÄLJE</t>
        </is>
      </c>
      <c r="G264" t="n">
        <v>3.6</v>
      </c>
      <c r="H264" t="n">
        <v>0</v>
      </c>
      <c r="I264" t="n">
        <v>0</v>
      </c>
      <c r="J264" t="n">
        <v>0</v>
      </c>
      <c r="K264" t="n">
        <v>0</v>
      </c>
      <c r="L264" t="n">
        <v>0</v>
      </c>
      <c r="M264" t="n">
        <v>0</v>
      </c>
      <c r="N264" t="n">
        <v>0</v>
      </c>
      <c r="O264" t="n">
        <v>0</v>
      </c>
      <c r="P264" t="n">
        <v>0</v>
      </c>
      <c r="Q264" t="n">
        <v>0</v>
      </c>
      <c r="R264" s="2" t="inlineStr"/>
    </row>
    <row r="265" ht="15" customHeight="1">
      <c r="A265" t="inlineStr">
        <is>
          <t>A 21616-2019</t>
        </is>
      </c>
      <c r="B265" s="1" t="n">
        <v>43581</v>
      </c>
      <c r="C265" s="1" t="n">
        <v>45758</v>
      </c>
      <c r="D265" t="inlineStr">
        <is>
          <t>STOCKHOLMS LÄN</t>
        </is>
      </c>
      <c r="E265" t="inlineStr">
        <is>
          <t>NORRTÄLJE</t>
        </is>
      </c>
      <c r="G265" t="n">
        <v>5.3</v>
      </c>
      <c r="H265" t="n">
        <v>0</v>
      </c>
      <c r="I265" t="n">
        <v>0</v>
      </c>
      <c r="J265" t="n">
        <v>0</v>
      </c>
      <c r="K265" t="n">
        <v>0</v>
      </c>
      <c r="L265" t="n">
        <v>0</v>
      </c>
      <c r="M265" t="n">
        <v>0</v>
      </c>
      <c r="N265" t="n">
        <v>0</v>
      </c>
      <c r="O265" t="n">
        <v>0</v>
      </c>
      <c r="P265" t="n">
        <v>0</v>
      </c>
      <c r="Q265" t="n">
        <v>0</v>
      </c>
      <c r="R265" s="2" t="inlineStr"/>
    </row>
    <row r="266" ht="15" customHeight="1">
      <c r="A266" t="inlineStr">
        <is>
          <t>A 21662-2019</t>
        </is>
      </c>
      <c r="B266" s="1" t="n">
        <v>43581</v>
      </c>
      <c r="C266" s="1" t="n">
        <v>45758</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21720-2019</t>
        </is>
      </c>
      <c r="B267" s="1" t="n">
        <v>43581</v>
      </c>
      <c r="C267" s="1" t="n">
        <v>45758</v>
      </c>
      <c r="D267" t="inlineStr">
        <is>
          <t>STOCKHOLMS LÄN</t>
        </is>
      </c>
      <c r="E267" t="inlineStr">
        <is>
          <t>NORRTÄLJE</t>
        </is>
      </c>
      <c r="F267" t="inlineStr">
        <is>
          <t>Kommuner</t>
        </is>
      </c>
      <c r="G267" t="n">
        <v>1.5</v>
      </c>
      <c r="H267" t="n">
        <v>0</v>
      </c>
      <c r="I267" t="n">
        <v>0</v>
      </c>
      <c r="J267" t="n">
        <v>0</v>
      </c>
      <c r="K267" t="n">
        <v>0</v>
      </c>
      <c r="L267" t="n">
        <v>0</v>
      </c>
      <c r="M267" t="n">
        <v>0</v>
      </c>
      <c r="N267" t="n">
        <v>0</v>
      </c>
      <c r="O267" t="n">
        <v>0</v>
      </c>
      <c r="P267" t="n">
        <v>0</v>
      </c>
      <c r="Q267" t="n">
        <v>0</v>
      </c>
      <c r="R267" s="2" t="inlineStr"/>
    </row>
    <row r="268" ht="15" customHeight="1">
      <c r="A268" t="inlineStr">
        <is>
          <t>A 21692-2019</t>
        </is>
      </c>
      <c r="B268" s="1" t="n">
        <v>43581</v>
      </c>
      <c r="C268" s="1" t="n">
        <v>45758</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21811-2019</t>
        </is>
      </c>
      <c r="B269" s="1" t="n">
        <v>43582</v>
      </c>
      <c r="C269" s="1" t="n">
        <v>45758</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22207-2019</t>
        </is>
      </c>
      <c r="B270" s="1" t="n">
        <v>43585</v>
      </c>
      <c r="C270" s="1" t="n">
        <v>45758</v>
      </c>
      <c r="D270" t="inlineStr">
        <is>
          <t>STOCKHOLMS LÄN</t>
        </is>
      </c>
      <c r="E270" t="inlineStr">
        <is>
          <t>NORRTÄLJE</t>
        </is>
      </c>
      <c r="G270" t="n">
        <v>0.8</v>
      </c>
      <c r="H270" t="n">
        <v>0</v>
      </c>
      <c r="I270" t="n">
        <v>0</v>
      </c>
      <c r="J270" t="n">
        <v>0</v>
      </c>
      <c r="K270" t="n">
        <v>0</v>
      </c>
      <c r="L270" t="n">
        <v>0</v>
      </c>
      <c r="M270" t="n">
        <v>0</v>
      </c>
      <c r="N270" t="n">
        <v>0</v>
      </c>
      <c r="O270" t="n">
        <v>0</v>
      </c>
      <c r="P270" t="n">
        <v>0</v>
      </c>
      <c r="Q270" t="n">
        <v>0</v>
      </c>
      <c r="R270" s="2" t="inlineStr"/>
    </row>
    <row r="271" ht="15" customHeight="1">
      <c r="A271" t="inlineStr">
        <is>
          <t>A 22211-2019</t>
        </is>
      </c>
      <c r="B271" s="1" t="n">
        <v>43585</v>
      </c>
      <c r="C271" s="1" t="n">
        <v>45758</v>
      </c>
      <c r="D271" t="inlineStr">
        <is>
          <t>STOCKHOLMS LÄN</t>
        </is>
      </c>
      <c r="E271" t="inlineStr">
        <is>
          <t>NORRTÄLJE</t>
        </is>
      </c>
      <c r="G271" t="n">
        <v>6.8</v>
      </c>
      <c r="H271" t="n">
        <v>0</v>
      </c>
      <c r="I271" t="n">
        <v>0</v>
      </c>
      <c r="J271" t="n">
        <v>0</v>
      </c>
      <c r="K271" t="n">
        <v>0</v>
      </c>
      <c r="L271" t="n">
        <v>0</v>
      </c>
      <c r="M271" t="n">
        <v>0</v>
      </c>
      <c r="N271" t="n">
        <v>0</v>
      </c>
      <c r="O271" t="n">
        <v>0</v>
      </c>
      <c r="P271" t="n">
        <v>0</v>
      </c>
      <c r="Q271" t="n">
        <v>0</v>
      </c>
      <c r="R271" s="2" t="inlineStr"/>
    </row>
    <row r="272" ht="15" customHeight="1">
      <c r="A272" t="inlineStr">
        <is>
          <t>A 22254-2019</t>
        </is>
      </c>
      <c r="B272" s="1" t="n">
        <v>43585</v>
      </c>
      <c r="C272" s="1" t="n">
        <v>45758</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22218-2019</t>
        </is>
      </c>
      <c r="B273" s="1" t="n">
        <v>43585</v>
      </c>
      <c r="C273" s="1" t="n">
        <v>45758</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22331-2019</t>
        </is>
      </c>
      <c r="B274" s="1" t="n">
        <v>43586</v>
      </c>
      <c r="C274" s="1" t="n">
        <v>45758</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22359-2019</t>
        </is>
      </c>
      <c r="B275" s="1" t="n">
        <v>43587</v>
      </c>
      <c r="C275" s="1" t="n">
        <v>45758</v>
      </c>
      <c r="D275" t="inlineStr">
        <is>
          <t>STOCKHOLMS LÄN</t>
        </is>
      </c>
      <c r="E275" t="inlineStr">
        <is>
          <t>NORRTÄLJE</t>
        </is>
      </c>
      <c r="G275" t="n">
        <v>1.1</v>
      </c>
      <c r="H275" t="n">
        <v>0</v>
      </c>
      <c r="I275" t="n">
        <v>0</v>
      </c>
      <c r="J275" t="n">
        <v>0</v>
      </c>
      <c r="K275" t="n">
        <v>0</v>
      </c>
      <c r="L275" t="n">
        <v>0</v>
      </c>
      <c r="M275" t="n">
        <v>0</v>
      </c>
      <c r="N275" t="n">
        <v>0</v>
      </c>
      <c r="O275" t="n">
        <v>0</v>
      </c>
      <c r="P275" t="n">
        <v>0</v>
      </c>
      <c r="Q275" t="n">
        <v>0</v>
      </c>
      <c r="R275" s="2" t="inlineStr"/>
    </row>
    <row r="276" ht="15" customHeight="1">
      <c r="A276" t="inlineStr">
        <is>
          <t>A 22422-2019</t>
        </is>
      </c>
      <c r="B276" s="1" t="n">
        <v>43587</v>
      </c>
      <c r="C276" s="1" t="n">
        <v>45758</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22490-2019</t>
        </is>
      </c>
      <c r="B277" s="1" t="n">
        <v>43587</v>
      </c>
      <c r="C277" s="1" t="n">
        <v>45758</v>
      </c>
      <c r="D277" t="inlineStr">
        <is>
          <t>STOCKHOLMS LÄN</t>
        </is>
      </c>
      <c r="E277" t="inlineStr">
        <is>
          <t>NORRTÄLJE</t>
        </is>
      </c>
      <c r="G277" t="n">
        <v>1.4</v>
      </c>
      <c r="H277" t="n">
        <v>0</v>
      </c>
      <c r="I277" t="n">
        <v>0</v>
      </c>
      <c r="J277" t="n">
        <v>0</v>
      </c>
      <c r="K277" t="n">
        <v>0</v>
      </c>
      <c r="L277" t="n">
        <v>0</v>
      </c>
      <c r="M277" t="n">
        <v>0</v>
      </c>
      <c r="N277" t="n">
        <v>0</v>
      </c>
      <c r="O277" t="n">
        <v>0</v>
      </c>
      <c r="P277" t="n">
        <v>0</v>
      </c>
      <c r="Q277" t="n">
        <v>0</v>
      </c>
      <c r="R277" s="2" t="inlineStr"/>
    </row>
    <row r="278" ht="15" customHeight="1">
      <c r="A278" t="inlineStr">
        <is>
          <t>A 22496-2019</t>
        </is>
      </c>
      <c r="B278" s="1" t="n">
        <v>43587</v>
      </c>
      <c r="C278" s="1" t="n">
        <v>45758</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23711-2019</t>
        </is>
      </c>
      <c r="B279" s="1" t="n">
        <v>43594</v>
      </c>
      <c r="C279" s="1" t="n">
        <v>45758</v>
      </c>
      <c r="D279" t="inlineStr">
        <is>
          <t>STOCKHOLMS LÄN</t>
        </is>
      </c>
      <c r="E279" t="inlineStr">
        <is>
          <t>NORRTÄLJE</t>
        </is>
      </c>
      <c r="G279" t="n">
        <v>2.6</v>
      </c>
      <c r="H279" t="n">
        <v>0</v>
      </c>
      <c r="I279" t="n">
        <v>0</v>
      </c>
      <c r="J279" t="n">
        <v>0</v>
      </c>
      <c r="K279" t="n">
        <v>0</v>
      </c>
      <c r="L279" t="n">
        <v>0</v>
      </c>
      <c r="M279" t="n">
        <v>0</v>
      </c>
      <c r="N279" t="n">
        <v>0</v>
      </c>
      <c r="O279" t="n">
        <v>0</v>
      </c>
      <c r="P279" t="n">
        <v>0</v>
      </c>
      <c r="Q279" t="n">
        <v>0</v>
      </c>
      <c r="R279" s="2" t="inlineStr"/>
    </row>
    <row r="280" ht="15" customHeight="1">
      <c r="A280" t="inlineStr">
        <is>
          <t>A 23710-2019</t>
        </is>
      </c>
      <c r="B280" s="1" t="n">
        <v>43594</v>
      </c>
      <c r="C280" s="1" t="n">
        <v>45758</v>
      </c>
      <c r="D280" t="inlineStr">
        <is>
          <t>STOCKHOLMS LÄN</t>
        </is>
      </c>
      <c r="E280" t="inlineStr">
        <is>
          <t>NORRTÄLJE</t>
        </is>
      </c>
      <c r="G280" t="n">
        <v>2.2</v>
      </c>
      <c r="H280" t="n">
        <v>0</v>
      </c>
      <c r="I280" t="n">
        <v>0</v>
      </c>
      <c r="J280" t="n">
        <v>0</v>
      </c>
      <c r="K280" t="n">
        <v>0</v>
      </c>
      <c r="L280" t="n">
        <v>0</v>
      </c>
      <c r="M280" t="n">
        <v>0</v>
      </c>
      <c r="N280" t="n">
        <v>0</v>
      </c>
      <c r="O280" t="n">
        <v>0</v>
      </c>
      <c r="P280" t="n">
        <v>0</v>
      </c>
      <c r="Q280" t="n">
        <v>0</v>
      </c>
      <c r="R280" s="2" t="inlineStr"/>
    </row>
    <row r="281" ht="15" customHeight="1">
      <c r="A281" t="inlineStr">
        <is>
          <t>A 23862-2019</t>
        </is>
      </c>
      <c r="B281" s="1" t="n">
        <v>43595</v>
      </c>
      <c r="C281" s="1" t="n">
        <v>45758</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23878-2019</t>
        </is>
      </c>
      <c r="B282" s="1" t="n">
        <v>43595</v>
      </c>
      <c r="C282" s="1" t="n">
        <v>45758</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23961-2019</t>
        </is>
      </c>
      <c r="B283" s="1" t="n">
        <v>43597</v>
      </c>
      <c r="C283" s="1" t="n">
        <v>45758</v>
      </c>
      <c r="D283" t="inlineStr">
        <is>
          <t>STOCKHOLMS LÄN</t>
        </is>
      </c>
      <c r="E283" t="inlineStr">
        <is>
          <t>NORRTÄLJE</t>
        </is>
      </c>
      <c r="G283" t="n">
        <v>17.6</v>
      </c>
      <c r="H283" t="n">
        <v>0</v>
      </c>
      <c r="I283" t="n">
        <v>0</v>
      </c>
      <c r="J283" t="n">
        <v>0</v>
      </c>
      <c r="K283" t="n">
        <v>0</v>
      </c>
      <c r="L283" t="n">
        <v>0</v>
      </c>
      <c r="M283" t="n">
        <v>0</v>
      </c>
      <c r="N283" t="n">
        <v>0</v>
      </c>
      <c r="O283" t="n">
        <v>0</v>
      </c>
      <c r="P283" t="n">
        <v>0</v>
      </c>
      <c r="Q283" t="n">
        <v>0</v>
      </c>
      <c r="R283" s="2" t="inlineStr"/>
    </row>
    <row r="284" ht="15" customHeight="1">
      <c r="A284" t="inlineStr">
        <is>
          <t>A 23965-2019</t>
        </is>
      </c>
      <c r="B284" s="1" t="n">
        <v>43597</v>
      </c>
      <c r="C284" s="1" t="n">
        <v>45758</v>
      </c>
      <c r="D284" t="inlineStr">
        <is>
          <t>STOCKHOLMS LÄN</t>
        </is>
      </c>
      <c r="E284" t="inlineStr">
        <is>
          <t>NORRTÄLJE</t>
        </is>
      </c>
      <c r="G284" t="n">
        <v>6.1</v>
      </c>
      <c r="H284" t="n">
        <v>0</v>
      </c>
      <c r="I284" t="n">
        <v>0</v>
      </c>
      <c r="J284" t="n">
        <v>0</v>
      </c>
      <c r="K284" t="n">
        <v>0</v>
      </c>
      <c r="L284" t="n">
        <v>0</v>
      </c>
      <c r="M284" t="n">
        <v>0</v>
      </c>
      <c r="N284" t="n">
        <v>0</v>
      </c>
      <c r="O284" t="n">
        <v>0</v>
      </c>
      <c r="P284" t="n">
        <v>0</v>
      </c>
      <c r="Q284" t="n">
        <v>0</v>
      </c>
      <c r="R284" s="2" t="inlineStr"/>
    </row>
    <row r="285" ht="15" customHeight="1">
      <c r="A285" t="inlineStr">
        <is>
          <t>A 23963-2019</t>
        </is>
      </c>
      <c r="B285" s="1" t="n">
        <v>43597</v>
      </c>
      <c r="C285" s="1" t="n">
        <v>45758</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24124-2019</t>
        </is>
      </c>
      <c r="B286" s="1" t="n">
        <v>43598</v>
      </c>
      <c r="C286" s="1" t="n">
        <v>45758</v>
      </c>
      <c r="D286" t="inlineStr">
        <is>
          <t>STOCKHOLMS LÄN</t>
        </is>
      </c>
      <c r="E286" t="inlineStr">
        <is>
          <t>NORRTÄLJE</t>
        </is>
      </c>
      <c r="G286" t="n">
        <v>0.7</v>
      </c>
      <c r="H286" t="n">
        <v>0</v>
      </c>
      <c r="I286" t="n">
        <v>0</v>
      </c>
      <c r="J286" t="n">
        <v>0</v>
      </c>
      <c r="K286" t="n">
        <v>0</v>
      </c>
      <c r="L286" t="n">
        <v>0</v>
      </c>
      <c r="M286" t="n">
        <v>0</v>
      </c>
      <c r="N286" t="n">
        <v>0</v>
      </c>
      <c r="O286" t="n">
        <v>0</v>
      </c>
      <c r="P286" t="n">
        <v>0</v>
      </c>
      <c r="Q286" t="n">
        <v>0</v>
      </c>
      <c r="R286" s="2" t="inlineStr"/>
    </row>
    <row r="287" ht="15" customHeight="1">
      <c r="A287" t="inlineStr">
        <is>
          <t>A 24058-2019</t>
        </is>
      </c>
      <c r="B287" s="1" t="n">
        <v>43598</v>
      </c>
      <c r="C287" s="1" t="n">
        <v>45758</v>
      </c>
      <c r="D287" t="inlineStr">
        <is>
          <t>STOCKHOLMS LÄN</t>
        </is>
      </c>
      <c r="E287" t="inlineStr">
        <is>
          <t>NORRTÄLJE</t>
        </is>
      </c>
      <c r="G287" t="n">
        <v>2.5</v>
      </c>
      <c r="H287" t="n">
        <v>0</v>
      </c>
      <c r="I287" t="n">
        <v>0</v>
      </c>
      <c r="J287" t="n">
        <v>0</v>
      </c>
      <c r="K287" t="n">
        <v>0</v>
      </c>
      <c r="L287" t="n">
        <v>0</v>
      </c>
      <c r="M287" t="n">
        <v>0</v>
      </c>
      <c r="N287" t="n">
        <v>0</v>
      </c>
      <c r="O287" t="n">
        <v>0</v>
      </c>
      <c r="P287" t="n">
        <v>0</v>
      </c>
      <c r="Q287" t="n">
        <v>0</v>
      </c>
      <c r="R287" s="2" t="inlineStr"/>
    </row>
    <row r="288" ht="15" customHeight="1">
      <c r="A288" t="inlineStr">
        <is>
          <t>A 24562-2019</t>
        </is>
      </c>
      <c r="B288" s="1" t="n">
        <v>43600</v>
      </c>
      <c r="C288" s="1" t="n">
        <v>45758</v>
      </c>
      <c r="D288" t="inlineStr">
        <is>
          <t>STOCKHOLMS LÄN</t>
        </is>
      </c>
      <c r="E288" t="inlineStr">
        <is>
          <t>NORRTÄLJE</t>
        </is>
      </c>
      <c r="G288" t="n">
        <v>1.1</v>
      </c>
      <c r="H288" t="n">
        <v>0</v>
      </c>
      <c r="I288" t="n">
        <v>0</v>
      </c>
      <c r="J288" t="n">
        <v>0</v>
      </c>
      <c r="K288" t="n">
        <v>0</v>
      </c>
      <c r="L288" t="n">
        <v>0</v>
      </c>
      <c r="M288" t="n">
        <v>0</v>
      </c>
      <c r="N288" t="n">
        <v>0</v>
      </c>
      <c r="O288" t="n">
        <v>0</v>
      </c>
      <c r="P288" t="n">
        <v>0</v>
      </c>
      <c r="Q288" t="n">
        <v>0</v>
      </c>
      <c r="R288" s="2" t="inlineStr"/>
    </row>
    <row r="289" ht="15" customHeight="1">
      <c r="A289" t="inlineStr">
        <is>
          <t>A 24721-2019</t>
        </is>
      </c>
      <c r="B289" s="1" t="n">
        <v>43601</v>
      </c>
      <c r="C289" s="1" t="n">
        <v>45758</v>
      </c>
      <c r="D289" t="inlineStr">
        <is>
          <t>STOCKHOLMS LÄN</t>
        </is>
      </c>
      <c r="E289" t="inlineStr">
        <is>
          <t>NORRTÄLJE</t>
        </is>
      </c>
      <c r="G289" t="n">
        <v>1.8</v>
      </c>
      <c r="H289" t="n">
        <v>0</v>
      </c>
      <c r="I289" t="n">
        <v>0</v>
      </c>
      <c r="J289" t="n">
        <v>0</v>
      </c>
      <c r="K289" t="n">
        <v>0</v>
      </c>
      <c r="L289" t="n">
        <v>0</v>
      </c>
      <c r="M289" t="n">
        <v>0</v>
      </c>
      <c r="N289" t="n">
        <v>0</v>
      </c>
      <c r="O289" t="n">
        <v>0</v>
      </c>
      <c r="P289" t="n">
        <v>0</v>
      </c>
      <c r="Q289" t="n">
        <v>0</v>
      </c>
      <c r="R289" s="2" t="inlineStr"/>
    </row>
    <row r="290" ht="15" customHeight="1">
      <c r="A290" t="inlineStr">
        <is>
          <t>A 25284-2019</t>
        </is>
      </c>
      <c r="B290" s="1" t="n">
        <v>43605</v>
      </c>
      <c r="C290" s="1" t="n">
        <v>45758</v>
      </c>
      <c r="D290" t="inlineStr">
        <is>
          <t>STOCKHOLMS LÄN</t>
        </is>
      </c>
      <c r="E290" t="inlineStr">
        <is>
          <t>NORRTÄLJE</t>
        </is>
      </c>
      <c r="G290" t="n">
        <v>3.6</v>
      </c>
      <c r="H290" t="n">
        <v>0</v>
      </c>
      <c r="I290" t="n">
        <v>0</v>
      </c>
      <c r="J290" t="n">
        <v>0</v>
      </c>
      <c r="K290" t="n">
        <v>0</v>
      </c>
      <c r="L290" t="n">
        <v>0</v>
      </c>
      <c r="M290" t="n">
        <v>0</v>
      </c>
      <c r="N290" t="n">
        <v>0</v>
      </c>
      <c r="O290" t="n">
        <v>0</v>
      </c>
      <c r="P290" t="n">
        <v>0</v>
      </c>
      <c r="Q290" t="n">
        <v>0</v>
      </c>
      <c r="R290" s="2" t="inlineStr"/>
    </row>
    <row r="291" ht="15" customHeight="1">
      <c r="A291" t="inlineStr">
        <is>
          <t>A 25535-2019</t>
        </is>
      </c>
      <c r="B291" s="1" t="n">
        <v>43606</v>
      </c>
      <c r="C291" s="1" t="n">
        <v>45758</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25316-2019</t>
        </is>
      </c>
      <c r="B292" s="1" t="n">
        <v>43606</v>
      </c>
      <c r="C292" s="1" t="n">
        <v>45758</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26374-2019</t>
        </is>
      </c>
      <c r="B293" s="1" t="n">
        <v>43606</v>
      </c>
      <c r="C293" s="1" t="n">
        <v>45758</v>
      </c>
      <c r="D293" t="inlineStr">
        <is>
          <t>STOCKHOLMS LÄN</t>
        </is>
      </c>
      <c r="E293" t="inlineStr">
        <is>
          <t>NORRTÄLJE</t>
        </is>
      </c>
      <c r="G293" t="n">
        <v>11.6</v>
      </c>
      <c r="H293" t="n">
        <v>0</v>
      </c>
      <c r="I293" t="n">
        <v>0</v>
      </c>
      <c r="J293" t="n">
        <v>0</v>
      </c>
      <c r="K293" t="n">
        <v>0</v>
      </c>
      <c r="L293" t="n">
        <v>0</v>
      </c>
      <c r="M293" t="n">
        <v>0</v>
      </c>
      <c r="N293" t="n">
        <v>0</v>
      </c>
      <c r="O293" t="n">
        <v>0</v>
      </c>
      <c r="P293" t="n">
        <v>0</v>
      </c>
      <c r="Q293" t="n">
        <v>0</v>
      </c>
      <c r="R293" s="2" t="inlineStr"/>
    </row>
    <row r="294" ht="15" customHeight="1">
      <c r="A294" t="inlineStr">
        <is>
          <t>A 25315-2019</t>
        </is>
      </c>
      <c r="B294" s="1" t="n">
        <v>43606</v>
      </c>
      <c r="C294" s="1" t="n">
        <v>45758</v>
      </c>
      <c r="D294" t="inlineStr">
        <is>
          <t>STOCKHOLMS LÄN</t>
        </is>
      </c>
      <c r="E294" t="inlineStr">
        <is>
          <t>NORRTÄLJE</t>
        </is>
      </c>
      <c r="G294" t="n">
        <v>0.9</v>
      </c>
      <c r="H294" t="n">
        <v>0</v>
      </c>
      <c r="I294" t="n">
        <v>0</v>
      </c>
      <c r="J294" t="n">
        <v>0</v>
      </c>
      <c r="K294" t="n">
        <v>0</v>
      </c>
      <c r="L294" t="n">
        <v>0</v>
      </c>
      <c r="M294" t="n">
        <v>0</v>
      </c>
      <c r="N294" t="n">
        <v>0</v>
      </c>
      <c r="O294" t="n">
        <v>0</v>
      </c>
      <c r="P294" t="n">
        <v>0</v>
      </c>
      <c r="Q294" t="n">
        <v>0</v>
      </c>
      <c r="R294" s="2" t="inlineStr"/>
    </row>
    <row r="295" ht="15" customHeight="1">
      <c r="A295" t="inlineStr">
        <is>
          <t>A 25625-2019</t>
        </is>
      </c>
      <c r="B295" s="1" t="n">
        <v>43607</v>
      </c>
      <c r="C295" s="1" t="n">
        <v>45758</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26272-2019</t>
        </is>
      </c>
      <c r="B296" s="1" t="n">
        <v>43611</v>
      </c>
      <c r="C296" s="1" t="n">
        <v>45758</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26620-2019</t>
        </is>
      </c>
      <c r="B297" s="1" t="n">
        <v>43612</v>
      </c>
      <c r="C297" s="1" t="n">
        <v>45758</v>
      </c>
      <c r="D297" t="inlineStr">
        <is>
          <t>STOCKHOLMS LÄN</t>
        </is>
      </c>
      <c r="E297" t="inlineStr">
        <is>
          <t>NORRTÄLJE</t>
        </is>
      </c>
      <c r="G297" t="n">
        <v>0.5</v>
      </c>
      <c r="H297" t="n">
        <v>0</v>
      </c>
      <c r="I297" t="n">
        <v>0</v>
      </c>
      <c r="J297" t="n">
        <v>0</v>
      </c>
      <c r="K297" t="n">
        <v>0</v>
      </c>
      <c r="L297" t="n">
        <v>0</v>
      </c>
      <c r="M297" t="n">
        <v>0</v>
      </c>
      <c r="N297" t="n">
        <v>0</v>
      </c>
      <c r="O297" t="n">
        <v>0</v>
      </c>
      <c r="P297" t="n">
        <v>0</v>
      </c>
      <c r="Q297" t="n">
        <v>0</v>
      </c>
      <c r="R297" s="2" t="inlineStr"/>
    </row>
    <row r="298" ht="15" customHeight="1">
      <c r="A298" t="inlineStr">
        <is>
          <t>A 26391-2019</t>
        </is>
      </c>
      <c r="B298" s="1" t="n">
        <v>43612</v>
      </c>
      <c r="C298" s="1" t="n">
        <v>45758</v>
      </c>
      <c r="D298" t="inlineStr">
        <is>
          <t>STOCKHOLMS LÄN</t>
        </is>
      </c>
      <c r="E298" t="inlineStr">
        <is>
          <t>NORRTÄLJE</t>
        </is>
      </c>
      <c r="G298" t="n">
        <v>1.9</v>
      </c>
      <c r="H298" t="n">
        <v>0</v>
      </c>
      <c r="I298" t="n">
        <v>0</v>
      </c>
      <c r="J298" t="n">
        <v>0</v>
      </c>
      <c r="K298" t="n">
        <v>0</v>
      </c>
      <c r="L298" t="n">
        <v>0</v>
      </c>
      <c r="M298" t="n">
        <v>0</v>
      </c>
      <c r="N298" t="n">
        <v>0</v>
      </c>
      <c r="O298" t="n">
        <v>0</v>
      </c>
      <c r="P298" t="n">
        <v>0</v>
      </c>
      <c r="Q298" t="n">
        <v>0</v>
      </c>
      <c r="R298" s="2" t="inlineStr"/>
    </row>
    <row r="299" ht="15" customHeight="1">
      <c r="A299" t="inlineStr">
        <is>
          <t>A 26933-2019</t>
        </is>
      </c>
      <c r="B299" s="1" t="n">
        <v>43613</v>
      </c>
      <c r="C299" s="1" t="n">
        <v>45758</v>
      </c>
      <c r="D299" t="inlineStr">
        <is>
          <t>STOCKHOLMS LÄN</t>
        </is>
      </c>
      <c r="E299" t="inlineStr">
        <is>
          <t>NORRTÄLJE</t>
        </is>
      </c>
      <c r="G299" t="n">
        <v>2.8</v>
      </c>
      <c r="H299" t="n">
        <v>0</v>
      </c>
      <c r="I299" t="n">
        <v>0</v>
      </c>
      <c r="J299" t="n">
        <v>0</v>
      </c>
      <c r="K299" t="n">
        <v>0</v>
      </c>
      <c r="L299" t="n">
        <v>0</v>
      </c>
      <c r="M299" t="n">
        <v>0</v>
      </c>
      <c r="N299" t="n">
        <v>0</v>
      </c>
      <c r="O299" t="n">
        <v>0</v>
      </c>
      <c r="P299" t="n">
        <v>0</v>
      </c>
      <c r="Q299" t="n">
        <v>0</v>
      </c>
      <c r="R299" s="2" t="inlineStr"/>
    </row>
    <row r="300" ht="15" customHeight="1">
      <c r="A300" t="inlineStr">
        <is>
          <t>A 26830-2019</t>
        </is>
      </c>
      <c r="B300" s="1" t="n">
        <v>43613</v>
      </c>
      <c r="C300" s="1" t="n">
        <v>45758</v>
      </c>
      <c r="D300" t="inlineStr">
        <is>
          <t>STOCKHOLMS LÄN</t>
        </is>
      </c>
      <c r="E300" t="inlineStr">
        <is>
          <t>NORRTÄLJE</t>
        </is>
      </c>
      <c r="G300" t="n">
        <v>2.1</v>
      </c>
      <c r="H300" t="n">
        <v>0</v>
      </c>
      <c r="I300" t="n">
        <v>0</v>
      </c>
      <c r="J300" t="n">
        <v>0</v>
      </c>
      <c r="K300" t="n">
        <v>0</v>
      </c>
      <c r="L300" t="n">
        <v>0</v>
      </c>
      <c r="M300" t="n">
        <v>0</v>
      </c>
      <c r="N300" t="n">
        <v>0</v>
      </c>
      <c r="O300" t="n">
        <v>0</v>
      </c>
      <c r="P300" t="n">
        <v>0</v>
      </c>
      <c r="Q300" t="n">
        <v>0</v>
      </c>
      <c r="R300" s="2" t="inlineStr"/>
    </row>
    <row r="301" ht="15" customHeight="1">
      <c r="A301" t="inlineStr">
        <is>
          <t>A 27095-2019</t>
        </is>
      </c>
      <c r="B301" s="1" t="n">
        <v>43614</v>
      </c>
      <c r="C301" s="1" t="n">
        <v>45758</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28157-2019</t>
        </is>
      </c>
      <c r="B302" s="1" t="n">
        <v>43614</v>
      </c>
      <c r="C302" s="1" t="n">
        <v>45758</v>
      </c>
      <c r="D302" t="inlineStr">
        <is>
          <t>STOCKHOLMS LÄN</t>
        </is>
      </c>
      <c r="E302" t="inlineStr">
        <is>
          <t>NORRTÄLJE</t>
        </is>
      </c>
      <c r="F302" t="inlineStr">
        <is>
          <t>Kyrkan</t>
        </is>
      </c>
      <c r="G302" t="n">
        <v>0.5</v>
      </c>
      <c r="H302" t="n">
        <v>0</v>
      </c>
      <c r="I302" t="n">
        <v>0</v>
      </c>
      <c r="J302" t="n">
        <v>0</v>
      </c>
      <c r="K302" t="n">
        <v>0</v>
      </c>
      <c r="L302" t="n">
        <v>0</v>
      </c>
      <c r="M302" t="n">
        <v>0</v>
      </c>
      <c r="N302" t="n">
        <v>0</v>
      </c>
      <c r="O302" t="n">
        <v>0</v>
      </c>
      <c r="P302" t="n">
        <v>0</v>
      </c>
      <c r="Q302" t="n">
        <v>0</v>
      </c>
      <c r="R302" s="2" t="inlineStr"/>
    </row>
    <row r="303" ht="15" customHeight="1">
      <c r="A303" t="inlineStr">
        <is>
          <t>A 27264-2019</t>
        </is>
      </c>
      <c r="B303" s="1" t="n">
        <v>43615</v>
      </c>
      <c r="C303" s="1" t="n">
        <v>45758</v>
      </c>
      <c r="D303" t="inlineStr">
        <is>
          <t>STOCKHOLMS LÄN</t>
        </is>
      </c>
      <c r="E303" t="inlineStr">
        <is>
          <t>NORRTÄLJE</t>
        </is>
      </c>
      <c r="G303" t="n">
        <v>1.6</v>
      </c>
      <c r="H303" t="n">
        <v>0</v>
      </c>
      <c r="I303" t="n">
        <v>0</v>
      </c>
      <c r="J303" t="n">
        <v>0</v>
      </c>
      <c r="K303" t="n">
        <v>0</v>
      </c>
      <c r="L303" t="n">
        <v>0</v>
      </c>
      <c r="M303" t="n">
        <v>0</v>
      </c>
      <c r="N303" t="n">
        <v>0</v>
      </c>
      <c r="O303" t="n">
        <v>0</v>
      </c>
      <c r="P303" t="n">
        <v>0</v>
      </c>
      <c r="Q303" t="n">
        <v>0</v>
      </c>
      <c r="R303" s="2" t="inlineStr"/>
    </row>
    <row r="304" ht="15" customHeight="1">
      <c r="A304" t="inlineStr">
        <is>
          <t>A 27971-2019</t>
        </is>
      </c>
      <c r="B304" s="1" t="n">
        <v>43620</v>
      </c>
      <c r="C304" s="1" t="n">
        <v>45758</v>
      </c>
      <c r="D304" t="inlineStr">
        <is>
          <t>STOCKHOLMS LÄN</t>
        </is>
      </c>
      <c r="E304" t="inlineStr">
        <is>
          <t>NORRTÄLJE</t>
        </is>
      </c>
      <c r="G304" t="n">
        <v>1.7</v>
      </c>
      <c r="H304" t="n">
        <v>0</v>
      </c>
      <c r="I304" t="n">
        <v>0</v>
      </c>
      <c r="J304" t="n">
        <v>0</v>
      </c>
      <c r="K304" t="n">
        <v>0</v>
      </c>
      <c r="L304" t="n">
        <v>0</v>
      </c>
      <c r="M304" t="n">
        <v>0</v>
      </c>
      <c r="N304" t="n">
        <v>0</v>
      </c>
      <c r="O304" t="n">
        <v>0</v>
      </c>
      <c r="P304" t="n">
        <v>0</v>
      </c>
      <c r="Q304" t="n">
        <v>0</v>
      </c>
      <c r="R304" s="2" t="inlineStr"/>
    </row>
    <row r="305" ht="15" customHeight="1">
      <c r="A305" t="inlineStr">
        <is>
          <t>A 27967-2019</t>
        </is>
      </c>
      <c r="B305" s="1" t="n">
        <v>43620</v>
      </c>
      <c r="C305" s="1" t="n">
        <v>45758</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28121-2019</t>
        </is>
      </c>
      <c r="B306" s="1" t="n">
        <v>43621</v>
      </c>
      <c r="C306" s="1" t="n">
        <v>45758</v>
      </c>
      <c r="D306" t="inlineStr">
        <is>
          <t>STOCKHOLMS LÄN</t>
        </is>
      </c>
      <c r="E306" t="inlineStr">
        <is>
          <t>NORRTÄLJE</t>
        </is>
      </c>
      <c r="F306" t="inlineStr">
        <is>
          <t>Kyrkan</t>
        </is>
      </c>
      <c r="G306" t="n">
        <v>2.5</v>
      </c>
      <c r="H306" t="n">
        <v>0</v>
      </c>
      <c r="I306" t="n">
        <v>0</v>
      </c>
      <c r="J306" t="n">
        <v>0</v>
      </c>
      <c r="K306" t="n">
        <v>0</v>
      </c>
      <c r="L306" t="n">
        <v>0</v>
      </c>
      <c r="M306" t="n">
        <v>0</v>
      </c>
      <c r="N306" t="n">
        <v>0</v>
      </c>
      <c r="O306" t="n">
        <v>0</v>
      </c>
      <c r="P306" t="n">
        <v>0</v>
      </c>
      <c r="Q306" t="n">
        <v>0</v>
      </c>
      <c r="R306" s="2" t="inlineStr"/>
    </row>
    <row r="307" ht="15" customHeight="1">
      <c r="A307" t="inlineStr">
        <is>
          <t>A 28289-2019</t>
        </is>
      </c>
      <c r="B307" s="1" t="n">
        <v>43623</v>
      </c>
      <c r="C307" s="1" t="n">
        <v>45758</v>
      </c>
      <c r="D307" t="inlineStr">
        <is>
          <t>STOCKHOLMS LÄN</t>
        </is>
      </c>
      <c r="E307" t="inlineStr">
        <is>
          <t>NORRTÄLJE</t>
        </is>
      </c>
      <c r="G307" t="n">
        <v>7.7</v>
      </c>
      <c r="H307" t="n">
        <v>0</v>
      </c>
      <c r="I307" t="n">
        <v>0</v>
      </c>
      <c r="J307" t="n">
        <v>0</v>
      </c>
      <c r="K307" t="n">
        <v>0</v>
      </c>
      <c r="L307" t="n">
        <v>0</v>
      </c>
      <c r="M307" t="n">
        <v>0</v>
      </c>
      <c r="N307" t="n">
        <v>0</v>
      </c>
      <c r="O307" t="n">
        <v>0</v>
      </c>
      <c r="P307" t="n">
        <v>0</v>
      </c>
      <c r="Q307" t="n">
        <v>0</v>
      </c>
      <c r="R307" s="2" t="inlineStr"/>
    </row>
    <row r="308" ht="15" customHeight="1">
      <c r="A308" t="inlineStr">
        <is>
          <t>A 28519-2019</t>
        </is>
      </c>
      <c r="B308" s="1" t="n">
        <v>43626</v>
      </c>
      <c r="C308" s="1" t="n">
        <v>45758</v>
      </c>
      <c r="D308" t="inlineStr">
        <is>
          <t>STOCKHOLMS LÄN</t>
        </is>
      </c>
      <c r="E308" t="inlineStr">
        <is>
          <t>NORRTÄLJE</t>
        </is>
      </c>
      <c r="G308" t="n">
        <v>3</v>
      </c>
      <c r="H308" t="n">
        <v>0</v>
      </c>
      <c r="I308" t="n">
        <v>0</v>
      </c>
      <c r="J308" t="n">
        <v>0</v>
      </c>
      <c r="K308" t="n">
        <v>0</v>
      </c>
      <c r="L308" t="n">
        <v>0</v>
      </c>
      <c r="M308" t="n">
        <v>0</v>
      </c>
      <c r="N308" t="n">
        <v>0</v>
      </c>
      <c r="O308" t="n">
        <v>0</v>
      </c>
      <c r="P308" t="n">
        <v>0</v>
      </c>
      <c r="Q308" t="n">
        <v>0</v>
      </c>
      <c r="R308" s="2" t="inlineStr"/>
    </row>
    <row r="309" ht="15" customHeight="1">
      <c r="A309" t="inlineStr">
        <is>
          <t>A 28495-2019</t>
        </is>
      </c>
      <c r="B309" s="1" t="n">
        <v>43626</v>
      </c>
      <c r="C309" s="1" t="n">
        <v>45758</v>
      </c>
      <c r="D309" t="inlineStr">
        <is>
          <t>STOCKHOLMS LÄN</t>
        </is>
      </c>
      <c r="E309" t="inlineStr">
        <is>
          <t>NORRTÄLJE</t>
        </is>
      </c>
      <c r="G309" t="n">
        <v>14.7</v>
      </c>
      <c r="H309" t="n">
        <v>0</v>
      </c>
      <c r="I309" t="n">
        <v>0</v>
      </c>
      <c r="J309" t="n">
        <v>0</v>
      </c>
      <c r="K309" t="n">
        <v>0</v>
      </c>
      <c r="L309" t="n">
        <v>0</v>
      </c>
      <c r="M309" t="n">
        <v>0</v>
      </c>
      <c r="N309" t="n">
        <v>0</v>
      </c>
      <c r="O309" t="n">
        <v>0</v>
      </c>
      <c r="P309" t="n">
        <v>0</v>
      </c>
      <c r="Q309" t="n">
        <v>0</v>
      </c>
      <c r="R309" s="2" t="inlineStr"/>
    </row>
    <row r="310" ht="15" customHeight="1">
      <c r="A310" t="inlineStr">
        <is>
          <t>A 28394-2019</t>
        </is>
      </c>
      <c r="B310" s="1" t="n">
        <v>43626</v>
      </c>
      <c r="C310" s="1" t="n">
        <v>45758</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29260-2019</t>
        </is>
      </c>
      <c r="B311" s="1" t="n">
        <v>43629</v>
      </c>
      <c r="C311" s="1" t="n">
        <v>45758</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29312-2019</t>
        </is>
      </c>
      <c r="B312" s="1" t="n">
        <v>43629</v>
      </c>
      <c r="C312" s="1" t="n">
        <v>45758</v>
      </c>
      <c r="D312" t="inlineStr">
        <is>
          <t>STOCKHOLMS LÄN</t>
        </is>
      </c>
      <c r="E312" t="inlineStr">
        <is>
          <t>NORRTÄLJE</t>
        </is>
      </c>
      <c r="G312" t="n">
        <v>7.1</v>
      </c>
      <c r="H312" t="n">
        <v>0</v>
      </c>
      <c r="I312" t="n">
        <v>0</v>
      </c>
      <c r="J312" t="n">
        <v>0</v>
      </c>
      <c r="K312" t="n">
        <v>0</v>
      </c>
      <c r="L312" t="n">
        <v>0</v>
      </c>
      <c r="M312" t="n">
        <v>0</v>
      </c>
      <c r="N312" t="n">
        <v>0</v>
      </c>
      <c r="O312" t="n">
        <v>0</v>
      </c>
      <c r="P312" t="n">
        <v>0</v>
      </c>
      <c r="Q312" t="n">
        <v>0</v>
      </c>
      <c r="R312" s="2" t="inlineStr"/>
    </row>
    <row r="313" ht="15" customHeight="1">
      <c r="A313" t="inlineStr">
        <is>
          <t>A 29759-2019</t>
        </is>
      </c>
      <c r="B313" s="1" t="n">
        <v>43631</v>
      </c>
      <c r="C313" s="1" t="n">
        <v>45758</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30000-2019</t>
        </is>
      </c>
      <c r="B314" s="1" t="n">
        <v>43633</v>
      </c>
      <c r="C314" s="1" t="n">
        <v>45758</v>
      </c>
      <c r="D314" t="inlineStr">
        <is>
          <t>STOCKHOLMS LÄN</t>
        </is>
      </c>
      <c r="E314" t="inlineStr">
        <is>
          <t>NORRTÄLJE</t>
        </is>
      </c>
      <c r="G314" t="n">
        <v>5.4</v>
      </c>
      <c r="H314" t="n">
        <v>0</v>
      </c>
      <c r="I314" t="n">
        <v>0</v>
      </c>
      <c r="J314" t="n">
        <v>0</v>
      </c>
      <c r="K314" t="n">
        <v>0</v>
      </c>
      <c r="L314" t="n">
        <v>0</v>
      </c>
      <c r="M314" t="n">
        <v>0</v>
      </c>
      <c r="N314" t="n">
        <v>0</v>
      </c>
      <c r="O314" t="n">
        <v>0</v>
      </c>
      <c r="P314" t="n">
        <v>0</v>
      </c>
      <c r="Q314" t="n">
        <v>0</v>
      </c>
      <c r="R314" s="2" t="inlineStr"/>
    </row>
    <row r="315" ht="15" customHeight="1">
      <c r="A315" t="inlineStr">
        <is>
          <t>A 30833-2019</t>
        </is>
      </c>
      <c r="B315" s="1" t="n">
        <v>43636</v>
      </c>
      <c r="C315" s="1" t="n">
        <v>45758</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31215-2019</t>
        </is>
      </c>
      <c r="B316" s="1" t="n">
        <v>43640</v>
      </c>
      <c r="C316" s="1" t="n">
        <v>45758</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31017-2019</t>
        </is>
      </c>
      <c r="B317" s="1" t="n">
        <v>43640</v>
      </c>
      <c r="C317" s="1" t="n">
        <v>45758</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31966-2019</t>
        </is>
      </c>
      <c r="B318" s="1" t="n">
        <v>43643</v>
      </c>
      <c r="C318" s="1" t="n">
        <v>45758</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32725-2019</t>
        </is>
      </c>
      <c r="B319" s="1" t="n">
        <v>43647</v>
      </c>
      <c r="C319" s="1" t="n">
        <v>45758</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32726-2019</t>
        </is>
      </c>
      <c r="B320" s="1" t="n">
        <v>43647</v>
      </c>
      <c r="C320" s="1" t="n">
        <v>45758</v>
      </c>
      <c r="D320" t="inlineStr">
        <is>
          <t>STOCKHOLMS LÄN</t>
        </is>
      </c>
      <c r="E320" t="inlineStr">
        <is>
          <t>NORRTÄLJE</t>
        </is>
      </c>
      <c r="G320" t="n">
        <v>1</v>
      </c>
      <c r="H320" t="n">
        <v>0</v>
      </c>
      <c r="I320" t="n">
        <v>0</v>
      </c>
      <c r="J320" t="n">
        <v>0</v>
      </c>
      <c r="K320" t="n">
        <v>0</v>
      </c>
      <c r="L320" t="n">
        <v>0</v>
      </c>
      <c r="M320" t="n">
        <v>0</v>
      </c>
      <c r="N320" t="n">
        <v>0</v>
      </c>
      <c r="O320" t="n">
        <v>0</v>
      </c>
      <c r="P320" t="n">
        <v>0</v>
      </c>
      <c r="Q320" t="n">
        <v>0</v>
      </c>
      <c r="R320" s="2" t="inlineStr"/>
    </row>
    <row r="321" ht="15" customHeight="1">
      <c r="A321" t="inlineStr">
        <is>
          <t>A 33207-2019</t>
        </is>
      </c>
      <c r="B321" s="1" t="n">
        <v>43649</v>
      </c>
      <c r="C321" s="1" t="n">
        <v>45758</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33955-2019</t>
        </is>
      </c>
      <c r="B322" s="1" t="n">
        <v>43654</v>
      </c>
      <c r="C322" s="1" t="n">
        <v>45758</v>
      </c>
      <c r="D322" t="inlineStr">
        <is>
          <t>STOCKHOLMS LÄN</t>
        </is>
      </c>
      <c r="E322" t="inlineStr">
        <is>
          <t>NORRTÄLJE</t>
        </is>
      </c>
      <c r="G322" t="n">
        <v>1.7</v>
      </c>
      <c r="H322" t="n">
        <v>0</v>
      </c>
      <c r="I322" t="n">
        <v>0</v>
      </c>
      <c r="J322" t="n">
        <v>0</v>
      </c>
      <c r="K322" t="n">
        <v>0</v>
      </c>
      <c r="L322" t="n">
        <v>0</v>
      </c>
      <c r="M322" t="n">
        <v>0</v>
      </c>
      <c r="N322" t="n">
        <v>0</v>
      </c>
      <c r="O322" t="n">
        <v>0</v>
      </c>
      <c r="P322" t="n">
        <v>0</v>
      </c>
      <c r="Q322" t="n">
        <v>0</v>
      </c>
      <c r="R322" s="2" t="inlineStr"/>
    </row>
    <row r="323" ht="15" customHeight="1">
      <c r="A323" t="inlineStr">
        <is>
          <t>A 33966-2019</t>
        </is>
      </c>
      <c r="B323" s="1" t="n">
        <v>43654</v>
      </c>
      <c r="C323" s="1" t="n">
        <v>45758</v>
      </c>
      <c r="D323" t="inlineStr">
        <is>
          <t>STOCKHOLMS LÄN</t>
        </is>
      </c>
      <c r="E323" t="inlineStr">
        <is>
          <t>NORRTÄLJE</t>
        </is>
      </c>
      <c r="G323" t="n">
        <v>3.2</v>
      </c>
      <c r="H323" t="n">
        <v>0</v>
      </c>
      <c r="I323" t="n">
        <v>0</v>
      </c>
      <c r="J323" t="n">
        <v>0</v>
      </c>
      <c r="K323" t="n">
        <v>0</v>
      </c>
      <c r="L323" t="n">
        <v>0</v>
      </c>
      <c r="M323" t="n">
        <v>0</v>
      </c>
      <c r="N323" t="n">
        <v>0</v>
      </c>
      <c r="O323" t="n">
        <v>0</v>
      </c>
      <c r="P323" t="n">
        <v>0</v>
      </c>
      <c r="Q323" t="n">
        <v>0</v>
      </c>
      <c r="R323" s="2" t="inlineStr"/>
    </row>
    <row r="324" ht="15" customHeight="1">
      <c r="A324" t="inlineStr">
        <is>
          <t>A 35247-2019</t>
        </is>
      </c>
      <c r="B324" s="1" t="n">
        <v>43656</v>
      </c>
      <c r="C324" s="1" t="n">
        <v>45758</v>
      </c>
      <c r="D324" t="inlineStr">
        <is>
          <t>STOCKHOLMS LÄN</t>
        </is>
      </c>
      <c r="E324" t="inlineStr">
        <is>
          <t>NORRTÄLJE</t>
        </is>
      </c>
      <c r="G324" t="n">
        <v>1.8</v>
      </c>
      <c r="H324" t="n">
        <v>0</v>
      </c>
      <c r="I324" t="n">
        <v>0</v>
      </c>
      <c r="J324" t="n">
        <v>0</v>
      </c>
      <c r="K324" t="n">
        <v>0</v>
      </c>
      <c r="L324" t="n">
        <v>0</v>
      </c>
      <c r="M324" t="n">
        <v>0</v>
      </c>
      <c r="N324" t="n">
        <v>0</v>
      </c>
      <c r="O324" t="n">
        <v>0</v>
      </c>
      <c r="P324" t="n">
        <v>0</v>
      </c>
      <c r="Q324" t="n">
        <v>0</v>
      </c>
      <c r="R324" s="2" t="inlineStr"/>
    </row>
    <row r="325" ht="15" customHeight="1">
      <c r="A325" t="inlineStr">
        <is>
          <t>A 35244-2019</t>
        </is>
      </c>
      <c r="B325" s="1" t="n">
        <v>43656</v>
      </c>
      <c r="C325" s="1" t="n">
        <v>45758</v>
      </c>
      <c r="D325" t="inlineStr">
        <is>
          <t>STOCKHOLMS LÄN</t>
        </is>
      </c>
      <c r="E325" t="inlineStr">
        <is>
          <t>NORRTÄLJE</t>
        </is>
      </c>
      <c r="G325" t="n">
        <v>1.9</v>
      </c>
      <c r="H325" t="n">
        <v>0</v>
      </c>
      <c r="I325" t="n">
        <v>0</v>
      </c>
      <c r="J325" t="n">
        <v>0</v>
      </c>
      <c r="K325" t="n">
        <v>0</v>
      </c>
      <c r="L325" t="n">
        <v>0</v>
      </c>
      <c r="M325" t="n">
        <v>0</v>
      </c>
      <c r="N325" t="n">
        <v>0</v>
      </c>
      <c r="O325" t="n">
        <v>0</v>
      </c>
      <c r="P325" t="n">
        <v>0</v>
      </c>
      <c r="Q325" t="n">
        <v>0</v>
      </c>
      <c r="R325" s="2" t="inlineStr"/>
    </row>
    <row r="326" ht="15" customHeight="1">
      <c r="A326" t="inlineStr">
        <is>
          <t>A 35249-2019</t>
        </is>
      </c>
      <c r="B326" s="1" t="n">
        <v>43656</v>
      </c>
      <c r="C326" s="1" t="n">
        <v>45758</v>
      </c>
      <c r="D326" t="inlineStr">
        <is>
          <t>STOCKHOLMS LÄN</t>
        </is>
      </c>
      <c r="E326" t="inlineStr">
        <is>
          <t>NORRTÄLJE</t>
        </is>
      </c>
      <c r="G326" t="n">
        <v>0.8</v>
      </c>
      <c r="H326" t="n">
        <v>0</v>
      </c>
      <c r="I326" t="n">
        <v>0</v>
      </c>
      <c r="J326" t="n">
        <v>0</v>
      </c>
      <c r="K326" t="n">
        <v>0</v>
      </c>
      <c r="L326" t="n">
        <v>0</v>
      </c>
      <c r="M326" t="n">
        <v>0</v>
      </c>
      <c r="N326" t="n">
        <v>0</v>
      </c>
      <c r="O326" t="n">
        <v>0</v>
      </c>
      <c r="P326" t="n">
        <v>0</v>
      </c>
      <c r="Q326" t="n">
        <v>0</v>
      </c>
      <c r="R326" s="2" t="inlineStr"/>
    </row>
    <row r="327" ht="15" customHeight="1">
      <c r="A327" t="inlineStr">
        <is>
          <t>A 35251-2019</t>
        </is>
      </c>
      <c r="B327" s="1" t="n">
        <v>43656</v>
      </c>
      <c r="C327" s="1" t="n">
        <v>45758</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35492-2019</t>
        </is>
      </c>
      <c r="B328" s="1" t="n">
        <v>43663</v>
      </c>
      <c r="C328" s="1" t="n">
        <v>45758</v>
      </c>
      <c r="D328" t="inlineStr">
        <is>
          <t>STOCKHOLMS LÄN</t>
        </is>
      </c>
      <c r="E328" t="inlineStr">
        <is>
          <t>NORRTÄLJE</t>
        </is>
      </c>
      <c r="G328" t="n">
        <v>14</v>
      </c>
      <c r="H328" t="n">
        <v>0</v>
      </c>
      <c r="I328" t="n">
        <v>0</v>
      </c>
      <c r="J328" t="n">
        <v>0</v>
      </c>
      <c r="K328" t="n">
        <v>0</v>
      </c>
      <c r="L328" t="n">
        <v>0</v>
      </c>
      <c r="M328" t="n">
        <v>0</v>
      </c>
      <c r="N328" t="n">
        <v>0</v>
      </c>
      <c r="O328" t="n">
        <v>0</v>
      </c>
      <c r="P328" t="n">
        <v>0</v>
      </c>
      <c r="Q328" t="n">
        <v>0</v>
      </c>
      <c r="R328" s="2" t="inlineStr"/>
    </row>
    <row r="329" ht="15" customHeight="1">
      <c r="A329" t="inlineStr">
        <is>
          <t>A 35770-2019</t>
        </is>
      </c>
      <c r="B329" s="1" t="n">
        <v>43665</v>
      </c>
      <c r="C329" s="1" t="n">
        <v>45758</v>
      </c>
      <c r="D329" t="inlineStr">
        <is>
          <t>STOCKHOLMS LÄN</t>
        </is>
      </c>
      <c r="E329" t="inlineStr">
        <is>
          <t>NORRTÄLJE</t>
        </is>
      </c>
      <c r="G329" t="n">
        <v>6.3</v>
      </c>
      <c r="H329" t="n">
        <v>0</v>
      </c>
      <c r="I329" t="n">
        <v>0</v>
      </c>
      <c r="J329" t="n">
        <v>0</v>
      </c>
      <c r="K329" t="n">
        <v>0</v>
      </c>
      <c r="L329" t="n">
        <v>0</v>
      </c>
      <c r="M329" t="n">
        <v>0</v>
      </c>
      <c r="N329" t="n">
        <v>0</v>
      </c>
      <c r="O329" t="n">
        <v>0</v>
      </c>
      <c r="P329" t="n">
        <v>0</v>
      </c>
      <c r="Q329" t="n">
        <v>0</v>
      </c>
      <c r="R329" s="2" t="inlineStr"/>
    </row>
    <row r="330" ht="15" customHeight="1">
      <c r="A330" t="inlineStr">
        <is>
          <t>A 35766-2019</t>
        </is>
      </c>
      <c r="B330" s="1" t="n">
        <v>43665</v>
      </c>
      <c r="C330" s="1" t="n">
        <v>45758</v>
      </c>
      <c r="D330" t="inlineStr">
        <is>
          <t>STOCKHOLMS LÄN</t>
        </is>
      </c>
      <c r="E330" t="inlineStr">
        <is>
          <t>NORRTÄLJE</t>
        </is>
      </c>
      <c r="G330" t="n">
        <v>2.1</v>
      </c>
      <c r="H330" t="n">
        <v>0</v>
      </c>
      <c r="I330" t="n">
        <v>0</v>
      </c>
      <c r="J330" t="n">
        <v>0</v>
      </c>
      <c r="K330" t="n">
        <v>0</v>
      </c>
      <c r="L330" t="n">
        <v>0</v>
      </c>
      <c r="M330" t="n">
        <v>0</v>
      </c>
      <c r="N330" t="n">
        <v>0</v>
      </c>
      <c r="O330" t="n">
        <v>0</v>
      </c>
      <c r="P330" t="n">
        <v>0</v>
      </c>
      <c r="Q330" t="n">
        <v>0</v>
      </c>
      <c r="R330" s="2" t="inlineStr"/>
    </row>
    <row r="331" ht="15" customHeight="1">
      <c r="A331" t="inlineStr">
        <is>
          <t>A 36418-2019</t>
        </is>
      </c>
      <c r="B331" s="1" t="n">
        <v>43670</v>
      </c>
      <c r="C331" s="1" t="n">
        <v>45758</v>
      </c>
      <c r="D331" t="inlineStr">
        <is>
          <t>STOCKHOLMS LÄN</t>
        </is>
      </c>
      <c r="E331" t="inlineStr">
        <is>
          <t>NORRTÄLJE</t>
        </is>
      </c>
      <c r="G331" t="n">
        <v>16.8</v>
      </c>
      <c r="H331" t="n">
        <v>0</v>
      </c>
      <c r="I331" t="n">
        <v>0</v>
      </c>
      <c r="J331" t="n">
        <v>0</v>
      </c>
      <c r="K331" t="n">
        <v>0</v>
      </c>
      <c r="L331" t="n">
        <v>0</v>
      </c>
      <c r="M331" t="n">
        <v>0</v>
      </c>
      <c r="N331" t="n">
        <v>0</v>
      </c>
      <c r="O331" t="n">
        <v>0</v>
      </c>
      <c r="P331" t="n">
        <v>0</v>
      </c>
      <c r="Q331" t="n">
        <v>0</v>
      </c>
      <c r="R331" s="2" t="inlineStr"/>
    </row>
    <row r="332" ht="15" customHeight="1">
      <c r="A332" t="inlineStr">
        <is>
          <t>A 37401-2019</t>
        </is>
      </c>
      <c r="B332" s="1" t="n">
        <v>43678</v>
      </c>
      <c r="C332" s="1" t="n">
        <v>45758</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37662-2019</t>
        </is>
      </c>
      <c r="B333" s="1" t="n">
        <v>43682</v>
      </c>
      <c r="C333" s="1" t="n">
        <v>45758</v>
      </c>
      <c r="D333" t="inlineStr">
        <is>
          <t>STOCKHOLMS LÄN</t>
        </is>
      </c>
      <c r="E333" t="inlineStr">
        <is>
          <t>NORRTÄLJE</t>
        </is>
      </c>
      <c r="G333" t="n">
        <v>1.5</v>
      </c>
      <c r="H333" t="n">
        <v>0</v>
      </c>
      <c r="I333" t="n">
        <v>0</v>
      </c>
      <c r="J333" t="n">
        <v>0</v>
      </c>
      <c r="K333" t="n">
        <v>0</v>
      </c>
      <c r="L333" t="n">
        <v>0</v>
      </c>
      <c r="M333" t="n">
        <v>0</v>
      </c>
      <c r="N333" t="n">
        <v>0</v>
      </c>
      <c r="O333" t="n">
        <v>0</v>
      </c>
      <c r="P333" t="n">
        <v>0</v>
      </c>
      <c r="Q333" t="n">
        <v>0</v>
      </c>
      <c r="R333" s="2" t="inlineStr"/>
    </row>
    <row r="334" ht="15" customHeight="1">
      <c r="A334" t="inlineStr">
        <is>
          <t>A 38144-2019</t>
        </is>
      </c>
      <c r="B334" s="1" t="n">
        <v>43684</v>
      </c>
      <c r="C334" s="1" t="n">
        <v>45758</v>
      </c>
      <c r="D334" t="inlineStr">
        <is>
          <t>STOCKHOLMS LÄN</t>
        </is>
      </c>
      <c r="E334" t="inlineStr">
        <is>
          <t>NORRTÄLJE</t>
        </is>
      </c>
      <c r="G334" t="n">
        <v>3.6</v>
      </c>
      <c r="H334" t="n">
        <v>0</v>
      </c>
      <c r="I334" t="n">
        <v>0</v>
      </c>
      <c r="J334" t="n">
        <v>0</v>
      </c>
      <c r="K334" t="n">
        <v>0</v>
      </c>
      <c r="L334" t="n">
        <v>0</v>
      </c>
      <c r="M334" t="n">
        <v>0</v>
      </c>
      <c r="N334" t="n">
        <v>0</v>
      </c>
      <c r="O334" t="n">
        <v>0</v>
      </c>
      <c r="P334" t="n">
        <v>0</v>
      </c>
      <c r="Q334" t="n">
        <v>0</v>
      </c>
      <c r="R334" s="2" t="inlineStr"/>
    </row>
    <row r="335" ht="15" customHeight="1">
      <c r="A335" t="inlineStr">
        <is>
          <t>A 38139-2019</t>
        </is>
      </c>
      <c r="B335" s="1" t="n">
        <v>43684</v>
      </c>
      <c r="C335" s="1" t="n">
        <v>45758</v>
      </c>
      <c r="D335" t="inlineStr">
        <is>
          <t>STOCKHOLMS LÄN</t>
        </is>
      </c>
      <c r="E335" t="inlineStr">
        <is>
          <t>NORRTÄLJE</t>
        </is>
      </c>
      <c r="G335" t="n">
        <v>2</v>
      </c>
      <c r="H335" t="n">
        <v>0</v>
      </c>
      <c r="I335" t="n">
        <v>0</v>
      </c>
      <c r="J335" t="n">
        <v>0</v>
      </c>
      <c r="K335" t="n">
        <v>0</v>
      </c>
      <c r="L335" t="n">
        <v>0</v>
      </c>
      <c r="M335" t="n">
        <v>0</v>
      </c>
      <c r="N335" t="n">
        <v>0</v>
      </c>
      <c r="O335" t="n">
        <v>0</v>
      </c>
      <c r="P335" t="n">
        <v>0</v>
      </c>
      <c r="Q335" t="n">
        <v>0</v>
      </c>
      <c r="R335" s="2" t="inlineStr"/>
    </row>
    <row r="336" ht="15" customHeight="1">
      <c r="A336" t="inlineStr">
        <is>
          <t>A 38145-2019</t>
        </is>
      </c>
      <c r="B336" s="1" t="n">
        <v>43684</v>
      </c>
      <c r="C336" s="1" t="n">
        <v>45758</v>
      </c>
      <c r="D336" t="inlineStr">
        <is>
          <t>STOCKHOLMS LÄN</t>
        </is>
      </c>
      <c r="E336" t="inlineStr">
        <is>
          <t>NORRTÄLJE</t>
        </is>
      </c>
      <c r="G336" t="n">
        <v>9.9</v>
      </c>
      <c r="H336" t="n">
        <v>0</v>
      </c>
      <c r="I336" t="n">
        <v>0</v>
      </c>
      <c r="J336" t="n">
        <v>0</v>
      </c>
      <c r="K336" t="n">
        <v>0</v>
      </c>
      <c r="L336" t="n">
        <v>0</v>
      </c>
      <c r="M336" t="n">
        <v>0</v>
      </c>
      <c r="N336" t="n">
        <v>0</v>
      </c>
      <c r="O336" t="n">
        <v>0</v>
      </c>
      <c r="P336" t="n">
        <v>0</v>
      </c>
      <c r="Q336" t="n">
        <v>0</v>
      </c>
      <c r="R336" s="2" t="inlineStr"/>
    </row>
    <row r="337" ht="15" customHeight="1">
      <c r="A337" t="inlineStr">
        <is>
          <t>A 38140-2019</t>
        </is>
      </c>
      <c r="B337" s="1" t="n">
        <v>43684</v>
      </c>
      <c r="C337" s="1" t="n">
        <v>45758</v>
      </c>
      <c r="D337" t="inlineStr">
        <is>
          <t>STOCKHOLMS LÄN</t>
        </is>
      </c>
      <c r="E337" t="inlineStr">
        <is>
          <t>NORRTÄLJE</t>
        </is>
      </c>
      <c r="G337" t="n">
        <v>3.4</v>
      </c>
      <c r="H337" t="n">
        <v>0</v>
      </c>
      <c r="I337" t="n">
        <v>0</v>
      </c>
      <c r="J337" t="n">
        <v>0</v>
      </c>
      <c r="K337" t="n">
        <v>0</v>
      </c>
      <c r="L337" t="n">
        <v>0</v>
      </c>
      <c r="M337" t="n">
        <v>0</v>
      </c>
      <c r="N337" t="n">
        <v>0</v>
      </c>
      <c r="O337" t="n">
        <v>0</v>
      </c>
      <c r="P337" t="n">
        <v>0</v>
      </c>
      <c r="Q337" t="n">
        <v>0</v>
      </c>
      <c r="R337" s="2" t="inlineStr"/>
    </row>
    <row r="338" ht="15" customHeight="1">
      <c r="A338" t="inlineStr">
        <is>
          <t>A 38143-2019</t>
        </is>
      </c>
      <c r="B338" s="1" t="n">
        <v>43684</v>
      </c>
      <c r="C338" s="1" t="n">
        <v>45758</v>
      </c>
      <c r="D338" t="inlineStr">
        <is>
          <t>STOCKHOLMS LÄN</t>
        </is>
      </c>
      <c r="E338" t="inlineStr">
        <is>
          <t>NORRTÄLJE</t>
        </is>
      </c>
      <c r="G338" t="n">
        <v>12.7</v>
      </c>
      <c r="H338" t="n">
        <v>0</v>
      </c>
      <c r="I338" t="n">
        <v>0</v>
      </c>
      <c r="J338" t="n">
        <v>0</v>
      </c>
      <c r="K338" t="n">
        <v>0</v>
      </c>
      <c r="L338" t="n">
        <v>0</v>
      </c>
      <c r="M338" t="n">
        <v>0</v>
      </c>
      <c r="N338" t="n">
        <v>0</v>
      </c>
      <c r="O338" t="n">
        <v>0</v>
      </c>
      <c r="P338" t="n">
        <v>0</v>
      </c>
      <c r="Q338" t="n">
        <v>0</v>
      </c>
      <c r="R338" s="2" t="inlineStr"/>
    </row>
    <row r="339" ht="15" customHeight="1">
      <c r="A339" t="inlineStr">
        <is>
          <t>A 38506-2019</t>
        </is>
      </c>
      <c r="B339" s="1" t="n">
        <v>43685</v>
      </c>
      <c r="C339" s="1" t="n">
        <v>45758</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38605-2019</t>
        </is>
      </c>
      <c r="B340" s="1" t="n">
        <v>43686</v>
      </c>
      <c r="C340" s="1" t="n">
        <v>45758</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38737-2019</t>
        </is>
      </c>
      <c r="B341" s="1" t="n">
        <v>43686</v>
      </c>
      <c r="C341" s="1" t="n">
        <v>45758</v>
      </c>
      <c r="D341" t="inlineStr">
        <is>
          <t>STOCKHOLMS LÄN</t>
        </is>
      </c>
      <c r="E341" t="inlineStr">
        <is>
          <t>NORRTÄLJE</t>
        </is>
      </c>
      <c r="G341" t="n">
        <v>4.7</v>
      </c>
      <c r="H341" t="n">
        <v>0</v>
      </c>
      <c r="I341" t="n">
        <v>0</v>
      </c>
      <c r="J341" t="n">
        <v>0</v>
      </c>
      <c r="K341" t="n">
        <v>0</v>
      </c>
      <c r="L341" t="n">
        <v>0</v>
      </c>
      <c r="M341" t="n">
        <v>0</v>
      </c>
      <c r="N341" t="n">
        <v>0</v>
      </c>
      <c r="O341" t="n">
        <v>0</v>
      </c>
      <c r="P341" t="n">
        <v>0</v>
      </c>
      <c r="Q341" t="n">
        <v>0</v>
      </c>
      <c r="R341" s="2" t="inlineStr"/>
    </row>
    <row r="342" ht="15" customHeight="1">
      <c r="A342" t="inlineStr">
        <is>
          <t>A 40571-2019</t>
        </is>
      </c>
      <c r="B342" s="1" t="n">
        <v>43696</v>
      </c>
      <c r="C342" s="1" t="n">
        <v>45758</v>
      </c>
      <c r="D342" t="inlineStr">
        <is>
          <t>STOCKHOLMS LÄN</t>
        </is>
      </c>
      <c r="E342" t="inlineStr">
        <is>
          <t>NORRTÄLJE</t>
        </is>
      </c>
      <c r="G342" t="n">
        <v>2.8</v>
      </c>
      <c r="H342" t="n">
        <v>0</v>
      </c>
      <c r="I342" t="n">
        <v>0</v>
      </c>
      <c r="J342" t="n">
        <v>0</v>
      </c>
      <c r="K342" t="n">
        <v>0</v>
      </c>
      <c r="L342" t="n">
        <v>0</v>
      </c>
      <c r="M342" t="n">
        <v>0</v>
      </c>
      <c r="N342" t="n">
        <v>0</v>
      </c>
      <c r="O342" t="n">
        <v>0</v>
      </c>
      <c r="P342" t="n">
        <v>0</v>
      </c>
      <c r="Q342" t="n">
        <v>0</v>
      </c>
      <c r="R342" s="2" t="inlineStr"/>
    </row>
    <row r="343" ht="15" customHeight="1">
      <c r="A343" t="inlineStr">
        <is>
          <t>A 42330-2019</t>
        </is>
      </c>
      <c r="B343" s="1" t="n">
        <v>43703</v>
      </c>
      <c r="C343" s="1" t="n">
        <v>45758</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43379-2019</t>
        </is>
      </c>
      <c r="B344" s="1" t="n">
        <v>43703</v>
      </c>
      <c r="C344" s="1" t="n">
        <v>45758</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43296-2019</t>
        </is>
      </c>
      <c r="B345" s="1" t="n">
        <v>43706</v>
      </c>
      <c r="C345" s="1" t="n">
        <v>45758</v>
      </c>
      <c r="D345" t="inlineStr">
        <is>
          <t>STOCKHOLMS LÄN</t>
        </is>
      </c>
      <c r="E345" t="inlineStr">
        <is>
          <t>NORRTÄLJE</t>
        </is>
      </c>
      <c r="F345" t="inlineStr">
        <is>
          <t>Kommuner</t>
        </is>
      </c>
      <c r="G345" t="n">
        <v>1.7</v>
      </c>
      <c r="H345" t="n">
        <v>0</v>
      </c>
      <c r="I345" t="n">
        <v>0</v>
      </c>
      <c r="J345" t="n">
        <v>0</v>
      </c>
      <c r="K345" t="n">
        <v>0</v>
      </c>
      <c r="L345" t="n">
        <v>0</v>
      </c>
      <c r="M345" t="n">
        <v>0</v>
      </c>
      <c r="N345" t="n">
        <v>0</v>
      </c>
      <c r="O345" t="n">
        <v>0</v>
      </c>
      <c r="P345" t="n">
        <v>0</v>
      </c>
      <c r="Q345" t="n">
        <v>0</v>
      </c>
      <c r="R345" s="2" t="inlineStr"/>
    </row>
    <row r="346" ht="15" customHeight="1">
      <c r="A346" t="inlineStr">
        <is>
          <t>A 44643-2019</t>
        </is>
      </c>
      <c r="B346" s="1" t="n">
        <v>43712</v>
      </c>
      <c r="C346" s="1" t="n">
        <v>45758</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45463-2019</t>
        </is>
      </c>
      <c r="B347" s="1" t="n">
        <v>43714</v>
      </c>
      <c r="C347" s="1" t="n">
        <v>45758</v>
      </c>
      <c r="D347" t="inlineStr">
        <is>
          <t>STOCKHOLMS LÄN</t>
        </is>
      </c>
      <c r="E347" t="inlineStr">
        <is>
          <t>NORRTÄLJE</t>
        </is>
      </c>
      <c r="F347" t="inlineStr">
        <is>
          <t>Övriga statliga verk och myndigheter</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45477-2019</t>
        </is>
      </c>
      <c r="B348" s="1" t="n">
        <v>43714</v>
      </c>
      <c r="C348" s="1" t="n">
        <v>45758</v>
      </c>
      <c r="D348" t="inlineStr">
        <is>
          <t>STOCKHOLMS LÄN</t>
        </is>
      </c>
      <c r="E348" t="inlineStr">
        <is>
          <t>NORRTÄLJE</t>
        </is>
      </c>
      <c r="F348" t="inlineStr">
        <is>
          <t>Övriga statliga verk och myndigheter</t>
        </is>
      </c>
      <c r="G348" t="n">
        <v>8.9</v>
      </c>
      <c r="H348" t="n">
        <v>0</v>
      </c>
      <c r="I348" t="n">
        <v>0</v>
      </c>
      <c r="J348" t="n">
        <v>0</v>
      </c>
      <c r="K348" t="n">
        <v>0</v>
      </c>
      <c r="L348" t="n">
        <v>0</v>
      </c>
      <c r="M348" t="n">
        <v>0</v>
      </c>
      <c r="N348" t="n">
        <v>0</v>
      </c>
      <c r="O348" t="n">
        <v>0</v>
      </c>
      <c r="P348" t="n">
        <v>0</v>
      </c>
      <c r="Q348" t="n">
        <v>0</v>
      </c>
      <c r="R348" s="2" t="inlineStr"/>
    </row>
    <row r="349" ht="15" customHeight="1">
      <c r="A349" t="inlineStr">
        <is>
          <t>A 46327-2019</t>
        </is>
      </c>
      <c r="B349" s="1" t="n">
        <v>43718</v>
      </c>
      <c r="C349" s="1" t="n">
        <v>45758</v>
      </c>
      <c r="D349" t="inlineStr">
        <is>
          <t>STOCKHOLMS LÄN</t>
        </is>
      </c>
      <c r="E349" t="inlineStr">
        <is>
          <t>NORRTÄLJE</t>
        </is>
      </c>
      <c r="G349" t="n">
        <v>2.4</v>
      </c>
      <c r="H349" t="n">
        <v>0</v>
      </c>
      <c r="I349" t="n">
        <v>0</v>
      </c>
      <c r="J349" t="n">
        <v>0</v>
      </c>
      <c r="K349" t="n">
        <v>0</v>
      </c>
      <c r="L349" t="n">
        <v>0</v>
      </c>
      <c r="M349" t="n">
        <v>0</v>
      </c>
      <c r="N349" t="n">
        <v>0</v>
      </c>
      <c r="O349" t="n">
        <v>0</v>
      </c>
      <c r="P349" t="n">
        <v>0</v>
      </c>
      <c r="Q349" t="n">
        <v>0</v>
      </c>
      <c r="R349" s="2" t="inlineStr"/>
    </row>
    <row r="350" ht="15" customHeight="1">
      <c r="A350" t="inlineStr">
        <is>
          <t>A 47876-2019</t>
        </is>
      </c>
      <c r="B350" s="1" t="n">
        <v>43725</v>
      </c>
      <c r="C350" s="1" t="n">
        <v>45758</v>
      </c>
      <c r="D350" t="inlineStr">
        <is>
          <t>STOCKHOLMS LÄN</t>
        </is>
      </c>
      <c r="E350" t="inlineStr">
        <is>
          <t>NORRTÄLJE</t>
        </is>
      </c>
      <c r="G350" t="n">
        <v>11.4</v>
      </c>
      <c r="H350" t="n">
        <v>0</v>
      </c>
      <c r="I350" t="n">
        <v>0</v>
      </c>
      <c r="J350" t="n">
        <v>0</v>
      </c>
      <c r="K350" t="n">
        <v>0</v>
      </c>
      <c r="L350" t="n">
        <v>0</v>
      </c>
      <c r="M350" t="n">
        <v>0</v>
      </c>
      <c r="N350" t="n">
        <v>0</v>
      </c>
      <c r="O350" t="n">
        <v>0</v>
      </c>
      <c r="P350" t="n">
        <v>0</v>
      </c>
      <c r="Q350" t="n">
        <v>0</v>
      </c>
      <c r="R350" s="2" t="inlineStr"/>
    </row>
    <row r="351" ht="15" customHeight="1">
      <c r="A351" t="inlineStr">
        <is>
          <t>A 47877-2019</t>
        </is>
      </c>
      <c r="B351" s="1" t="n">
        <v>43725</v>
      </c>
      <c r="C351" s="1" t="n">
        <v>45758</v>
      </c>
      <c r="D351" t="inlineStr">
        <is>
          <t>STOCKHOLMS LÄN</t>
        </is>
      </c>
      <c r="E351" t="inlineStr">
        <is>
          <t>NORRTÄLJE</t>
        </is>
      </c>
      <c r="G351" t="n">
        <v>0.9</v>
      </c>
      <c r="H351" t="n">
        <v>0</v>
      </c>
      <c r="I351" t="n">
        <v>0</v>
      </c>
      <c r="J351" t="n">
        <v>0</v>
      </c>
      <c r="K351" t="n">
        <v>0</v>
      </c>
      <c r="L351" t="n">
        <v>0</v>
      </c>
      <c r="M351" t="n">
        <v>0</v>
      </c>
      <c r="N351" t="n">
        <v>0</v>
      </c>
      <c r="O351" t="n">
        <v>0</v>
      </c>
      <c r="P351" t="n">
        <v>0</v>
      </c>
      <c r="Q351" t="n">
        <v>0</v>
      </c>
      <c r="R351" s="2" t="inlineStr"/>
    </row>
    <row r="352" ht="15" customHeight="1">
      <c r="A352" t="inlineStr">
        <is>
          <t>A 47903-2019</t>
        </is>
      </c>
      <c r="B352" s="1" t="n">
        <v>43725</v>
      </c>
      <c r="C352" s="1" t="n">
        <v>45758</v>
      </c>
      <c r="D352" t="inlineStr">
        <is>
          <t>STOCKHOLMS LÄN</t>
        </is>
      </c>
      <c r="E352" t="inlineStr">
        <is>
          <t>NORRTÄLJE</t>
        </is>
      </c>
      <c r="G352" t="n">
        <v>2.1</v>
      </c>
      <c r="H352" t="n">
        <v>0</v>
      </c>
      <c r="I352" t="n">
        <v>0</v>
      </c>
      <c r="J352" t="n">
        <v>0</v>
      </c>
      <c r="K352" t="n">
        <v>0</v>
      </c>
      <c r="L352" t="n">
        <v>0</v>
      </c>
      <c r="M352" t="n">
        <v>0</v>
      </c>
      <c r="N352" t="n">
        <v>0</v>
      </c>
      <c r="O352" t="n">
        <v>0</v>
      </c>
      <c r="P352" t="n">
        <v>0</v>
      </c>
      <c r="Q352" t="n">
        <v>0</v>
      </c>
      <c r="R352" s="2" t="inlineStr"/>
    </row>
    <row r="353" ht="15" customHeight="1">
      <c r="A353" t="inlineStr">
        <is>
          <t>A 47901-2019</t>
        </is>
      </c>
      <c r="B353" s="1" t="n">
        <v>43725</v>
      </c>
      <c r="C353" s="1" t="n">
        <v>45758</v>
      </c>
      <c r="D353" t="inlineStr">
        <is>
          <t>STOCKHOLMS LÄN</t>
        </is>
      </c>
      <c r="E353" t="inlineStr">
        <is>
          <t>NORRTÄLJE</t>
        </is>
      </c>
      <c r="G353" t="n">
        <v>3</v>
      </c>
      <c r="H353" t="n">
        <v>0</v>
      </c>
      <c r="I353" t="n">
        <v>0</v>
      </c>
      <c r="J353" t="n">
        <v>0</v>
      </c>
      <c r="K353" t="n">
        <v>0</v>
      </c>
      <c r="L353" t="n">
        <v>0</v>
      </c>
      <c r="M353" t="n">
        <v>0</v>
      </c>
      <c r="N353" t="n">
        <v>0</v>
      </c>
      <c r="O353" t="n">
        <v>0</v>
      </c>
      <c r="P353" t="n">
        <v>0</v>
      </c>
      <c r="Q353" t="n">
        <v>0</v>
      </c>
      <c r="R353" s="2" t="inlineStr"/>
    </row>
    <row r="354" ht="15" customHeight="1">
      <c r="A354" t="inlineStr">
        <is>
          <t>A 47939-2019</t>
        </is>
      </c>
      <c r="B354" s="1" t="n">
        <v>43725</v>
      </c>
      <c r="C354" s="1" t="n">
        <v>45758</v>
      </c>
      <c r="D354" t="inlineStr">
        <is>
          <t>STOCKHOLMS LÄN</t>
        </is>
      </c>
      <c r="E354" t="inlineStr">
        <is>
          <t>NORRTÄLJE</t>
        </is>
      </c>
      <c r="G354" t="n">
        <v>4.5</v>
      </c>
      <c r="H354" t="n">
        <v>0</v>
      </c>
      <c r="I354" t="n">
        <v>0</v>
      </c>
      <c r="J354" t="n">
        <v>0</v>
      </c>
      <c r="K354" t="n">
        <v>0</v>
      </c>
      <c r="L354" t="n">
        <v>0</v>
      </c>
      <c r="M354" t="n">
        <v>0</v>
      </c>
      <c r="N354" t="n">
        <v>0</v>
      </c>
      <c r="O354" t="n">
        <v>0</v>
      </c>
      <c r="P354" t="n">
        <v>0</v>
      </c>
      <c r="Q354" t="n">
        <v>0</v>
      </c>
      <c r="R354" s="2" t="inlineStr"/>
    </row>
    <row r="355" ht="15" customHeight="1">
      <c r="A355" t="inlineStr">
        <is>
          <t>A 47941-2019</t>
        </is>
      </c>
      <c r="B355" s="1" t="n">
        <v>43725</v>
      </c>
      <c r="C355" s="1" t="n">
        <v>45758</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47879-2019</t>
        </is>
      </c>
      <c r="B356" s="1" t="n">
        <v>43725</v>
      </c>
      <c r="C356" s="1" t="n">
        <v>45758</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48730-2019</t>
        </is>
      </c>
      <c r="B357" s="1" t="n">
        <v>43728</v>
      </c>
      <c r="C357" s="1" t="n">
        <v>45758</v>
      </c>
      <c r="D357" t="inlineStr">
        <is>
          <t>STOCKHOLMS LÄN</t>
        </is>
      </c>
      <c r="E357" t="inlineStr">
        <is>
          <t>NORRTÄLJE</t>
        </is>
      </c>
      <c r="F357" t="inlineStr">
        <is>
          <t>Övriga statliga verk och myndigheter</t>
        </is>
      </c>
      <c r="G357" t="n">
        <v>1.3</v>
      </c>
      <c r="H357" t="n">
        <v>0</v>
      </c>
      <c r="I357" t="n">
        <v>0</v>
      </c>
      <c r="J357" t="n">
        <v>0</v>
      </c>
      <c r="K357" t="n">
        <v>0</v>
      </c>
      <c r="L357" t="n">
        <v>0</v>
      </c>
      <c r="M357" t="n">
        <v>0</v>
      </c>
      <c r="N357" t="n">
        <v>0</v>
      </c>
      <c r="O357" t="n">
        <v>0</v>
      </c>
      <c r="P357" t="n">
        <v>0</v>
      </c>
      <c r="Q357" t="n">
        <v>0</v>
      </c>
      <c r="R357" s="2" t="inlineStr"/>
    </row>
    <row r="358" ht="15" customHeight="1">
      <c r="A358" t="inlineStr">
        <is>
          <t>A 49252-2019</t>
        </is>
      </c>
      <c r="B358" s="1" t="n">
        <v>43731</v>
      </c>
      <c r="C358" s="1" t="n">
        <v>45758</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51940-2019</t>
        </is>
      </c>
      <c r="B359" s="1" t="n">
        <v>43741</v>
      </c>
      <c r="C359" s="1" t="n">
        <v>45758</v>
      </c>
      <c r="D359" t="inlineStr">
        <is>
          <t>STOCKHOLMS LÄN</t>
        </is>
      </c>
      <c r="E359" t="inlineStr">
        <is>
          <t>NORRTÄLJE</t>
        </is>
      </c>
      <c r="G359" t="n">
        <v>2.7</v>
      </c>
      <c r="H359" t="n">
        <v>0</v>
      </c>
      <c r="I359" t="n">
        <v>0</v>
      </c>
      <c r="J359" t="n">
        <v>0</v>
      </c>
      <c r="K359" t="n">
        <v>0</v>
      </c>
      <c r="L359" t="n">
        <v>0</v>
      </c>
      <c r="M359" t="n">
        <v>0</v>
      </c>
      <c r="N359" t="n">
        <v>0</v>
      </c>
      <c r="O359" t="n">
        <v>0</v>
      </c>
      <c r="P359" t="n">
        <v>0</v>
      </c>
      <c r="Q359" t="n">
        <v>0</v>
      </c>
      <c r="R359" s="2" t="inlineStr"/>
    </row>
    <row r="360" ht="15" customHeight="1">
      <c r="A360" t="inlineStr">
        <is>
          <t>A 51942-2019</t>
        </is>
      </c>
      <c r="B360" s="1" t="n">
        <v>43741</v>
      </c>
      <c r="C360" s="1" t="n">
        <v>45758</v>
      </c>
      <c r="D360" t="inlineStr">
        <is>
          <t>STOCKHOLMS LÄN</t>
        </is>
      </c>
      <c r="E360" t="inlineStr">
        <is>
          <t>NORRTÄLJE</t>
        </is>
      </c>
      <c r="G360" t="n">
        <v>5.6</v>
      </c>
      <c r="H360" t="n">
        <v>0</v>
      </c>
      <c r="I360" t="n">
        <v>0</v>
      </c>
      <c r="J360" t="n">
        <v>0</v>
      </c>
      <c r="K360" t="n">
        <v>0</v>
      </c>
      <c r="L360" t="n">
        <v>0</v>
      </c>
      <c r="M360" t="n">
        <v>0</v>
      </c>
      <c r="N360" t="n">
        <v>0</v>
      </c>
      <c r="O360" t="n">
        <v>0</v>
      </c>
      <c r="P360" t="n">
        <v>0</v>
      </c>
      <c r="Q360" t="n">
        <v>0</v>
      </c>
      <c r="R360" s="2" t="inlineStr"/>
    </row>
    <row r="361" ht="15" customHeight="1">
      <c r="A361" t="inlineStr">
        <is>
          <t>A 55481-2019</t>
        </is>
      </c>
      <c r="B361" s="1" t="n">
        <v>43759</v>
      </c>
      <c r="C361" s="1" t="n">
        <v>45758</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55891-2019</t>
        </is>
      </c>
      <c r="B362" s="1" t="n">
        <v>43761</v>
      </c>
      <c r="C362" s="1" t="n">
        <v>45758</v>
      </c>
      <c r="D362" t="inlineStr">
        <is>
          <t>STOCKHOLMS LÄN</t>
        </is>
      </c>
      <c r="E362" t="inlineStr">
        <is>
          <t>NORRTÄLJE</t>
        </is>
      </c>
      <c r="G362" t="n">
        <v>7.6</v>
      </c>
      <c r="H362" t="n">
        <v>0</v>
      </c>
      <c r="I362" t="n">
        <v>0</v>
      </c>
      <c r="J362" t="n">
        <v>0</v>
      </c>
      <c r="K362" t="n">
        <v>0</v>
      </c>
      <c r="L362" t="n">
        <v>0</v>
      </c>
      <c r="M362" t="n">
        <v>0</v>
      </c>
      <c r="N362" t="n">
        <v>0</v>
      </c>
      <c r="O362" t="n">
        <v>0</v>
      </c>
      <c r="P362" t="n">
        <v>0</v>
      </c>
      <c r="Q362" t="n">
        <v>0</v>
      </c>
      <c r="R362" s="2" t="inlineStr"/>
    </row>
    <row r="363" ht="15" customHeight="1">
      <c r="A363" t="inlineStr">
        <is>
          <t>A 56349-2019</t>
        </is>
      </c>
      <c r="B363" s="1" t="n">
        <v>43762</v>
      </c>
      <c r="C363" s="1" t="n">
        <v>45758</v>
      </c>
      <c r="D363" t="inlineStr">
        <is>
          <t>STOCKHOLMS LÄN</t>
        </is>
      </c>
      <c r="E363" t="inlineStr">
        <is>
          <t>NORRTÄLJE</t>
        </is>
      </c>
      <c r="G363" t="n">
        <v>1.5</v>
      </c>
      <c r="H363" t="n">
        <v>0</v>
      </c>
      <c r="I363" t="n">
        <v>0</v>
      </c>
      <c r="J363" t="n">
        <v>0</v>
      </c>
      <c r="K363" t="n">
        <v>0</v>
      </c>
      <c r="L363" t="n">
        <v>0</v>
      </c>
      <c r="M363" t="n">
        <v>0</v>
      </c>
      <c r="N363" t="n">
        <v>0</v>
      </c>
      <c r="O363" t="n">
        <v>0</v>
      </c>
      <c r="P363" t="n">
        <v>0</v>
      </c>
      <c r="Q363" t="n">
        <v>0</v>
      </c>
      <c r="R363" s="2" t="inlineStr"/>
    </row>
    <row r="364" ht="15" customHeight="1">
      <c r="A364" t="inlineStr">
        <is>
          <t>A 57759-2019</t>
        </is>
      </c>
      <c r="B364" s="1" t="n">
        <v>43763</v>
      </c>
      <c r="C364" s="1" t="n">
        <v>45758</v>
      </c>
      <c r="D364" t="inlineStr">
        <is>
          <t>STOCKHOLMS LÄN</t>
        </is>
      </c>
      <c r="E364" t="inlineStr">
        <is>
          <t>NORRTÄLJE</t>
        </is>
      </c>
      <c r="F364" t="inlineStr">
        <is>
          <t>Övriga Aktiebolag</t>
        </is>
      </c>
      <c r="G364" t="n">
        <v>7.3</v>
      </c>
      <c r="H364" t="n">
        <v>0</v>
      </c>
      <c r="I364" t="n">
        <v>0</v>
      </c>
      <c r="J364" t="n">
        <v>0</v>
      </c>
      <c r="K364" t="n">
        <v>0</v>
      </c>
      <c r="L364" t="n">
        <v>0</v>
      </c>
      <c r="M364" t="n">
        <v>0</v>
      </c>
      <c r="N364" t="n">
        <v>0</v>
      </c>
      <c r="O364" t="n">
        <v>0</v>
      </c>
      <c r="P364" t="n">
        <v>0</v>
      </c>
      <c r="Q364" t="n">
        <v>0</v>
      </c>
      <c r="R364" s="2" t="inlineStr"/>
    </row>
    <row r="365" ht="15" customHeight="1">
      <c r="A365" t="inlineStr">
        <is>
          <t>A 57063-2019</t>
        </is>
      </c>
      <c r="B365" s="1" t="n">
        <v>43766</v>
      </c>
      <c r="C365" s="1" t="n">
        <v>45758</v>
      </c>
      <c r="D365" t="inlineStr">
        <is>
          <t>STOCKHOLMS LÄN</t>
        </is>
      </c>
      <c r="E365" t="inlineStr">
        <is>
          <t>NORRTÄLJE</t>
        </is>
      </c>
      <c r="F365" t="inlineStr">
        <is>
          <t>Kyrkan</t>
        </is>
      </c>
      <c r="G365" t="n">
        <v>1.3</v>
      </c>
      <c r="H365" t="n">
        <v>0</v>
      </c>
      <c r="I365" t="n">
        <v>0</v>
      </c>
      <c r="J365" t="n">
        <v>0</v>
      </c>
      <c r="K365" t="n">
        <v>0</v>
      </c>
      <c r="L365" t="n">
        <v>0</v>
      </c>
      <c r="M365" t="n">
        <v>0</v>
      </c>
      <c r="N365" t="n">
        <v>0</v>
      </c>
      <c r="O365" t="n">
        <v>0</v>
      </c>
      <c r="P365" t="n">
        <v>0</v>
      </c>
      <c r="Q365" t="n">
        <v>0</v>
      </c>
      <c r="R365" s="2" t="inlineStr"/>
    </row>
    <row r="366" ht="15" customHeight="1">
      <c r="A366" t="inlineStr">
        <is>
          <t>A 56950-2019</t>
        </is>
      </c>
      <c r="B366" s="1" t="n">
        <v>43766</v>
      </c>
      <c r="C366" s="1" t="n">
        <v>45758</v>
      </c>
      <c r="D366" t="inlineStr">
        <is>
          <t>STOCKHOLMS LÄN</t>
        </is>
      </c>
      <c r="E366" t="inlineStr">
        <is>
          <t>NORRTÄLJE</t>
        </is>
      </c>
      <c r="G366" t="n">
        <v>1.2</v>
      </c>
      <c r="H366" t="n">
        <v>0</v>
      </c>
      <c r="I366" t="n">
        <v>0</v>
      </c>
      <c r="J366" t="n">
        <v>0</v>
      </c>
      <c r="K366" t="n">
        <v>0</v>
      </c>
      <c r="L366" t="n">
        <v>0</v>
      </c>
      <c r="M366" t="n">
        <v>0</v>
      </c>
      <c r="N366" t="n">
        <v>0</v>
      </c>
      <c r="O366" t="n">
        <v>0</v>
      </c>
      <c r="P366" t="n">
        <v>0</v>
      </c>
      <c r="Q366" t="n">
        <v>0</v>
      </c>
      <c r="R366" s="2" t="inlineStr"/>
    </row>
    <row r="367" ht="15" customHeight="1">
      <c r="A367" t="inlineStr">
        <is>
          <t>A 57605-2019</t>
        </is>
      </c>
      <c r="B367" s="1" t="n">
        <v>43768</v>
      </c>
      <c r="C367" s="1" t="n">
        <v>45758</v>
      </c>
      <c r="D367" t="inlineStr">
        <is>
          <t>STOCKHOLMS LÄN</t>
        </is>
      </c>
      <c r="E367" t="inlineStr">
        <is>
          <t>NORRTÄLJE</t>
        </is>
      </c>
      <c r="G367" t="n">
        <v>2.5</v>
      </c>
      <c r="H367" t="n">
        <v>0</v>
      </c>
      <c r="I367" t="n">
        <v>0</v>
      </c>
      <c r="J367" t="n">
        <v>0</v>
      </c>
      <c r="K367" t="n">
        <v>0</v>
      </c>
      <c r="L367" t="n">
        <v>0</v>
      </c>
      <c r="M367" t="n">
        <v>0</v>
      </c>
      <c r="N367" t="n">
        <v>0</v>
      </c>
      <c r="O367" t="n">
        <v>0</v>
      </c>
      <c r="P367" t="n">
        <v>0</v>
      </c>
      <c r="Q367" t="n">
        <v>0</v>
      </c>
      <c r="R367" s="2" t="inlineStr"/>
    </row>
    <row r="368" ht="15" customHeight="1">
      <c r="A368" t="inlineStr">
        <is>
          <t>A 58064-2019</t>
        </is>
      </c>
      <c r="B368" s="1" t="n">
        <v>43769</v>
      </c>
      <c r="C368" s="1" t="n">
        <v>45758</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58631-2019</t>
        </is>
      </c>
      <c r="B369" s="1" t="n">
        <v>43773</v>
      </c>
      <c r="C369" s="1" t="n">
        <v>45758</v>
      </c>
      <c r="D369" t="inlineStr">
        <is>
          <t>STOCKHOLMS LÄN</t>
        </is>
      </c>
      <c r="E369" t="inlineStr">
        <is>
          <t>NORRTÄLJE</t>
        </is>
      </c>
      <c r="G369" t="n">
        <v>6</v>
      </c>
      <c r="H369" t="n">
        <v>0</v>
      </c>
      <c r="I369" t="n">
        <v>0</v>
      </c>
      <c r="J369" t="n">
        <v>0</v>
      </c>
      <c r="K369" t="n">
        <v>0</v>
      </c>
      <c r="L369" t="n">
        <v>0</v>
      </c>
      <c r="M369" t="n">
        <v>0</v>
      </c>
      <c r="N369" t="n">
        <v>0</v>
      </c>
      <c r="O369" t="n">
        <v>0</v>
      </c>
      <c r="P369" t="n">
        <v>0</v>
      </c>
      <c r="Q369" t="n">
        <v>0</v>
      </c>
      <c r="R369" s="2" t="inlineStr"/>
    </row>
    <row r="370" ht="15" customHeight="1">
      <c r="A370" t="inlineStr">
        <is>
          <t>A 60214-2019</t>
        </is>
      </c>
      <c r="B370" s="1" t="n">
        <v>43780</v>
      </c>
      <c r="C370" s="1" t="n">
        <v>45758</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60208-2019</t>
        </is>
      </c>
      <c r="B371" s="1" t="n">
        <v>43780</v>
      </c>
      <c r="C371" s="1" t="n">
        <v>45758</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60842-2019</t>
        </is>
      </c>
      <c r="B372" s="1" t="n">
        <v>43781</v>
      </c>
      <c r="C372" s="1" t="n">
        <v>45758</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60844-2019</t>
        </is>
      </c>
      <c r="B373" s="1" t="n">
        <v>43781</v>
      </c>
      <c r="C373" s="1" t="n">
        <v>45758</v>
      </c>
      <c r="D373" t="inlineStr">
        <is>
          <t>STOCKHOLMS LÄN</t>
        </is>
      </c>
      <c r="E373" t="inlineStr">
        <is>
          <t>NORRTÄLJE</t>
        </is>
      </c>
      <c r="G373" t="n">
        <v>0.9</v>
      </c>
      <c r="H373" t="n">
        <v>0</v>
      </c>
      <c r="I373" t="n">
        <v>0</v>
      </c>
      <c r="J373" t="n">
        <v>0</v>
      </c>
      <c r="K373" t="n">
        <v>0</v>
      </c>
      <c r="L373" t="n">
        <v>0</v>
      </c>
      <c r="M373" t="n">
        <v>0</v>
      </c>
      <c r="N373" t="n">
        <v>0</v>
      </c>
      <c r="O373" t="n">
        <v>0</v>
      </c>
      <c r="P373" t="n">
        <v>0</v>
      </c>
      <c r="Q373" t="n">
        <v>0</v>
      </c>
      <c r="R373" s="2" t="inlineStr"/>
    </row>
    <row r="374" ht="15" customHeight="1">
      <c r="A374" t="inlineStr">
        <is>
          <t>A 61657-2019</t>
        </is>
      </c>
      <c r="B374" s="1" t="n">
        <v>43784</v>
      </c>
      <c r="C374" s="1" t="n">
        <v>45758</v>
      </c>
      <c r="D374" t="inlineStr">
        <is>
          <t>STOCKHOLMS LÄN</t>
        </is>
      </c>
      <c r="E374" t="inlineStr">
        <is>
          <t>NORRTÄLJE</t>
        </is>
      </c>
      <c r="G374" t="n">
        <v>5</v>
      </c>
      <c r="H374" t="n">
        <v>0</v>
      </c>
      <c r="I374" t="n">
        <v>0</v>
      </c>
      <c r="J374" t="n">
        <v>0</v>
      </c>
      <c r="K374" t="n">
        <v>0</v>
      </c>
      <c r="L374" t="n">
        <v>0</v>
      </c>
      <c r="M374" t="n">
        <v>0</v>
      </c>
      <c r="N374" t="n">
        <v>0</v>
      </c>
      <c r="O374" t="n">
        <v>0</v>
      </c>
      <c r="P374" t="n">
        <v>0</v>
      </c>
      <c r="Q374" t="n">
        <v>0</v>
      </c>
      <c r="R374" s="2" t="inlineStr"/>
    </row>
    <row r="375" ht="15" customHeight="1">
      <c r="A375" t="inlineStr">
        <is>
          <t>A 62980-2019</t>
        </is>
      </c>
      <c r="B375" s="1" t="n">
        <v>43790</v>
      </c>
      <c r="C375" s="1" t="n">
        <v>45758</v>
      </c>
      <c r="D375" t="inlineStr">
        <is>
          <t>STOCKHOLMS LÄN</t>
        </is>
      </c>
      <c r="E375" t="inlineStr">
        <is>
          <t>NORRTÄLJE</t>
        </is>
      </c>
      <c r="G375" t="n">
        <v>1.1</v>
      </c>
      <c r="H375" t="n">
        <v>0</v>
      </c>
      <c r="I375" t="n">
        <v>0</v>
      </c>
      <c r="J375" t="n">
        <v>0</v>
      </c>
      <c r="K375" t="n">
        <v>0</v>
      </c>
      <c r="L375" t="n">
        <v>0</v>
      </c>
      <c r="M375" t="n">
        <v>0</v>
      </c>
      <c r="N375" t="n">
        <v>0</v>
      </c>
      <c r="O375" t="n">
        <v>0</v>
      </c>
      <c r="P375" t="n">
        <v>0</v>
      </c>
      <c r="Q375" t="n">
        <v>0</v>
      </c>
      <c r="R375" s="2" t="inlineStr"/>
    </row>
    <row r="376" ht="15" customHeight="1">
      <c r="A376" t="inlineStr">
        <is>
          <t>A 63513-2019</t>
        </is>
      </c>
      <c r="B376" s="1" t="n">
        <v>43794</v>
      </c>
      <c r="C376" s="1" t="n">
        <v>45758</v>
      </c>
      <c r="D376" t="inlineStr">
        <is>
          <t>STOCKHOLMS LÄN</t>
        </is>
      </c>
      <c r="E376" t="inlineStr">
        <is>
          <t>NORRTÄLJE</t>
        </is>
      </c>
      <c r="G376" t="n">
        <v>9</v>
      </c>
      <c r="H376" t="n">
        <v>0</v>
      </c>
      <c r="I376" t="n">
        <v>0</v>
      </c>
      <c r="J376" t="n">
        <v>0</v>
      </c>
      <c r="K376" t="n">
        <v>0</v>
      </c>
      <c r="L376" t="n">
        <v>0</v>
      </c>
      <c r="M376" t="n">
        <v>0</v>
      </c>
      <c r="N376" t="n">
        <v>0</v>
      </c>
      <c r="O376" t="n">
        <v>0</v>
      </c>
      <c r="P376" t="n">
        <v>0</v>
      </c>
      <c r="Q376" t="n">
        <v>0</v>
      </c>
      <c r="R376" s="2" t="inlineStr"/>
    </row>
    <row r="377" ht="15" customHeight="1">
      <c r="A377" t="inlineStr">
        <is>
          <t>A 63529-2019</t>
        </is>
      </c>
      <c r="B377" s="1" t="n">
        <v>43794</v>
      </c>
      <c r="C377" s="1" t="n">
        <v>45758</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63495-2019</t>
        </is>
      </c>
      <c r="B378" s="1" t="n">
        <v>43794</v>
      </c>
      <c r="C378" s="1" t="n">
        <v>45758</v>
      </c>
      <c r="D378" t="inlineStr">
        <is>
          <t>STOCKHOLMS LÄN</t>
        </is>
      </c>
      <c r="E378" t="inlineStr">
        <is>
          <t>NORRTÄLJE</t>
        </is>
      </c>
      <c r="G378" t="n">
        <v>1.8</v>
      </c>
      <c r="H378" t="n">
        <v>0</v>
      </c>
      <c r="I378" t="n">
        <v>0</v>
      </c>
      <c r="J378" t="n">
        <v>0</v>
      </c>
      <c r="K378" t="n">
        <v>0</v>
      </c>
      <c r="L378" t="n">
        <v>0</v>
      </c>
      <c r="M378" t="n">
        <v>0</v>
      </c>
      <c r="N378" t="n">
        <v>0</v>
      </c>
      <c r="O378" t="n">
        <v>0</v>
      </c>
      <c r="P378" t="n">
        <v>0</v>
      </c>
      <c r="Q378" t="n">
        <v>0</v>
      </c>
      <c r="R378" s="2" t="inlineStr"/>
    </row>
    <row r="379" ht="15" customHeight="1">
      <c r="A379" t="inlineStr">
        <is>
          <t>A 63504-2019</t>
        </is>
      </c>
      <c r="B379" s="1" t="n">
        <v>43794</v>
      </c>
      <c r="C379" s="1" t="n">
        <v>45758</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63528-2019</t>
        </is>
      </c>
      <c r="B380" s="1" t="n">
        <v>43794</v>
      </c>
      <c r="C380" s="1" t="n">
        <v>45758</v>
      </c>
      <c r="D380" t="inlineStr">
        <is>
          <t>STOCKHOLMS LÄN</t>
        </is>
      </c>
      <c r="E380" t="inlineStr">
        <is>
          <t>NORRTÄLJE</t>
        </is>
      </c>
      <c r="G380" t="n">
        <v>1.4</v>
      </c>
      <c r="H380" t="n">
        <v>0</v>
      </c>
      <c r="I380" t="n">
        <v>0</v>
      </c>
      <c r="J380" t="n">
        <v>0</v>
      </c>
      <c r="K380" t="n">
        <v>0</v>
      </c>
      <c r="L380" t="n">
        <v>0</v>
      </c>
      <c r="M380" t="n">
        <v>0</v>
      </c>
      <c r="N380" t="n">
        <v>0</v>
      </c>
      <c r="O380" t="n">
        <v>0</v>
      </c>
      <c r="P380" t="n">
        <v>0</v>
      </c>
      <c r="Q380" t="n">
        <v>0</v>
      </c>
      <c r="R380" s="2" t="inlineStr"/>
    </row>
    <row r="381" ht="15" customHeight="1">
      <c r="A381" t="inlineStr">
        <is>
          <t>A 63515-2019</t>
        </is>
      </c>
      <c r="B381" s="1" t="n">
        <v>43794</v>
      </c>
      <c r="C381" s="1" t="n">
        <v>45758</v>
      </c>
      <c r="D381" t="inlineStr">
        <is>
          <t>STOCKHOLMS LÄN</t>
        </is>
      </c>
      <c r="E381" t="inlineStr">
        <is>
          <t>NORRTÄLJE</t>
        </is>
      </c>
      <c r="G381" t="n">
        <v>7.1</v>
      </c>
      <c r="H381" t="n">
        <v>0</v>
      </c>
      <c r="I381" t="n">
        <v>0</v>
      </c>
      <c r="J381" t="n">
        <v>0</v>
      </c>
      <c r="K381" t="n">
        <v>0</v>
      </c>
      <c r="L381" t="n">
        <v>0</v>
      </c>
      <c r="M381" t="n">
        <v>0</v>
      </c>
      <c r="N381" t="n">
        <v>0</v>
      </c>
      <c r="O381" t="n">
        <v>0</v>
      </c>
      <c r="P381" t="n">
        <v>0</v>
      </c>
      <c r="Q381" t="n">
        <v>0</v>
      </c>
      <c r="R381" s="2" t="inlineStr"/>
    </row>
    <row r="382" ht="15" customHeight="1">
      <c r="A382" t="inlineStr">
        <is>
          <t>A 64293-2019</t>
        </is>
      </c>
      <c r="B382" s="1" t="n">
        <v>43797</v>
      </c>
      <c r="C382" s="1" t="n">
        <v>45758</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65640-2019</t>
        </is>
      </c>
      <c r="B383" s="1" t="n">
        <v>43804</v>
      </c>
      <c r="C383" s="1" t="n">
        <v>45758</v>
      </c>
      <c r="D383" t="inlineStr">
        <is>
          <t>STOCKHOLMS LÄN</t>
        </is>
      </c>
      <c r="E383" t="inlineStr">
        <is>
          <t>NORRTÄLJE</t>
        </is>
      </c>
      <c r="G383" t="n">
        <v>0.8</v>
      </c>
      <c r="H383" t="n">
        <v>0</v>
      </c>
      <c r="I383" t="n">
        <v>0</v>
      </c>
      <c r="J383" t="n">
        <v>0</v>
      </c>
      <c r="K383" t="n">
        <v>0</v>
      </c>
      <c r="L383" t="n">
        <v>0</v>
      </c>
      <c r="M383" t="n">
        <v>0</v>
      </c>
      <c r="N383" t="n">
        <v>0</v>
      </c>
      <c r="O383" t="n">
        <v>0</v>
      </c>
      <c r="P383" t="n">
        <v>0</v>
      </c>
      <c r="Q383" t="n">
        <v>0</v>
      </c>
      <c r="R383" s="2" t="inlineStr"/>
    </row>
    <row r="384" ht="15" customHeight="1">
      <c r="A384" t="inlineStr">
        <is>
          <t>A 65998-2019</t>
        </is>
      </c>
      <c r="B384" s="1" t="n">
        <v>43805</v>
      </c>
      <c r="C384" s="1" t="n">
        <v>45758</v>
      </c>
      <c r="D384" t="inlineStr">
        <is>
          <t>STOCKHOLMS LÄN</t>
        </is>
      </c>
      <c r="E384" t="inlineStr">
        <is>
          <t>NORRTÄLJE</t>
        </is>
      </c>
      <c r="G384" t="n">
        <v>6.5</v>
      </c>
      <c r="H384" t="n">
        <v>0</v>
      </c>
      <c r="I384" t="n">
        <v>0</v>
      </c>
      <c r="J384" t="n">
        <v>0</v>
      </c>
      <c r="K384" t="n">
        <v>0</v>
      </c>
      <c r="L384" t="n">
        <v>0</v>
      </c>
      <c r="M384" t="n">
        <v>0</v>
      </c>
      <c r="N384" t="n">
        <v>0</v>
      </c>
      <c r="O384" t="n">
        <v>0</v>
      </c>
      <c r="P384" t="n">
        <v>0</v>
      </c>
      <c r="Q384" t="n">
        <v>0</v>
      </c>
      <c r="R384" s="2" t="inlineStr"/>
    </row>
    <row r="385" ht="15" customHeight="1">
      <c r="A385" t="inlineStr">
        <is>
          <t>A 66604-2019</t>
        </is>
      </c>
      <c r="B385" s="1" t="n">
        <v>43809</v>
      </c>
      <c r="C385" s="1" t="n">
        <v>45758</v>
      </c>
      <c r="D385" t="inlineStr">
        <is>
          <t>STOCKHOLMS LÄN</t>
        </is>
      </c>
      <c r="E385" t="inlineStr">
        <is>
          <t>NORRTÄLJE</t>
        </is>
      </c>
      <c r="G385" t="n">
        <v>2.3</v>
      </c>
      <c r="H385" t="n">
        <v>0</v>
      </c>
      <c r="I385" t="n">
        <v>0</v>
      </c>
      <c r="J385" t="n">
        <v>0</v>
      </c>
      <c r="K385" t="n">
        <v>0</v>
      </c>
      <c r="L385" t="n">
        <v>0</v>
      </c>
      <c r="M385" t="n">
        <v>0</v>
      </c>
      <c r="N385" t="n">
        <v>0</v>
      </c>
      <c r="O385" t="n">
        <v>0</v>
      </c>
      <c r="P385" t="n">
        <v>0</v>
      </c>
      <c r="Q385" t="n">
        <v>0</v>
      </c>
      <c r="R385" s="2" t="inlineStr"/>
    </row>
    <row r="386" ht="15" customHeight="1">
      <c r="A386" t="inlineStr">
        <is>
          <t>A 67158-2019</t>
        </is>
      </c>
      <c r="B386" s="1" t="n">
        <v>43811</v>
      </c>
      <c r="C386" s="1" t="n">
        <v>45758</v>
      </c>
      <c r="D386" t="inlineStr">
        <is>
          <t>STOCKHOLMS LÄN</t>
        </is>
      </c>
      <c r="E386" t="inlineStr">
        <is>
          <t>NORRTÄLJE</t>
        </is>
      </c>
      <c r="G386" t="n">
        <v>4.4</v>
      </c>
      <c r="H386" t="n">
        <v>0</v>
      </c>
      <c r="I386" t="n">
        <v>0</v>
      </c>
      <c r="J386" t="n">
        <v>0</v>
      </c>
      <c r="K386" t="n">
        <v>0</v>
      </c>
      <c r="L386" t="n">
        <v>0</v>
      </c>
      <c r="M386" t="n">
        <v>0</v>
      </c>
      <c r="N386" t="n">
        <v>0</v>
      </c>
      <c r="O386" t="n">
        <v>0</v>
      </c>
      <c r="P386" t="n">
        <v>0</v>
      </c>
      <c r="Q386" t="n">
        <v>0</v>
      </c>
      <c r="R386" s="2" t="inlineStr"/>
    </row>
    <row r="387" ht="15" customHeight="1">
      <c r="A387" t="inlineStr">
        <is>
          <t>A 67324-2019</t>
        </is>
      </c>
      <c r="B387" s="1" t="n">
        <v>43812</v>
      </c>
      <c r="C387" s="1" t="n">
        <v>45758</v>
      </c>
      <c r="D387" t="inlineStr">
        <is>
          <t>STOCKHOLMS LÄN</t>
        </is>
      </c>
      <c r="E387" t="inlineStr">
        <is>
          <t>NORRTÄLJE</t>
        </is>
      </c>
      <c r="G387" t="n">
        <v>7.7</v>
      </c>
      <c r="H387" t="n">
        <v>0</v>
      </c>
      <c r="I387" t="n">
        <v>0</v>
      </c>
      <c r="J387" t="n">
        <v>0</v>
      </c>
      <c r="K387" t="n">
        <v>0</v>
      </c>
      <c r="L387" t="n">
        <v>0</v>
      </c>
      <c r="M387" t="n">
        <v>0</v>
      </c>
      <c r="N387" t="n">
        <v>0</v>
      </c>
      <c r="O387" t="n">
        <v>0</v>
      </c>
      <c r="P387" t="n">
        <v>0</v>
      </c>
      <c r="Q387" t="n">
        <v>0</v>
      </c>
      <c r="R387" s="2" t="inlineStr"/>
    </row>
    <row r="388" ht="15" customHeight="1">
      <c r="A388" t="inlineStr">
        <is>
          <t>A 68865-2019</t>
        </is>
      </c>
      <c r="B388" s="1" t="n">
        <v>43821</v>
      </c>
      <c r="C388" s="1" t="n">
        <v>45758</v>
      </c>
      <c r="D388" t="inlineStr">
        <is>
          <t>STOCKHOLMS LÄN</t>
        </is>
      </c>
      <c r="E388" t="inlineStr">
        <is>
          <t>NORRTÄLJE</t>
        </is>
      </c>
      <c r="G388" t="n">
        <v>1.8</v>
      </c>
      <c r="H388" t="n">
        <v>0</v>
      </c>
      <c r="I388" t="n">
        <v>0</v>
      </c>
      <c r="J388" t="n">
        <v>0</v>
      </c>
      <c r="K388" t="n">
        <v>0</v>
      </c>
      <c r="L388" t="n">
        <v>0</v>
      </c>
      <c r="M388" t="n">
        <v>0</v>
      </c>
      <c r="N388" t="n">
        <v>0</v>
      </c>
      <c r="O388" t="n">
        <v>0</v>
      </c>
      <c r="P388" t="n">
        <v>0</v>
      </c>
      <c r="Q388" t="n">
        <v>0</v>
      </c>
      <c r="R388" s="2" t="inlineStr"/>
    </row>
    <row r="389" ht="15" customHeight="1">
      <c r="A389" t="inlineStr">
        <is>
          <t>A 1099-2020</t>
        </is>
      </c>
      <c r="B389" s="1" t="n">
        <v>43822</v>
      </c>
      <c r="C389" s="1" t="n">
        <v>45758</v>
      </c>
      <c r="D389" t="inlineStr">
        <is>
          <t>STOCKHOLMS LÄN</t>
        </is>
      </c>
      <c r="E389" t="inlineStr">
        <is>
          <t>NORRTÄLJE</t>
        </is>
      </c>
      <c r="G389" t="n">
        <v>2.7</v>
      </c>
      <c r="H389" t="n">
        <v>0</v>
      </c>
      <c r="I389" t="n">
        <v>0</v>
      </c>
      <c r="J389" t="n">
        <v>0</v>
      </c>
      <c r="K389" t="n">
        <v>0</v>
      </c>
      <c r="L389" t="n">
        <v>0</v>
      </c>
      <c r="M389" t="n">
        <v>0</v>
      </c>
      <c r="N389" t="n">
        <v>0</v>
      </c>
      <c r="O389" t="n">
        <v>0</v>
      </c>
      <c r="P389" t="n">
        <v>0</v>
      </c>
      <c r="Q389" t="n">
        <v>0</v>
      </c>
      <c r="R389" s="2" t="inlineStr"/>
    </row>
    <row r="390" ht="15" customHeight="1">
      <c r="A390" t="inlineStr">
        <is>
          <t>A 4475-2020</t>
        </is>
      </c>
      <c r="B390" s="1" t="n">
        <v>43849</v>
      </c>
      <c r="C390" s="1" t="n">
        <v>45758</v>
      </c>
      <c r="D390" t="inlineStr">
        <is>
          <t>STOCKHOLMS LÄN</t>
        </is>
      </c>
      <c r="E390" t="inlineStr">
        <is>
          <t>NORRTÄLJE</t>
        </is>
      </c>
      <c r="G390" t="n">
        <v>1.6</v>
      </c>
      <c r="H390" t="n">
        <v>0</v>
      </c>
      <c r="I390" t="n">
        <v>0</v>
      </c>
      <c r="J390" t="n">
        <v>0</v>
      </c>
      <c r="K390" t="n">
        <v>0</v>
      </c>
      <c r="L390" t="n">
        <v>0</v>
      </c>
      <c r="M390" t="n">
        <v>0</v>
      </c>
      <c r="N390" t="n">
        <v>0</v>
      </c>
      <c r="O390" t="n">
        <v>0</v>
      </c>
      <c r="P390" t="n">
        <v>0</v>
      </c>
      <c r="Q390" t="n">
        <v>0</v>
      </c>
      <c r="R390" s="2" t="inlineStr"/>
    </row>
    <row r="391" ht="15" customHeight="1">
      <c r="A391" t="inlineStr">
        <is>
          <t>A 3882-2020</t>
        </is>
      </c>
      <c r="B391" s="1" t="n">
        <v>43854</v>
      </c>
      <c r="C391" s="1" t="n">
        <v>45758</v>
      </c>
      <c r="D391" t="inlineStr">
        <is>
          <t>STOCKHOLMS LÄN</t>
        </is>
      </c>
      <c r="E391" t="inlineStr">
        <is>
          <t>NORRTÄLJE</t>
        </is>
      </c>
      <c r="G391" t="n">
        <v>5.9</v>
      </c>
      <c r="H391" t="n">
        <v>0</v>
      </c>
      <c r="I391" t="n">
        <v>0</v>
      </c>
      <c r="J391" t="n">
        <v>0</v>
      </c>
      <c r="K391" t="n">
        <v>0</v>
      </c>
      <c r="L391" t="n">
        <v>0</v>
      </c>
      <c r="M391" t="n">
        <v>0</v>
      </c>
      <c r="N391" t="n">
        <v>0</v>
      </c>
      <c r="O391" t="n">
        <v>0</v>
      </c>
      <c r="P391" t="n">
        <v>0</v>
      </c>
      <c r="Q391" t="n">
        <v>0</v>
      </c>
      <c r="R391" s="2" t="inlineStr"/>
    </row>
    <row r="392" ht="15" customHeight="1">
      <c r="A392" t="inlineStr">
        <is>
          <t>A 4094-2020</t>
        </is>
      </c>
      <c r="B392" s="1" t="n">
        <v>43857</v>
      </c>
      <c r="C392" s="1" t="n">
        <v>45758</v>
      </c>
      <c r="D392" t="inlineStr">
        <is>
          <t>STOCKHOLMS LÄN</t>
        </is>
      </c>
      <c r="E392" t="inlineStr">
        <is>
          <t>NORRTÄLJE</t>
        </is>
      </c>
      <c r="G392" t="n">
        <v>2.5</v>
      </c>
      <c r="H392" t="n">
        <v>0</v>
      </c>
      <c r="I392" t="n">
        <v>0</v>
      </c>
      <c r="J392" t="n">
        <v>0</v>
      </c>
      <c r="K392" t="n">
        <v>0</v>
      </c>
      <c r="L392" t="n">
        <v>0</v>
      </c>
      <c r="M392" t="n">
        <v>0</v>
      </c>
      <c r="N392" t="n">
        <v>0</v>
      </c>
      <c r="O392" t="n">
        <v>0</v>
      </c>
      <c r="P392" t="n">
        <v>0</v>
      </c>
      <c r="Q392" t="n">
        <v>0</v>
      </c>
      <c r="R392" s="2" t="inlineStr"/>
    </row>
    <row r="393" ht="15" customHeight="1">
      <c r="A393" t="inlineStr">
        <is>
          <t>A 4950-2020</t>
        </is>
      </c>
      <c r="B393" s="1" t="n">
        <v>43859</v>
      </c>
      <c r="C393" s="1" t="n">
        <v>45758</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5084-2020</t>
        </is>
      </c>
      <c r="B394" s="1" t="n">
        <v>43859</v>
      </c>
      <c r="C394" s="1" t="n">
        <v>45758</v>
      </c>
      <c r="D394" t="inlineStr">
        <is>
          <t>STOCKHOLMS LÄN</t>
        </is>
      </c>
      <c r="E394" t="inlineStr">
        <is>
          <t>NORRTÄLJE</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4952-2020</t>
        </is>
      </c>
      <c r="B395" s="1" t="n">
        <v>43859</v>
      </c>
      <c r="C395" s="1" t="n">
        <v>45758</v>
      </c>
      <c r="D395" t="inlineStr">
        <is>
          <t>STOCKHOLMS LÄN</t>
        </is>
      </c>
      <c r="E395" t="inlineStr">
        <is>
          <t>NORRTÄLJE</t>
        </is>
      </c>
      <c r="G395" t="n">
        <v>0.3</v>
      </c>
      <c r="H395" t="n">
        <v>0</v>
      </c>
      <c r="I395" t="n">
        <v>0</v>
      </c>
      <c r="J395" t="n">
        <v>0</v>
      </c>
      <c r="K395" t="n">
        <v>0</v>
      </c>
      <c r="L395" t="n">
        <v>0</v>
      </c>
      <c r="M395" t="n">
        <v>0</v>
      </c>
      <c r="N395" t="n">
        <v>0</v>
      </c>
      <c r="O395" t="n">
        <v>0</v>
      </c>
      <c r="P395" t="n">
        <v>0</v>
      </c>
      <c r="Q395" t="n">
        <v>0</v>
      </c>
      <c r="R395" s="2" t="inlineStr"/>
    </row>
    <row r="396" ht="15" customHeight="1">
      <c r="A396" t="inlineStr">
        <is>
          <t>A 5735-2020</t>
        </is>
      </c>
      <c r="B396" s="1" t="n">
        <v>43863</v>
      </c>
      <c r="C396" s="1" t="n">
        <v>45758</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5733-2020</t>
        </is>
      </c>
      <c r="B397" s="1" t="n">
        <v>43863</v>
      </c>
      <c r="C397" s="1" t="n">
        <v>45758</v>
      </c>
      <c r="D397" t="inlineStr">
        <is>
          <t>STOCKHOLMS LÄN</t>
        </is>
      </c>
      <c r="E397" t="inlineStr">
        <is>
          <t>NORRTÄLJE</t>
        </is>
      </c>
      <c r="G397" t="n">
        <v>1.5</v>
      </c>
      <c r="H397" t="n">
        <v>0</v>
      </c>
      <c r="I397" t="n">
        <v>0</v>
      </c>
      <c r="J397" t="n">
        <v>0</v>
      </c>
      <c r="K397" t="n">
        <v>0</v>
      </c>
      <c r="L397" t="n">
        <v>0</v>
      </c>
      <c r="M397" t="n">
        <v>0</v>
      </c>
      <c r="N397" t="n">
        <v>0</v>
      </c>
      <c r="O397" t="n">
        <v>0</v>
      </c>
      <c r="P397" t="n">
        <v>0</v>
      </c>
      <c r="Q397" t="n">
        <v>0</v>
      </c>
      <c r="R397" s="2" t="inlineStr"/>
    </row>
    <row r="398" ht="15" customHeight="1">
      <c r="A398" t="inlineStr">
        <is>
          <t>A 5739-2020</t>
        </is>
      </c>
      <c r="B398" s="1" t="n">
        <v>43863</v>
      </c>
      <c r="C398" s="1" t="n">
        <v>45758</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7471-2020</t>
        </is>
      </c>
      <c r="B399" s="1" t="n">
        <v>43871</v>
      </c>
      <c r="C399" s="1" t="n">
        <v>45758</v>
      </c>
      <c r="D399" t="inlineStr">
        <is>
          <t>STOCKHOLMS LÄN</t>
        </is>
      </c>
      <c r="E399" t="inlineStr">
        <is>
          <t>NORRTÄLJE</t>
        </is>
      </c>
      <c r="G399" t="n">
        <v>7.8</v>
      </c>
      <c r="H399" t="n">
        <v>0</v>
      </c>
      <c r="I399" t="n">
        <v>0</v>
      </c>
      <c r="J399" t="n">
        <v>0</v>
      </c>
      <c r="K399" t="n">
        <v>0</v>
      </c>
      <c r="L399" t="n">
        <v>0</v>
      </c>
      <c r="M399" t="n">
        <v>0</v>
      </c>
      <c r="N399" t="n">
        <v>0</v>
      </c>
      <c r="O399" t="n">
        <v>0</v>
      </c>
      <c r="P399" t="n">
        <v>0</v>
      </c>
      <c r="Q399" t="n">
        <v>0</v>
      </c>
      <c r="R399" s="2" t="inlineStr"/>
    </row>
    <row r="400" ht="15" customHeight="1">
      <c r="A400" t="inlineStr">
        <is>
          <t>A 9845-2020</t>
        </is>
      </c>
      <c r="B400" s="1" t="n">
        <v>43881</v>
      </c>
      <c r="C400" s="1" t="n">
        <v>45758</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10618-2020</t>
        </is>
      </c>
      <c r="B401" s="1" t="n">
        <v>43887</v>
      </c>
      <c r="C401" s="1" t="n">
        <v>45758</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11184-2020</t>
        </is>
      </c>
      <c r="B402" s="1" t="n">
        <v>43892</v>
      </c>
      <c r="C402" s="1" t="n">
        <v>45758</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11576-2020</t>
        </is>
      </c>
      <c r="B403" s="1" t="n">
        <v>43893</v>
      </c>
      <c r="C403" s="1" t="n">
        <v>45758</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12113-2020</t>
        </is>
      </c>
      <c r="B404" s="1" t="n">
        <v>43895</v>
      </c>
      <c r="C404" s="1" t="n">
        <v>45758</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12970-2020</t>
        </is>
      </c>
      <c r="B405" s="1" t="n">
        <v>43900</v>
      </c>
      <c r="C405" s="1" t="n">
        <v>45758</v>
      </c>
      <c r="D405" t="inlineStr">
        <is>
          <t>STOCKHOLMS LÄN</t>
        </is>
      </c>
      <c r="E405" t="inlineStr">
        <is>
          <t>NORRTÄLJE</t>
        </is>
      </c>
      <c r="F405" t="inlineStr">
        <is>
          <t>Kommuner</t>
        </is>
      </c>
      <c r="G405" t="n">
        <v>3</v>
      </c>
      <c r="H405" t="n">
        <v>0</v>
      </c>
      <c r="I405" t="n">
        <v>0</v>
      </c>
      <c r="J405" t="n">
        <v>0</v>
      </c>
      <c r="K405" t="n">
        <v>0</v>
      </c>
      <c r="L405" t="n">
        <v>0</v>
      </c>
      <c r="M405" t="n">
        <v>0</v>
      </c>
      <c r="N405" t="n">
        <v>0</v>
      </c>
      <c r="O405" t="n">
        <v>0</v>
      </c>
      <c r="P405" t="n">
        <v>0</v>
      </c>
      <c r="Q405" t="n">
        <v>0</v>
      </c>
      <c r="R405" s="2" t="inlineStr"/>
    </row>
    <row r="406" ht="15" customHeight="1">
      <c r="A406" t="inlineStr">
        <is>
          <t>A 13230-2020</t>
        </is>
      </c>
      <c r="B406" s="1" t="n">
        <v>43901</v>
      </c>
      <c r="C406" s="1" t="n">
        <v>45758</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13287-2020</t>
        </is>
      </c>
      <c r="B407" s="1" t="n">
        <v>43901</v>
      </c>
      <c r="C407" s="1" t="n">
        <v>45758</v>
      </c>
      <c r="D407" t="inlineStr">
        <is>
          <t>STOCKHOLMS LÄN</t>
        </is>
      </c>
      <c r="E407" t="inlineStr">
        <is>
          <t>NORRTÄLJE</t>
        </is>
      </c>
      <c r="F407" t="inlineStr">
        <is>
          <t>Kommuner</t>
        </is>
      </c>
      <c r="G407" t="n">
        <v>3.2</v>
      </c>
      <c r="H407" t="n">
        <v>0</v>
      </c>
      <c r="I407" t="n">
        <v>0</v>
      </c>
      <c r="J407" t="n">
        <v>0</v>
      </c>
      <c r="K407" t="n">
        <v>0</v>
      </c>
      <c r="L407" t="n">
        <v>0</v>
      </c>
      <c r="M407" t="n">
        <v>0</v>
      </c>
      <c r="N407" t="n">
        <v>0</v>
      </c>
      <c r="O407" t="n">
        <v>0</v>
      </c>
      <c r="P407" t="n">
        <v>0</v>
      </c>
      <c r="Q407" t="n">
        <v>0</v>
      </c>
      <c r="R407" s="2" t="inlineStr"/>
    </row>
    <row r="408" ht="15" customHeight="1">
      <c r="A408" t="inlineStr">
        <is>
          <t>A 13281-2020</t>
        </is>
      </c>
      <c r="B408" s="1" t="n">
        <v>43901</v>
      </c>
      <c r="C408" s="1" t="n">
        <v>45758</v>
      </c>
      <c r="D408" t="inlineStr">
        <is>
          <t>STOCKHOLMS LÄN</t>
        </is>
      </c>
      <c r="E408" t="inlineStr">
        <is>
          <t>NORRTÄLJE</t>
        </is>
      </c>
      <c r="G408" t="n">
        <v>0.7</v>
      </c>
      <c r="H408" t="n">
        <v>0</v>
      </c>
      <c r="I408" t="n">
        <v>0</v>
      </c>
      <c r="J408" t="n">
        <v>0</v>
      </c>
      <c r="K408" t="n">
        <v>0</v>
      </c>
      <c r="L408" t="n">
        <v>0</v>
      </c>
      <c r="M408" t="n">
        <v>0</v>
      </c>
      <c r="N408" t="n">
        <v>0</v>
      </c>
      <c r="O408" t="n">
        <v>0</v>
      </c>
      <c r="P408" t="n">
        <v>0</v>
      </c>
      <c r="Q408" t="n">
        <v>0</v>
      </c>
      <c r="R408" s="2" t="inlineStr"/>
    </row>
    <row r="409" ht="15" customHeight="1">
      <c r="A409" t="inlineStr">
        <is>
          <t>A 13501-2020</t>
        </is>
      </c>
      <c r="B409" s="1" t="n">
        <v>43902</v>
      </c>
      <c r="C409" s="1" t="n">
        <v>45758</v>
      </c>
      <c r="D409" t="inlineStr">
        <is>
          <t>STOCKHOLMS LÄN</t>
        </is>
      </c>
      <c r="E409" t="inlineStr">
        <is>
          <t>NORRTÄLJE</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13506-2020</t>
        </is>
      </c>
      <c r="B410" s="1" t="n">
        <v>43902</v>
      </c>
      <c r="C410" s="1" t="n">
        <v>45758</v>
      </c>
      <c r="D410" t="inlineStr">
        <is>
          <t>STOCKHOLMS LÄN</t>
        </is>
      </c>
      <c r="E410" t="inlineStr">
        <is>
          <t>NORRTÄLJE</t>
        </is>
      </c>
      <c r="G410" t="n">
        <v>5.7</v>
      </c>
      <c r="H410" t="n">
        <v>0</v>
      </c>
      <c r="I410" t="n">
        <v>0</v>
      </c>
      <c r="J410" t="n">
        <v>0</v>
      </c>
      <c r="K410" t="n">
        <v>0</v>
      </c>
      <c r="L410" t="n">
        <v>0</v>
      </c>
      <c r="M410" t="n">
        <v>0</v>
      </c>
      <c r="N410" t="n">
        <v>0</v>
      </c>
      <c r="O410" t="n">
        <v>0</v>
      </c>
      <c r="P410" t="n">
        <v>0</v>
      </c>
      <c r="Q410" t="n">
        <v>0</v>
      </c>
      <c r="R410" s="2" t="inlineStr"/>
    </row>
    <row r="411" ht="15" customHeight="1">
      <c r="A411" t="inlineStr">
        <is>
          <t>A 14525-2020</t>
        </is>
      </c>
      <c r="B411" s="1" t="n">
        <v>43908</v>
      </c>
      <c r="C411" s="1" t="n">
        <v>45758</v>
      </c>
      <c r="D411" t="inlineStr">
        <is>
          <t>STOCKHOLMS LÄN</t>
        </is>
      </c>
      <c r="E411" t="inlineStr">
        <is>
          <t>NORRTÄLJE</t>
        </is>
      </c>
      <c r="G411" t="n">
        <v>10.2</v>
      </c>
      <c r="H411" t="n">
        <v>0</v>
      </c>
      <c r="I411" t="n">
        <v>0</v>
      </c>
      <c r="J411" t="n">
        <v>0</v>
      </c>
      <c r="K411" t="n">
        <v>0</v>
      </c>
      <c r="L411" t="n">
        <v>0</v>
      </c>
      <c r="M411" t="n">
        <v>0</v>
      </c>
      <c r="N411" t="n">
        <v>0</v>
      </c>
      <c r="O411" t="n">
        <v>0</v>
      </c>
      <c r="P411" t="n">
        <v>0</v>
      </c>
      <c r="Q411" t="n">
        <v>0</v>
      </c>
      <c r="R411" s="2" t="inlineStr"/>
    </row>
    <row r="412" ht="15" customHeight="1">
      <c r="A412" t="inlineStr">
        <is>
          <t>A 14831-2020</t>
        </is>
      </c>
      <c r="B412" s="1" t="n">
        <v>43909</v>
      </c>
      <c r="C412" s="1" t="n">
        <v>45758</v>
      </c>
      <c r="D412" t="inlineStr">
        <is>
          <t>STOCKHOLMS LÄN</t>
        </is>
      </c>
      <c r="E412" t="inlineStr">
        <is>
          <t>NORRTÄLJE</t>
        </is>
      </c>
      <c r="G412" t="n">
        <v>11.4</v>
      </c>
      <c r="H412" t="n">
        <v>0</v>
      </c>
      <c r="I412" t="n">
        <v>0</v>
      </c>
      <c r="J412" t="n">
        <v>0</v>
      </c>
      <c r="K412" t="n">
        <v>0</v>
      </c>
      <c r="L412" t="n">
        <v>0</v>
      </c>
      <c r="M412" t="n">
        <v>0</v>
      </c>
      <c r="N412" t="n">
        <v>0</v>
      </c>
      <c r="O412" t="n">
        <v>0</v>
      </c>
      <c r="P412" t="n">
        <v>0</v>
      </c>
      <c r="Q412" t="n">
        <v>0</v>
      </c>
      <c r="R412" s="2" t="inlineStr"/>
    </row>
    <row r="413" ht="15" customHeight="1">
      <c r="A413" t="inlineStr">
        <is>
          <t>A 15663-2020</t>
        </is>
      </c>
      <c r="B413" s="1" t="n">
        <v>43915</v>
      </c>
      <c r="C413" s="1" t="n">
        <v>45758</v>
      </c>
      <c r="D413" t="inlineStr">
        <is>
          <t>STOCKHOLMS LÄN</t>
        </is>
      </c>
      <c r="E413" t="inlineStr">
        <is>
          <t>NORRTÄLJE</t>
        </is>
      </c>
      <c r="G413" t="n">
        <v>11.1</v>
      </c>
      <c r="H413" t="n">
        <v>0</v>
      </c>
      <c r="I413" t="n">
        <v>0</v>
      </c>
      <c r="J413" t="n">
        <v>0</v>
      </c>
      <c r="K413" t="n">
        <v>0</v>
      </c>
      <c r="L413" t="n">
        <v>0</v>
      </c>
      <c r="M413" t="n">
        <v>0</v>
      </c>
      <c r="N413" t="n">
        <v>0</v>
      </c>
      <c r="O413" t="n">
        <v>0</v>
      </c>
      <c r="P413" t="n">
        <v>0</v>
      </c>
      <c r="Q413" t="n">
        <v>0</v>
      </c>
      <c r="R413" s="2" t="inlineStr"/>
    </row>
    <row r="414" ht="15" customHeight="1">
      <c r="A414" t="inlineStr">
        <is>
          <t>A 16273-2020</t>
        </is>
      </c>
      <c r="B414" s="1" t="n">
        <v>43917</v>
      </c>
      <c r="C414" s="1" t="n">
        <v>45758</v>
      </c>
      <c r="D414" t="inlineStr">
        <is>
          <t>STOCKHOLMS LÄN</t>
        </is>
      </c>
      <c r="E414" t="inlineStr">
        <is>
          <t>NORRTÄLJE</t>
        </is>
      </c>
      <c r="G414" t="n">
        <v>1.4</v>
      </c>
      <c r="H414" t="n">
        <v>0</v>
      </c>
      <c r="I414" t="n">
        <v>0</v>
      </c>
      <c r="J414" t="n">
        <v>0</v>
      </c>
      <c r="K414" t="n">
        <v>0</v>
      </c>
      <c r="L414" t="n">
        <v>0</v>
      </c>
      <c r="M414" t="n">
        <v>0</v>
      </c>
      <c r="N414" t="n">
        <v>0</v>
      </c>
      <c r="O414" t="n">
        <v>0</v>
      </c>
      <c r="P414" t="n">
        <v>0</v>
      </c>
      <c r="Q414" t="n">
        <v>0</v>
      </c>
      <c r="R414" s="2" t="inlineStr"/>
    </row>
    <row r="415" ht="15" customHeight="1">
      <c r="A415" t="inlineStr">
        <is>
          <t>A 17965-2020</t>
        </is>
      </c>
      <c r="B415" s="1" t="n">
        <v>43925</v>
      </c>
      <c r="C415" s="1" t="n">
        <v>45758</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19258-2020</t>
        </is>
      </c>
      <c r="B416" s="1" t="n">
        <v>43937</v>
      </c>
      <c r="C416" s="1" t="n">
        <v>45758</v>
      </c>
      <c r="D416" t="inlineStr">
        <is>
          <t>STOCKHOLMS LÄN</t>
        </is>
      </c>
      <c r="E416" t="inlineStr">
        <is>
          <t>NORRTÄLJE</t>
        </is>
      </c>
      <c r="F416" t="inlineStr">
        <is>
          <t>Övriga statliga verk och myndigheter</t>
        </is>
      </c>
      <c r="G416" t="n">
        <v>2.9</v>
      </c>
      <c r="H416" t="n">
        <v>0</v>
      </c>
      <c r="I416" t="n">
        <v>0</v>
      </c>
      <c r="J416" t="n">
        <v>0</v>
      </c>
      <c r="K416" t="n">
        <v>0</v>
      </c>
      <c r="L416" t="n">
        <v>0</v>
      </c>
      <c r="M416" t="n">
        <v>0</v>
      </c>
      <c r="N416" t="n">
        <v>0</v>
      </c>
      <c r="O416" t="n">
        <v>0</v>
      </c>
      <c r="P416" t="n">
        <v>0</v>
      </c>
      <c r="Q416" t="n">
        <v>0</v>
      </c>
      <c r="R416" s="2" t="inlineStr"/>
    </row>
    <row r="417" ht="15" customHeight="1">
      <c r="A417" t="inlineStr">
        <is>
          <t>A 20257-2020</t>
        </is>
      </c>
      <c r="B417" s="1" t="n">
        <v>43944</v>
      </c>
      <c r="C417" s="1" t="n">
        <v>45758</v>
      </c>
      <c r="D417" t="inlineStr">
        <is>
          <t>STOCKHOLMS LÄN</t>
        </is>
      </c>
      <c r="E417" t="inlineStr">
        <is>
          <t>NORRTÄLJE</t>
        </is>
      </c>
      <c r="G417" t="n">
        <v>80.09999999999999</v>
      </c>
      <c r="H417" t="n">
        <v>0</v>
      </c>
      <c r="I417" t="n">
        <v>0</v>
      </c>
      <c r="J417" t="n">
        <v>0</v>
      </c>
      <c r="K417" t="n">
        <v>0</v>
      </c>
      <c r="L417" t="n">
        <v>0</v>
      </c>
      <c r="M417" t="n">
        <v>0</v>
      </c>
      <c r="N417" t="n">
        <v>0</v>
      </c>
      <c r="O417" t="n">
        <v>0</v>
      </c>
      <c r="P417" t="n">
        <v>0</v>
      </c>
      <c r="Q417" t="n">
        <v>0</v>
      </c>
      <c r="R417" s="2" t="inlineStr"/>
    </row>
    <row r="418" ht="15" customHeight="1">
      <c r="A418" t="inlineStr">
        <is>
          <t>A 21849-2020</t>
        </is>
      </c>
      <c r="B418" s="1" t="n">
        <v>43958</v>
      </c>
      <c r="C418" s="1" t="n">
        <v>45758</v>
      </c>
      <c r="D418" t="inlineStr">
        <is>
          <t>STOCKHOLMS LÄN</t>
        </is>
      </c>
      <c r="E418" t="inlineStr">
        <is>
          <t>NORRTÄLJE</t>
        </is>
      </c>
      <c r="G418" t="n">
        <v>2.1</v>
      </c>
      <c r="H418" t="n">
        <v>0</v>
      </c>
      <c r="I418" t="n">
        <v>0</v>
      </c>
      <c r="J418" t="n">
        <v>0</v>
      </c>
      <c r="K418" t="n">
        <v>0</v>
      </c>
      <c r="L418" t="n">
        <v>0</v>
      </c>
      <c r="M418" t="n">
        <v>0</v>
      </c>
      <c r="N418" t="n">
        <v>0</v>
      </c>
      <c r="O418" t="n">
        <v>0</v>
      </c>
      <c r="P418" t="n">
        <v>0</v>
      </c>
      <c r="Q418" t="n">
        <v>0</v>
      </c>
      <c r="R418" s="2" t="inlineStr"/>
    </row>
    <row r="419" ht="15" customHeight="1">
      <c r="A419" t="inlineStr">
        <is>
          <t>A 21875-2020</t>
        </is>
      </c>
      <c r="B419" s="1" t="n">
        <v>43958</v>
      </c>
      <c r="C419" s="1" t="n">
        <v>45758</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23751-2020</t>
        </is>
      </c>
      <c r="B420" s="1" t="n">
        <v>43970</v>
      </c>
      <c r="C420" s="1" t="n">
        <v>45758</v>
      </c>
      <c r="D420" t="inlineStr">
        <is>
          <t>STOCKHOLMS LÄN</t>
        </is>
      </c>
      <c r="E420" t="inlineStr">
        <is>
          <t>NORRTÄLJE</t>
        </is>
      </c>
      <c r="G420" t="n">
        <v>5.6</v>
      </c>
      <c r="H420" t="n">
        <v>0</v>
      </c>
      <c r="I420" t="n">
        <v>0</v>
      </c>
      <c r="J420" t="n">
        <v>0</v>
      </c>
      <c r="K420" t="n">
        <v>0</v>
      </c>
      <c r="L420" t="n">
        <v>0</v>
      </c>
      <c r="M420" t="n">
        <v>0</v>
      </c>
      <c r="N420" t="n">
        <v>0</v>
      </c>
      <c r="O420" t="n">
        <v>0</v>
      </c>
      <c r="P420" t="n">
        <v>0</v>
      </c>
      <c r="Q420" t="n">
        <v>0</v>
      </c>
      <c r="R420" s="2" t="inlineStr"/>
    </row>
    <row r="421" ht="15" customHeight="1">
      <c r="A421" t="inlineStr">
        <is>
          <t>A 24136-2020</t>
        </is>
      </c>
      <c r="B421" s="1" t="n">
        <v>43973</v>
      </c>
      <c r="C421" s="1" t="n">
        <v>45758</v>
      </c>
      <c r="D421" t="inlineStr">
        <is>
          <t>STOCKHOLMS LÄN</t>
        </is>
      </c>
      <c r="E421" t="inlineStr">
        <is>
          <t>NORRTÄLJE</t>
        </is>
      </c>
      <c r="G421" t="n">
        <v>4.1</v>
      </c>
      <c r="H421" t="n">
        <v>0</v>
      </c>
      <c r="I421" t="n">
        <v>0</v>
      </c>
      <c r="J421" t="n">
        <v>0</v>
      </c>
      <c r="K421" t="n">
        <v>0</v>
      </c>
      <c r="L421" t="n">
        <v>0</v>
      </c>
      <c r="M421" t="n">
        <v>0</v>
      </c>
      <c r="N421" t="n">
        <v>0</v>
      </c>
      <c r="O421" t="n">
        <v>0</v>
      </c>
      <c r="P421" t="n">
        <v>0</v>
      </c>
      <c r="Q421" t="n">
        <v>0</v>
      </c>
      <c r="R421" s="2" t="inlineStr"/>
    </row>
    <row r="422" ht="15" customHeight="1">
      <c r="A422" t="inlineStr">
        <is>
          <t>A 25584-2020</t>
        </is>
      </c>
      <c r="B422" s="1" t="n">
        <v>43983</v>
      </c>
      <c r="C422" s="1" t="n">
        <v>45758</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25589-2020</t>
        </is>
      </c>
      <c r="B423" s="1" t="n">
        <v>43983</v>
      </c>
      <c r="C423" s="1" t="n">
        <v>45758</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25897-2020</t>
        </is>
      </c>
      <c r="B424" s="1" t="n">
        <v>43984</v>
      </c>
      <c r="C424" s="1" t="n">
        <v>45758</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30600-2020</t>
        </is>
      </c>
      <c r="B425" s="1" t="n">
        <v>44008</v>
      </c>
      <c r="C425" s="1" t="n">
        <v>45758</v>
      </c>
      <c r="D425" t="inlineStr">
        <is>
          <t>STOCKHOLMS LÄN</t>
        </is>
      </c>
      <c r="E425" t="inlineStr">
        <is>
          <t>NORRTÄLJE</t>
        </is>
      </c>
      <c r="G425" t="n">
        <v>3.3</v>
      </c>
      <c r="H425" t="n">
        <v>0</v>
      </c>
      <c r="I425" t="n">
        <v>0</v>
      </c>
      <c r="J425" t="n">
        <v>0</v>
      </c>
      <c r="K425" t="n">
        <v>0</v>
      </c>
      <c r="L425" t="n">
        <v>0</v>
      </c>
      <c r="M425" t="n">
        <v>0</v>
      </c>
      <c r="N425" t="n">
        <v>0</v>
      </c>
      <c r="O425" t="n">
        <v>0</v>
      </c>
      <c r="P425" t="n">
        <v>0</v>
      </c>
      <c r="Q425" t="n">
        <v>0</v>
      </c>
      <c r="R425" s="2" t="inlineStr"/>
    </row>
    <row r="426" ht="15" customHeight="1">
      <c r="A426" t="inlineStr">
        <is>
          <t>A 31783-2020</t>
        </is>
      </c>
      <c r="B426" s="1" t="n">
        <v>44014</v>
      </c>
      <c r="C426" s="1" t="n">
        <v>45758</v>
      </c>
      <c r="D426" t="inlineStr">
        <is>
          <t>STOCKHOLMS LÄN</t>
        </is>
      </c>
      <c r="E426" t="inlineStr">
        <is>
          <t>NORRTÄLJE</t>
        </is>
      </c>
      <c r="G426" t="n">
        <v>4.8</v>
      </c>
      <c r="H426" t="n">
        <v>0</v>
      </c>
      <c r="I426" t="n">
        <v>0</v>
      </c>
      <c r="J426" t="n">
        <v>0</v>
      </c>
      <c r="K426" t="n">
        <v>0</v>
      </c>
      <c r="L426" t="n">
        <v>0</v>
      </c>
      <c r="M426" t="n">
        <v>0</v>
      </c>
      <c r="N426" t="n">
        <v>0</v>
      </c>
      <c r="O426" t="n">
        <v>0</v>
      </c>
      <c r="P426" t="n">
        <v>0</v>
      </c>
      <c r="Q426" t="n">
        <v>0</v>
      </c>
      <c r="R426" s="2" t="inlineStr"/>
    </row>
    <row r="427" ht="15" customHeight="1">
      <c r="A427" t="inlineStr">
        <is>
          <t>A 33749-2020</t>
        </is>
      </c>
      <c r="B427" s="1" t="n">
        <v>44026</v>
      </c>
      <c r="C427" s="1" t="n">
        <v>45758</v>
      </c>
      <c r="D427" t="inlineStr">
        <is>
          <t>STOCKHOLMS LÄN</t>
        </is>
      </c>
      <c r="E427" t="inlineStr">
        <is>
          <t>NORRTÄLJE</t>
        </is>
      </c>
      <c r="F427" t="inlineStr">
        <is>
          <t>Holmen skog AB</t>
        </is>
      </c>
      <c r="G427" t="n">
        <v>0.5</v>
      </c>
      <c r="H427" t="n">
        <v>0</v>
      </c>
      <c r="I427" t="n">
        <v>0</v>
      </c>
      <c r="J427" t="n">
        <v>0</v>
      </c>
      <c r="K427" t="n">
        <v>0</v>
      </c>
      <c r="L427" t="n">
        <v>0</v>
      </c>
      <c r="M427" t="n">
        <v>0</v>
      </c>
      <c r="N427" t="n">
        <v>0</v>
      </c>
      <c r="O427" t="n">
        <v>0</v>
      </c>
      <c r="P427" t="n">
        <v>0</v>
      </c>
      <c r="Q427" t="n">
        <v>0</v>
      </c>
      <c r="R427" s="2" t="inlineStr"/>
    </row>
    <row r="428" ht="15" customHeight="1">
      <c r="A428" t="inlineStr">
        <is>
          <t>A 34651-2020</t>
        </is>
      </c>
      <c r="B428" s="1" t="n">
        <v>44034</v>
      </c>
      <c r="C428" s="1" t="n">
        <v>45758</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34650-2020</t>
        </is>
      </c>
      <c r="B429" s="1" t="n">
        <v>44034</v>
      </c>
      <c r="C429" s="1" t="n">
        <v>45758</v>
      </c>
      <c r="D429" t="inlineStr">
        <is>
          <t>STOCKHOLMS LÄN</t>
        </is>
      </c>
      <c r="E429" t="inlineStr">
        <is>
          <t>NORRTÄLJE</t>
        </is>
      </c>
      <c r="G429" t="n">
        <v>0.4</v>
      </c>
      <c r="H429" t="n">
        <v>0</v>
      </c>
      <c r="I429" t="n">
        <v>0</v>
      </c>
      <c r="J429" t="n">
        <v>0</v>
      </c>
      <c r="K429" t="n">
        <v>0</v>
      </c>
      <c r="L429" t="n">
        <v>0</v>
      </c>
      <c r="M429" t="n">
        <v>0</v>
      </c>
      <c r="N429" t="n">
        <v>0</v>
      </c>
      <c r="O429" t="n">
        <v>0</v>
      </c>
      <c r="P429" t="n">
        <v>0</v>
      </c>
      <c r="Q429" t="n">
        <v>0</v>
      </c>
      <c r="R429" s="2" t="inlineStr"/>
    </row>
    <row r="430" ht="15" customHeight="1">
      <c r="A430" t="inlineStr">
        <is>
          <t>A 36314-2020</t>
        </is>
      </c>
      <c r="B430" s="1" t="n">
        <v>44049</v>
      </c>
      <c r="C430" s="1" t="n">
        <v>45758</v>
      </c>
      <c r="D430" t="inlineStr">
        <is>
          <t>STOCKHOLMS LÄN</t>
        </is>
      </c>
      <c r="E430" t="inlineStr">
        <is>
          <t>NORRTÄLJE</t>
        </is>
      </c>
      <c r="G430" t="n">
        <v>5</v>
      </c>
      <c r="H430" t="n">
        <v>0</v>
      </c>
      <c r="I430" t="n">
        <v>0</v>
      </c>
      <c r="J430" t="n">
        <v>0</v>
      </c>
      <c r="K430" t="n">
        <v>0</v>
      </c>
      <c r="L430" t="n">
        <v>0</v>
      </c>
      <c r="M430" t="n">
        <v>0</v>
      </c>
      <c r="N430" t="n">
        <v>0</v>
      </c>
      <c r="O430" t="n">
        <v>0</v>
      </c>
      <c r="P430" t="n">
        <v>0</v>
      </c>
      <c r="Q430" t="n">
        <v>0</v>
      </c>
      <c r="R430" s="2" t="inlineStr"/>
    </row>
    <row r="431" ht="15" customHeight="1">
      <c r="A431" t="inlineStr">
        <is>
          <t>A 36359-2020</t>
        </is>
      </c>
      <c r="B431" s="1" t="n">
        <v>44049</v>
      </c>
      <c r="C431" s="1" t="n">
        <v>45758</v>
      </c>
      <c r="D431" t="inlineStr">
        <is>
          <t>STOCKHOLMS LÄN</t>
        </is>
      </c>
      <c r="E431" t="inlineStr">
        <is>
          <t>NORRTÄLJE</t>
        </is>
      </c>
      <c r="G431" t="n">
        <v>6.5</v>
      </c>
      <c r="H431" t="n">
        <v>0</v>
      </c>
      <c r="I431" t="n">
        <v>0</v>
      </c>
      <c r="J431" t="n">
        <v>0</v>
      </c>
      <c r="K431" t="n">
        <v>0</v>
      </c>
      <c r="L431" t="n">
        <v>0</v>
      </c>
      <c r="M431" t="n">
        <v>0</v>
      </c>
      <c r="N431" t="n">
        <v>0</v>
      </c>
      <c r="O431" t="n">
        <v>0</v>
      </c>
      <c r="P431" t="n">
        <v>0</v>
      </c>
      <c r="Q431" t="n">
        <v>0</v>
      </c>
      <c r="R431" s="2" t="inlineStr"/>
    </row>
    <row r="432" ht="15" customHeight="1">
      <c r="A432" t="inlineStr">
        <is>
          <t>A 40837-2020</t>
        </is>
      </c>
      <c r="B432" s="1" t="n">
        <v>44067</v>
      </c>
      <c r="C432" s="1" t="n">
        <v>45758</v>
      </c>
      <c r="D432" t="inlineStr">
        <is>
          <t>STOCKHOLMS LÄN</t>
        </is>
      </c>
      <c r="E432" t="inlineStr">
        <is>
          <t>NORRTÄLJE</t>
        </is>
      </c>
      <c r="G432" t="n">
        <v>20.6</v>
      </c>
      <c r="H432" t="n">
        <v>0</v>
      </c>
      <c r="I432" t="n">
        <v>0</v>
      </c>
      <c r="J432" t="n">
        <v>0</v>
      </c>
      <c r="K432" t="n">
        <v>0</v>
      </c>
      <c r="L432" t="n">
        <v>0</v>
      </c>
      <c r="M432" t="n">
        <v>0</v>
      </c>
      <c r="N432" t="n">
        <v>0</v>
      </c>
      <c r="O432" t="n">
        <v>0</v>
      </c>
      <c r="P432" t="n">
        <v>0</v>
      </c>
      <c r="Q432" t="n">
        <v>0</v>
      </c>
      <c r="R432" s="2" t="inlineStr"/>
    </row>
    <row r="433" ht="15" customHeight="1">
      <c r="A433" t="inlineStr">
        <is>
          <t>A 40661-2020</t>
        </is>
      </c>
      <c r="B433" s="1" t="n">
        <v>44069</v>
      </c>
      <c r="C433" s="1" t="n">
        <v>45758</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42247-2020</t>
        </is>
      </c>
      <c r="B434" s="1" t="n">
        <v>44074</v>
      </c>
      <c r="C434" s="1" t="n">
        <v>45758</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42256-2020</t>
        </is>
      </c>
      <c r="B435" s="1" t="n">
        <v>44074</v>
      </c>
      <c r="C435" s="1" t="n">
        <v>45758</v>
      </c>
      <c r="D435" t="inlineStr">
        <is>
          <t>STOCKHOLMS LÄN</t>
        </is>
      </c>
      <c r="E435" t="inlineStr">
        <is>
          <t>NORRTÄLJE</t>
        </is>
      </c>
      <c r="F435" t="inlineStr">
        <is>
          <t>Övriga Aktiebolag</t>
        </is>
      </c>
      <c r="G435" t="n">
        <v>0.8</v>
      </c>
      <c r="H435" t="n">
        <v>0</v>
      </c>
      <c r="I435" t="n">
        <v>0</v>
      </c>
      <c r="J435" t="n">
        <v>0</v>
      </c>
      <c r="K435" t="n">
        <v>0</v>
      </c>
      <c r="L435" t="n">
        <v>0</v>
      </c>
      <c r="M435" t="n">
        <v>0</v>
      </c>
      <c r="N435" t="n">
        <v>0</v>
      </c>
      <c r="O435" t="n">
        <v>0</v>
      </c>
      <c r="P435" t="n">
        <v>0</v>
      </c>
      <c r="Q435" t="n">
        <v>0</v>
      </c>
      <c r="R435" s="2" t="inlineStr"/>
    </row>
    <row r="436" ht="15" customHeight="1">
      <c r="A436" t="inlineStr">
        <is>
          <t>A 41694-2020</t>
        </is>
      </c>
      <c r="B436" s="1" t="n">
        <v>44074</v>
      </c>
      <c r="C436" s="1" t="n">
        <v>45758</v>
      </c>
      <c r="D436" t="inlineStr">
        <is>
          <t>STOCKHOLMS LÄN</t>
        </is>
      </c>
      <c r="E436" t="inlineStr">
        <is>
          <t>NORRTÄLJE</t>
        </is>
      </c>
      <c r="G436" t="n">
        <v>3</v>
      </c>
      <c r="H436" t="n">
        <v>0</v>
      </c>
      <c r="I436" t="n">
        <v>0</v>
      </c>
      <c r="J436" t="n">
        <v>0</v>
      </c>
      <c r="K436" t="n">
        <v>0</v>
      </c>
      <c r="L436" t="n">
        <v>0</v>
      </c>
      <c r="M436" t="n">
        <v>0</v>
      </c>
      <c r="N436" t="n">
        <v>0</v>
      </c>
      <c r="O436" t="n">
        <v>0</v>
      </c>
      <c r="P436" t="n">
        <v>0</v>
      </c>
      <c r="Q436" t="n">
        <v>0</v>
      </c>
      <c r="R436" s="2" t="inlineStr"/>
    </row>
    <row r="437" ht="15" customHeight="1">
      <c r="A437" t="inlineStr">
        <is>
          <t>A 42365-2020</t>
        </is>
      </c>
      <c r="B437" s="1" t="n">
        <v>44076</v>
      </c>
      <c r="C437" s="1" t="n">
        <v>45758</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42361-2020</t>
        </is>
      </c>
      <c r="B438" s="1" t="n">
        <v>44076</v>
      </c>
      <c r="C438" s="1" t="n">
        <v>45758</v>
      </c>
      <c r="D438" t="inlineStr">
        <is>
          <t>STOCKHOLMS LÄN</t>
        </is>
      </c>
      <c r="E438" t="inlineStr">
        <is>
          <t>NORRTÄLJE</t>
        </is>
      </c>
      <c r="G438" t="n">
        <v>2.1</v>
      </c>
      <c r="H438" t="n">
        <v>0</v>
      </c>
      <c r="I438" t="n">
        <v>0</v>
      </c>
      <c r="J438" t="n">
        <v>0</v>
      </c>
      <c r="K438" t="n">
        <v>0</v>
      </c>
      <c r="L438" t="n">
        <v>0</v>
      </c>
      <c r="M438" t="n">
        <v>0</v>
      </c>
      <c r="N438" t="n">
        <v>0</v>
      </c>
      <c r="O438" t="n">
        <v>0</v>
      </c>
      <c r="P438" t="n">
        <v>0</v>
      </c>
      <c r="Q438" t="n">
        <v>0</v>
      </c>
      <c r="R438" s="2" t="inlineStr"/>
    </row>
    <row r="439" ht="15" customHeight="1">
      <c r="A439" t="inlineStr">
        <is>
          <t>A 42455-2020</t>
        </is>
      </c>
      <c r="B439" s="1" t="n">
        <v>44076</v>
      </c>
      <c r="C439" s="1" t="n">
        <v>45758</v>
      </c>
      <c r="D439" t="inlineStr">
        <is>
          <t>STOCKHOLMS LÄN</t>
        </is>
      </c>
      <c r="E439" t="inlineStr">
        <is>
          <t>NORRTÄLJE</t>
        </is>
      </c>
      <c r="G439" t="n">
        <v>1.9</v>
      </c>
      <c r="H439" t="n">
        <v>0</v>
      </c>
      <c r="I439" t="n">
        <v>0</v>
      </c>
      <c r="J439" t="n">
        <v>0</v>
      </c>
      <c r="K439" t="n">
        <v>0</v>
      </c>
      <c r="L439" t="n">
        <v>0</v>
      </c>
      <c r="M439" t="n">
        <v>0</v>
      </c>
      <c r="N439" t="n">
        <v>0</v>
      </c>
      <c r="O439" t="n">
        <v>0</v>
      </c>
      <c r="P439" t="n">
        <v>0</v>
      </c>
      <c r="Q439" t="n">
        <v>0</v>
      </c>
      <c r="R439" s="2" t="inlineStr"/>
    </row>
    <row r="440" ht="15" customHeight="1">
      <c r="A440" t="inlineStr">
        <is>
          <t>A 43751-2020</t>
        </is>
      </c>
      <c r="B440" s="1" t="n">
        <v>44082</v>
      </c>
      <c r="C440" s="1" t="n">
        <v>45758</v>
      </c>
      <c r="D440" t="inlineStr">
        <is>
          <t>STOCKHOLMS LÄN</t>
        </is>
      </c>
      <c r="E440" t="inlineStr">
        <is>
          <t>NORRTÄLJE</t>
        </is>
      </c>
      <c r="G440" t="n">
        <v>8</v>
      </c>
      <c r="H440" t="n">
        <v>0</v>
      </c>
      <c r="I440" t="n">
        <v>0</v>
      </c>
      <c r="J440" t="n">
        <v>0</v>
      </c>
      <c r="K440" t="n">
        <v>0</v>
      </c>
      <c r="L440" t="n">
        <v>0</v>
      </c>
      <c r="M440" t="n">
        <v>0</v>
      </c>
      <c r="N440" t="n">
        <v>0</v>
      </c>
      <c r="O440" t="n">
        <v>0</v>
      </c>
      <c r="P440" t="n">
        <v>0</v>
      </c>
      <c r="Q440" t="n">
        <v>0</v>
      </c>
      <c r="R440" s="2" t="inlineStr"/>
    </row>
    <row r="441" ht="15" customHeight="1">
      <c r="A441" t="inlineStr">
        <is>
          <t>A 44096-2020</t>
        </is>
      </c>
      <c r="B441" s="1" t="n">
        <v>44083</v>
      </c>
      <c r="C441" s="1" t="n">
        <v>45758</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44071-2020</t>
        </is>
      </c>
      <c r="B442" s="1" t="n">
        <v>44083</v>
      </c>
      <c r="C442" s="1" t="n">
        <v>45758</v>
      </c>
      <c r="D442" t="inlineStr">
        <is>
          <t>STOCKHOLMS LÄN</t>
        </is>
      </c>
      <c r="E442" t="inlineStr">
        <is>
          <t>NORRTÄLJE</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44183-2020</t>
        </is>
      </c>
      <c r="B443" s="1" t="n">
        <v>44083</v>
      </c>
      <c r="C443" s="1" t="n">
        <v>45758</v>
      </c>
      <c r="D443" t="inlineStr">
        <is>
          <t>STOCKHOLMS LÄN</t>
        </is>
      </c>
      <c r="E443" t="inlineStr">
        <is>
          <t>NORRTÄLJE</t>
        </is>
      </c>
      <c r="G443" t="n">
        <v>4.3</v>
      </c>
      <c r="H443" t="n">
        <v>0</v>
      </c>
      <c r="I443" t="n">
        <v>0</v>
      </c>
      <c r="J443" t="n">
        <v>0</v>
      </c>
      <c r="K443" t="n">
        <v>0</v>
      </c>
      <c r="L443" t="n">
        <v>0</v>
      </c>
      <c r="M443" t="n">
        <v>0</v>
      </c>
      <c r="N443" t="n">
        <v>0</v>
      </c>
      <c r="O443" t="n">
        <v>0</v>
      </c>
      <c r="P443" t="n">
        <v>0</v>
      </c>
      <c r="Q443" t="n">
        <v>0</v>
      </c>
      <c r="R443" s="2" t="inlineStr"/>
    </row>
    <row r="444" ht="15" customHeight="1">
      <c r="A444" t="inlineStr">
        <is>
          <t>A 44792-2020</t>
        </is>
      </c>
      <c r="B444" s="1" t="n">
        <v>44085</v>
      </c>
      <c r="C444" s="1" t="n">
        <v>45758</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45988-2020</t>
        </is>
      </c>
      <c r="B445" s="1" t="n">
        <v>44091</v>
      </c>
      <c r="C445" s="1" t="n">
        <v>45758</v>
      </c>
      <c r="D445" t="inlineStr">
        <is>
          <t>STOCKHOLMS LÄN</t>
        </is>
      </c>
      <c r="E445" t="inlineStr">
        <is>
          <t>NORRTÄLJE</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46556-2020</t>
        </is>
      </c>
      <c r="B446" s="1" t="n">
        <v>44095</v>
      </c>
      <c r="C446" s="1" t="n">
        <v>45758</v>
      </c>
      <c r="D446" t="inlineStr">
        <is>
          <t>STOCKHOLMS LÄN</t>
        </is>
      </c>
      <c r="E446" t="inlineStr">
        <is>
          <t>NORRTÄLJE</t>
        </is>
      </c>
      <c r="F446" t="inlineStr">
        <is>
          <t>Holmen skog AB</t>
        </is>
      </c>
      <c r="G446" t="n">
        <v>2.1</v>
      </c>
      <c r="H446" t="n">
        <v>0</v>
      </c>
      <c r="I446" t="n">
        <v>0</v>
      </c>
      <c r="J446" t="n">
        <v>0</v>
      </c>
      <c r="K446" t="n">
        <v>0</v>
      </c>
      <c r="L446" t="n">
        <v>0</v>
      </c>
      <c r="M446" t="n">
        <v>0</v>
      </c>
      <c r="N446" t="n">
        <v>0</v>
      </c>
      <c r="O446" t="n">
        <v>0</v>
      </c>
      <c r="P446" t="n">
        <v>0</v>
      </c>
      <c r="Q446" t="n">
        <v>0</v>
      </c>
      <c r="R446" s="2" t="inlineStr"/>
    </row>
    <row r="447" ht="15" customHeight="1">
      <c r="A447" t="inlineStr">
        <is>
          <t>A 47291-2020</t>
        </is>
      </c>
      <c r="B447" s="1" t="n">
        <v>44097</v>
      </c>
      <c r="C447" s="1" t="n">
        <v>45758</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48392-2020</t>
        </is>
      </c>
      <c r="B448" s="1" t="n">
        <v>44097</v>
      </c>
      <c r="C448" s="1" t="n">
        <v>45758</v>
      </c>
      <c r="D448" t="inlineStr">
        <is>
          <t>STOCKHOLMS LÄN</t>
        </is>
      </c>
      <c r="E448" t="inlineStr">
        <is>
          <t>NORRTÄLJE</t>
        </is>
      </c>
      <c r="G448" t="n">
        <v>12.5</v>
      </c>
      <c r="H448" t="n">
        <v>0</v>
      </c>
      <c r="I448" t="n">
        <v>0</v>
      </c>
      <c r="J448" t="n">
        <v>0</v>
      </c>
      <c r="K448" t="n">
        <v>0</v>
      </c>
      <c r="L448" t="n">
        <v>0</v>
      </c>
      <c r="M448" t="n">
        <v>0</v>
      </c>
      <c r="N448" t="n">
        <v>0</v>
      </c>
      <c r="O448" t="n">
        <v>0</v>
      </c>
      <c r="P448" t="n">
        <v>0</v>
      </c>
      <c r="Q448" t="n">
        <v>0</v>
      </c>
      <c r="R448" s="2" t="inlineStr"/>
    </row>
    <row r="449" ht="15" customHeight="1">
      <c r="A449" t="inlineStr">
        <is>
          <t>A 47869-2020</t>
        </is>
      </c>
      <c r="B449" s="1" t="n">
        <v>44098</v>
      </c>
      <c r="C449" s="1" t="n">
        <v>45758</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47868-2020</t>
        </is>
      </c>
      <c r="B450" s="1" t="n">
        <v>44098</v>
      </c>
      <c r="C450" s="1" t="n">
        <v>45758</v>
      </c>
      <c r="D450" t="inlineStr">
        <is>
          <t>STOCKHOLMS LÄN</t>
        </is>
      </c>
      <c r="E450" t="inlineStr">
        <is>
          <t>NORRTÄLJE</t>
        </is>
      </c>
      <c r="G450" t="n">
        <v>4.7</v>
      </c>
      <c r="H450" t="n">
        <v>0</v>
      </c>
      <c r="I450" t="n">
        <v>0</v>
      </c>
      <c r="J450" t="n">
        <v>0</v>
      </c>
      <c r="K450" t="n">
        <v>0</v>
      </c>
      <c r="L450" t="n">
        <v>0</v>
      </c>
      <c r="M450" t="n">
        <v>0</v>
      </c>
      <c r="N450" t="n">
        <v>0</v>
      </c>
      <c r="O450" t="n">
        <v>0</v>
      </c>
      <c r="P450" t="n">
        <v>0</v>
      </c>
      <c r="Q450" t="n">
        <v>0</v>
      </c>
      <c r="R450" s="2" t="inlineStr"/>
    </row>
    <row r="451" ht="15" customHeight="1">
      <c r="A451" t="inlineStr">
        <is>
          <t>A 48066-2020</t>
        </is>
      </c>
      <c r="B451" s="1" t="n">
        <v>44100</v>
      </c>
      <c r="C451" s="1" t="n">
        <v>45758</v>
      </c>
      <c r="D451" t="inlineStr">
        <is>
          <t>STOCKHOLMS LÄN</t>
        </is>
      </c>
      <c r="E451" t="inlineStr">
        <is>
          <t>NORRTÄLJE</t>
        </is>
      </c>
      <c r="G451" t="n">
        <v>3.7</v>
      </c>
      <c r="H451" t="n">
        <v>0</v>
      </c>
      <c r="I451" t="n">
        <v>0</v>
      </c>
      <c r="J451" t="n">
        <v>0</v>
      </c>
      <c r="K451" t="n">
        <v>0</v>
      </c>
      <c r="L451" t="n">
        <v>0</v>
      </c>
      <c r="M451" t="n">
        <v>0</v>
      </c>
      <c r="N451" t="n">
        <v>0</v>
      </c>
      <c r="O451" t="n">
        <v>0</v>
      </c>
      <c r="P451" t="n">
        <v>0</v>
      </c>
      <c r="Q451" t="n">
        <v>0</v>
      </c>
      <c r="R451" s="2" t="inlineStr"/>
    </row>
    <row r="452" ht="15" customHeight="1">
      <c r="A452" t="inlineStr">
        <is>
          <t>A 48071-2020</t>
        </is>
      </c>
      <c r="B452" s="1" t="n">
        <v>44100</v>
      </c>
      <c r="C452" s="1" t="n">
        <v>45758</v>
      </c>
      <c r="D452" t="inlineStr">
        <is>
          <t>STOCKHOLMS LÄN</t>
        </is>
      </c>
      <c r="E452" t="inlineStr">
        <is>
          <t>NORRTÄLJE</t>
        </is>
      </c>
      <c r="G452" t="n">
        <v>6.8</v>
      </c>
      <c r="H452" t="n">
        <v>0</v>
      </c>
      <c r="I452" t="n">
        <v>0</v>
      </c>
      <c r="J452" t="n">
        <v>0</v>
      </c>
      <c r="K452" t="n">
        <v>0</v>
      </c>
      <c r="L452" t="n">
        <v>0</v>
      </c>
      <c r="M452" t="n">
        <v>0</v>
      </c>
      <c r="N452" t="n">
        <v>0</v>
      </c>
      <c r="O452" t="n">
        <v>0</v>
      </c>
      <c r="P452" t="n">
        <v>0</v>
      </c>
      <c r="Q452" t="n">
        <v>0</v>
      </c>
      <c r="R452" s="2" t="inlineStr"/>
    </row>
    <row r="453" ht="15" customHeight="1">
      <c r="A453" t="inlineStr">
        <is>
          <t>A 48496-2020</t>
        </is>
      </c>
      <c r="B453" s="1" t="n">
        <v>44103</v>
      </c>
      <c r="C453" s="1" t="n">
        <v>45758</v>
      </c>
      <c r="D453" t="inlineStr">
        <is>
          <t>STOCKHOLMS LÄN</t>
        </is>
      </c>
      <c r="E453" t="inlineStr">
        <is>
          <t>NORRTÄLJE</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48522-2020</t>
        </is>
      </c>
      <c r="B454" s="1" t="n">
        <v>44103</v>
      </c>
      <c r="C454" s="1" t="n">
        <v>45758</v>
      </c>
      <c r="D454" t="inlineStr">
        <is>
          <t>STOCKHOLMS LÄN</t>
        </is>
      </c>
      <c r="E454" t="inlineStr">
        <is>
          <t>NORRTÄLJE</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49334-2020</t>
        </is>
      </c>
      <c r="B455" s="1" t="n">
        <v>44105</v>
      </c>
      <c r="C455" s="1" t="n">
        <v>45758</v>
      </c>
      <c r="D455" t="inlineStr">
        <is>
          <t>STOCKHOLMS LÄN</t>
        </is>
      </c>
      <c r="E455" t="inlineStr">
        <is>
          <t>NORRTÄLJE</t>
        </is>
      </c>
      <c r="G455" t="n">
        <v>1.5</v>
      </c>
      <c r="H455" t="n">
        <v>0</v>
      </c>
      <c r="I455" t="n">
        <v>0</v>
      </c>
      <c r="J455" t="n">
        <v>0</v>
      </c>
      <c r="K455" t="n">
        <v>0</v>
      </c>
      <c r="L455" t="n">
        <v>0</v>
      </c>
      <c r="M455" t="n">
        <v>0</v>
      </c>
      <c r="N455" t="n">
        <v>0</v>
      </c>
      <c r="O455" t="n">
        <v>0</v>
      </c>
      <c r="P455" t="n">
        <v>0</v>
      </c>
      <c r="Q455" t="n">
        <v>0</v>
      </c>
      <c r="R455" s="2" t="inlineStr"/>
    </row>
    <row r="456" ht="15" customHeight="1">
      <c r="A456" t="inlineStr">
        <is>
          <t>A 49327-2020</t>
        </is>
      </c>
      <c r="B456" s="1" t="n">
        <v>44105</v>
      </c>
      <c r="C456" s="1" t="n">
        <v>45758</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49898-2020</t>
        </is>
      </c>
      <c r="B457" s="1" t="n">
        <v>44108</v>
      </c>
      <c r="C457" s="1" t="n">
        <v>45758</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50497-2020</t>
        </is>
      </c>
      <c r="B458" s="1" t="n">
        <v>44110</v>
      </c>
      <c r="C458" s="1" t="n">
        <v>45758</v>
      </c>
      <c r="D458" t="inlineStr">
        <is>
          <t>STOCKHOLMS LÄN</t>
        </is>
      </c>
      <c r="E458" t="inlineStr">
        <is>
          <t>NORRTÄLJE</t>
        </is>
      </c>
      <c r="F458" t="inlineStr">
        <is>
          <t>Holmen skog AB</t>
        </is>
      </c>
      <c r="G458" t="n">
        <v>4.3</v>
      </c>
      <c r="H458" t="n">
        <v>0</v>
      </c>
      <c r="I458" t="n">
        <v>0</v>
      </c>
      <c r="J458" t="n">
        <v>0</v>
      </c>
      <c r="K458" t="n">
        <v>0</v>
      </c>
      <c r="L458" t="n">
        <v>0</v>
      </c>
      <c r="M458" t="n">
        <v>0</v>
      </c>
      <c r="N458" t="n">
        <v>0</v>
      </c>
      <c r="O458" t="n">
        <v>0</v>
      </c>
      <c r="P458" t="n">
        <v>0</v>
      </c>
      <c r="Q458" t="n">
        <v>0</v>
      </c>
      <c r="R458" s="2" t="inlineStr"/>
    </row>
    <row r="459" ht="15" customHeight="1">
      <c r="A459" t="inlineStr">
        <is>
          <t>A 50738-2020</t>
        </is>
      </c>
      <c r="B459" s="1" t="n">
        <v>44111</v>
      </c>
      <c r="C459" s="1" t="n">
        <v>45758</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50746-2020</t>
        </is>
      </c>
      <c r="B460" s="1" t="n">
        <v>44111</v>
      </c>
      <c r="C460" s="1" t="n">
        <v>45758</v>
      </c>
      <c r="D460" t="inlineStr">
        <is>
          <t>STOCKHOLMS LÄN</t>
        </is>
      </c>
      <c r="E460" t="inlineStr">
        <is>
          <t>NORRTÄLJE</t>
        </is>
      </c>
      <c r="G460" t="n">
        <v>4.9</v>
      </c>
      <c r="H460" t="n">
        <v>0</v>
      </c>
      <c r="I460" t="n">
        <v>0</v>
      </c>
      <c r="J460" t="n">
        <v>0</v>
      </c>
      <c r="K460" t="n">
        <v>0</v>
      </c>
      <c r="L460" t="n">
        <v>0</v>
      </c>
      <c r="M460" t="n">
        <v>0</v>
      </c>
      <c r="N460" t="n">
        <v>0</v>
      </c>
      <c r="O460" t="n">
        <v>0</v>
      </c>
      <c r="P460" t="n">
        <v>0</v>
      </c>
      <c r="Q460" t="n">
        <v>0</v>
      </c>
      <c r="R460" s="2" t="inlineStr"/>
    </row>
    <row r="461" ht="15" customHeight="1">
      <c r="A461" t="inlineStr">
        <is>
          <t>A 50742-2020</t>
        </is>
      </c>
      <c r="B461" s="1" t="n">
        <v>44111</v>
      </c>
      <c r="C461" s="1" t="n">
        <v>45758</v>
      </c>
      <c r="D461" t="inlineStr">
        <is>
          <t>STOCKHOLMS LÄN</t>
        </is>
      </c>
      <c r="E461" t="inlineStr">
        <is>
          <t>NORRTÄLJE</t>
        </is>
      </c>
      <c r="G461" t="n">
        <v>0.4</v>
      </c>
      <c r="H461" t="n">
        <v>0</v>
      </c>
      <c r="I461" t="n">
        <v>0</v>
      </c>
      <c r="J461" t="n">
        <v>0</v>
      </c>
      <c r="K461" t="n">
        <v>0</v>
      </c>
      <c r="L461" t="n">
        <v>0</v>
      </c>
      <c r="M461" t="n">
        <v>0</v>
      </c>
      <c r="N461" t="n">
        <v>0</v>
      </c>
      <c r="O461" t="n">
        <v>0</v>
      </c>
      <c r="P461" t="n">
        <v>0</v>
      </c>
      <c r="Q461" t="n">
        <v>0</v>
      </c>
      <c r="R461" s="2" t="inlineStr"/>
    </row>
    <row r="462" ht="15" customHeight="1">
      <c r="A462" t="inlineStr">
        <is>
          <t>A 51720-2020</t>
        </is>
      </c>
      <c r="B462" s="1" t="n">
        <v>44113</v>
      </c>
      <c r="C462" s="1" t="n">
        <v>45758</v>
      </c>
      <c r="D462" t="inlineStr">
        <is>
          <t>STOCKHOLMS LÄN</t>
        </is>
      </c>
      <c r="E462" t="inlineStr">
        <is>
          <t>NORRTÄLJE</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51787-2020</t>
        </is>
      </c>
      <c r="B463" s="1" t="n">
        <v>44116</v>
      </c>
      <c r="C463" s="1" t="n">
        <v>45758</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51798-2020</t>
        </is>
      </c>
      <c r="B464" s="1" t="n">
        <v>44116</v>
      </c>
      <c r="C464" s="1" t="n">
        <v>45758</v>
      </c>
      <c r="D464" t="inlineStr">
        <is>
          <t>STOCKHOLMS LÄN</t>
        </is>
      </c>
      <c r="E464" t="inlineStr">
        <is>
          <t>NORRTÄLJE</t>
        </is>
      </c>
      <c r="G464" t="n">
        <v>4.3</v>
      </c>
      <c r="H464" t="n">
        <v>0</v>
      </c>
      <c r="I464" t="n">
        <v>0</v>
      </c>
      <c r="J464" t="n">
        <v>0</v>
      </c>
      <c r="K464" t="n">
        <v>0</v>
      </c>
      <c r="L464" t="n">
        <v>0</v>
      </c>
      <c r="M464" t="n">
        <v>0</v>
      </c>
      <c r="N464" t="n">
        <v>0</v>
      </c>
      <c r="O464" t="n">
        <v>0</v>
      </c>
      <c r="P464" t="n">
        <v>0</v>
      </c>
      <c r="Q464" t="n">
        <v>0</v>
      </c>
      <c r="R464" s="2" t="inlineStr"/>
    </row>
    <row r="465" ht="15" customHeight="1">
      <c r="A465" t="inlineStr">
        <is>
          <t>A 53768-2020</t>
        </is>
      </c>
      <c r="B465" s="1" t="n">
        <v>44123</v>
      </c>
      <c r="C465" s="1" t="n">
        <v>45758</v>
      </c>
      <c r="D465" t="inlineStr">
        <is>
          <t>STOCKHOLMS LÄN</t>
        </is>
      </c>
      <c r="E465" t="inlineStr">
        <is>
          <t>NORRTÄLJE</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53652-2020</t>
        </is>
      </c>
      <c r="B466" s="1" t="n">
        <v>44124</v>
      </c>
      <c r="C466" s="1" t="n">
        <v>45758</v>
      </c>
      <c r="D466" t="inlineStr">
        <is>
          <t>STOCKHOLMS LÄN</t>
        </is>
      </c>
      <c r="E466" t="inlineStr">
        <is>
          <t>NORRTÄLJE</t>
        </is>
      </c>
      <c r="G466" t="n">
        <v>2</v>
      </c>
      <c r="H466" t="n">
        <v>0</v>
      </c>
      <c r="I466" t="n">
        <v>0</v>
      </c>
      <c r="J466" t="n">
        <v>0</v>
      </c>
      <c r="K466" t="n">
        <v>0</v>
      </c>
      <c r="L466" t="n">
        <v>0</v>
      </c>
      <c r="M466" t="n">
        <v>0</v>
      </c>
      <c r="N466" t="n">
        <v>0</v>
      </c>
      <c r="O466" t="n">
        <v>0</v>
      </c>
      <c r="P466" t="n">
        <v>0</v>
      </c>
      <c r="Q466" t="n">
        <v>0</v>
      </c>
      <c r="R466" s="2" t="inlineStr"/>
    </row>
    <row r="467" ht="15" customHeight="1">
      <c r="A467" t="inlineStr">
        <is>
          <t>A 53690-2020</t>
        </is>
      </c>
      <c r="B467" s="1" t="n">
        <v>44124</v>
      </c>
      <c r="C467" s="1" t="n">
        <v>45758</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53607-2020</t>
        </is>
      </c>
      <c r="B468" s="1" t="n">
        <v>44124</v>
      </c>
      <c r="C468" s="1" t="n">
        <v>45758</v>
      </c>
      <c r="D468" t="inlineStr">
        <is>
          <t>STOCKHOLMS LÄN</t>
        </is>
      </c>
      <c r="E468" t="inlineStr">
        <is>
          <t>NORRTÄLJE</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55089-2020</t>
        </is>
      </c>
      <c r="B469" s="1" t="n">
        <v>44130</v>
      </c>
      <c r="C469" s="1" t="n">
        <v>45758</v>
      </c>
      <c r="D469" t="inlineStr">
        <is>
          <t>STOCKHOLMS LÄN</t>
        </is>
      </c>
      <c r="E469" t="inlineStr">
        <is>
          <t>NORRTÄLJE</t>
        </is>
      </c>
      <c r="G469" t="n">
        <v>1</v>
      </c>
      <c r="H469" t="n">
        <v>0</v>
      </c>
      <c r="I469" t="n">
        <v>0</v>
      </c>
      <c r="J469" t="n">
        <v>0</v>
      </c>
      <c r="K469" t="n">
        <v>0</v>
      </c>
      <c r="L469" t="n">
        <v>0</v>
      </c>
      <c r="M469" t="n">
        <v>0</v>
      </c>
      <c r="N469" t="n">
        <v>0</v>
      </c>
      <c r="O469" t="n">
        <v>0</v>
      </c>
      <c r="P469" t="n">
        <v>0</v>
      </c>
      <c r="Q469" t="n">
        <v>0</v>
      </c>
      <c r="R469" s="2" t="inlineStr"/>
    </row>
    <row r="470" ht="15" customHeight="1">
      <c r="A470" t="inlineStr">
        <is>
          <t>A 55895-2020</t>
        </is>
      </c>
      <c r="B470" s="1" t="n">
        <v>44132</v>
      </c>
      <c r="C470" s="1" t="n">
        <v>45758</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55890-2020</t>
        </is>
      </c>
      <c r="B471" s="1" t="n">
        <v>44132</v>
      </c>
      <c r="C471" s="1" t="n">
        <v>45758</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55982-2020</t>
        </is>
      </c>
      <c r="B472" s="1" t="n">
        <v>44132</v>
      </c>
      <c r="C472" s="1" t="n">
        <v>45758</v>
      </c>
      <c r="D472" t="inlineStr">
        <is>
          <t>STOCKHOLMS LÄN</t>
        </is>
      </c>
      <c r="E472" t="inlineStr">
        <is>
          <t>NORRTÄLJE</t>
        </is>
      </c>
      <c r="G472" t="n">
        <v>11.3</v>
      </c>
      <c r="H472" t="n">
        <v>0</v>
      </c>
      <c r="I472" t="n">
        <v>0</v>
      </c>
      <c r="J472" t="n">
        <v>0</v>
      </c>
      <c r="K472" t="n">
        <v>0</v>
      </c>
      <c r="L472" t="n">
        <v>0</v>
      </c>
      <c r="M472" t="n">
        <v>0</v>
      </c>
      <c r="N472" t="n">
        <v>0</v>
      </c>
      <c r="O472" t="n">
        <v>0</v>
      </c>
      <c r="P472" t="n">
        <v>0</v>
      </c>
      <c r="Q472" t="n">
        <v>0</v>
      </c>
      <c r="R472" s="2" t="inlineStr"/>
    </row>
    <row r="473" ht="15" customHeight="1">
      <c r="A473" t="inlineStr">
        <is>
          <t>A 56166-2020</t>
        </is>
      </c>
      <c r="B473" s="1" t="n">
        <v>44133</v>
      </c>
      <c r="C473" s="1" t="n">
        <v>45758</v>
      </c>
      <c r="D473" t="inlineStr">
        <is>
          <t>STOCKHOLMS LÄN</t>
        </is>
      </c>
      <c r="E473" t="inlineStr">
        <is>
          <t>NORRTÄLJE</t>
        </is>
      </c>
      <c r="G473" t="n">
        <v>4.4</v>
      </c>
      <c r="H473" t="n">
        <v>0</v>
      </c>
      <c r="I473" t="n">
        <v>0</v>
      </c>
      <c r="J473" t="n">
        <v>0</v>
      </c>
      <c r="K473" t="n">
        <v>0</v>
      </c>
      <c r="L473" t="n">
        <v>0</v>
      </c>
      <c r="M473" t="n">
        <v>0</v>
      </c>
      <c r="N473" t="n">
        <v>0</v>
      </c>
      <c r="O473" t="n">
        <v>0</v>
      </c>
      <c r="P473" t="n">
        <v>0</v>
      </c>
      <c r="Q473" t="n">
        <v>0</v>
      </c>
      <c r="R473" s="2" t="inlineStr"/>
    </row>
    <row r="474" ht="15" customHeight="1">
      <c r="A474" t="inlineStr">
        <is>
          <t>A 56323-2020</t>
        </is>
      </c>
      <c r="B474" s="1" t="n">
        <v>44134</v>
      </c>
      <c r="C474" s="1" t="n">
        <v>45758</v>
      </c>
      <c r="D474" t="inlineStr">
        <is>
          <t>STOCKHOLMS LÄN</t>
        </is>
      </c>
      <c r="E474" t="inlineStr">
        <is>
          <t>NORRTÄLJE</t>
        </is>
      </c>
      <c r="G474" t="n">
        <v>2.4</v>
      </c>
      <c r="H474" t="n">
        <v>0</v>
      </c>
      <c r="I474" t="n">
        <v>0</v>
      </c>
      <c r="J474" t="n">
        <v>0</v>
      </c>
      <c r="K474" t="n">
        <v>0</v>
      </c>
      <c r="L474" t="n">
        <v>0</v>
      </c>
      <c r="M474" t="n">
        <v>0</v>
      </c>
      <c r="N474" t="n">
        <v>0</v>
      </c>
      <c r="O474" t="n">
        <v>0</v>
      </c>
      <c r="P474" t="n">
        <v>0</v>
      </c>
      <c r="Q474" t="n">
        <v>0</v>
      </c>
      <c r="R474" s="2" t="inlineStr"/>
    </row>
    <row r="475" ht="15" customHeight="1">
      <c r="A475" t="inlineStr">
        <is>
          <t>A 57216-2020</t>
        </is>
      </c>
      <c r="B475" s="1" t="n">
        <v>44139</v>
      </c>
      <c r="C475" s="1" t="n">
        <v>45758</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57957-2020</t>
        </is>
      </c>
      <c r="B476" s="1" t="n">
        <v>44143</v>
      </c>
      <c r="C476" s="1" t="n">
        <v>45758</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57987-2020</t>
        </is>
      </c>
      <c r="B477" s="1" t="n">
        <v>44143</v>
      </c>
      <c r="C477" s="1" t="n">
        <v>45758</v>
      </c>
      <c r="D477" t="inlineStr">
        <is>
          <t>STOCKHOLMS LÄN</t>
        </is>
      </c>
      <c r="E477" t="inlineStr">
        <is>
          <t>NORRTÄLJE</t>
        </is>
      </c>
      <c r="G477" t="n">
        <v>1.3</v>
      </c>
      <c r="H477" t="n">
        <v>0</v>
      </c>
      <c r="I477" t="n">
        <v>0</v>
      </c>
      <c r="J477" t="n">
        <v>0</v>
      </c>
      <c r="K477" t="n">
        <v>0</v>
      </c>
      <c r="L477" t="n">
        <v>0</v>
      </c>
      <c r="M477" t="n">
        <v>0</v>
      </c>
      <c r="N477" t="n">
        <v>0</v>
      </c>
      <c r="O477" t="n">
        <v>0</v>
      </c>
      <c r="P477" t="n">
        <v>0</v>
      </c>
      <c r="Q477" t="n">
        <v>0</v>
      </c>
      <c r="R477" s="2" t="inlineStr"/>
    </row>
    <row r="478" ht="15" customHeight="1">
      <c r="A478" t="inlineStr">
        <is>
          <t>A 58493-2020</t>
        </is>
      </c>
      <c r="B478" s="1" t="n">
        <v>44145</v>
      </c>
      <c r="C478" s="1" t="n">
        <v>45758</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58661-2020</t>
        </is>
      </c>
      <c r="B479" s="1" t="n">
        <v>44145</v>
      </c>
      <c r="C479" s="1" t="n">
        <v>45758</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58665-2020</t>
        </is>
      </c>
      <c r="B480" s="1" t="n">
        <v>44145</v>
      </c>
      <c r="C480" s="1" t="n">
        <v>45758</v>
      </c>
      <c r="D480" t="inlineStr">
        <is>
          <t>STOCKHOLMS LÄN</t>
        </is>
      </c>
      <c r="E480" t="inlineStr">
        <is>
          <t>NORRTÄLJE</t>
        </is>
      </c>
      <c r="G480" t="n">
        <v>5.2</v>
      </c>
      <c r="H480" t="n">
        <v>0</v>
      </c>
      <c r="I480" t="n">
        <v>0</v>
      </c>
      <c r="J480" t="n">
        <v>0</v>
      </c>
      <c r="K480" t="n">
        <v>0</v>
      </c>
      <c r="L480" t="n">
        <v>0</v>
      </c>
      <c r="M480" t="n">
        <v>0</v>
      </c>
      <c r="N480" t="n">
        <v>0</v>
      </c>
      <c r="O480" t="n">
        <v>0</v>
      </c>
      <c r="P480" t="n">
        <v>0</v>
      </c>
      <c r="Q480" t="n">
        <v>0</v>
      </c>
      <c r="R480" s="2" t="inlineStr"/>
    </row>
    <row r="481" ht="15" customHeight="1">
      <c r="A481" t="inlineStr">
        <is>
          <t>A 58888-2020</t>
        </is>
      </c>
      <c r="B481" s="1" t="n">
        <v>44146</v>
      </c>
      <c r="C481" s="1" t="n">
        <v>45758</v>
      </c>
      <c r="D481" t="inlineStr">
        <is>
          <t>STOCKHOLMS LÄN</t>
        </is>
      </c>
      <c r="E481" t="inlineStr">
        <is>
          <t>NORRTÄLJE</t>
        </is>
      </c>
      <c r="G481" t="n">
        <v>1.9</v>
      </c>
      <c r="H481" t="n">
        <v>0</v>
      </c>
      <c r="I481" t="n">
        <v>0</v>
      </c>
      <c r="J481" t="n">
        <v>0</v>
      </c>
      <c r="K481" t="n">
        <v>0</v>
      </c>
      <c r="L481" t="n">
        <v>0</v>
      </c>
      <c r="M481" t="n">
        <v>0</v>
      </c>
      <c r="N481" t="n">
        <v>0</v>
      </c>
      <c r="O481" t="n">
        <v>0</v>
      </c>
      <c r="P481" t="n">
        <v>0</v>
      </c>
      <c r="Q481" t="n">
        <v>0</v>
      </c>
      <c r="R481" s="2" t="inlineStr"/>
    </row>
    <row r="482" ht="15" customHeight="1">
      <c r="A482" t="inlineStr">
        <is>
          <t>A 60321-2020</t>
        </is>
      </c>
      <c r="B482" s="1" t="n">
        <v>44152</v>
      </c>
      <c r="C482" s="1" t="n">
        <v>45758</v>
      </c>
      <c r="D482" t="inlineStr">
        <is>
          <t>STOCKHOLMS LÄN</t>
        </is>
      </c>
      <c r="E482" t="inlineStr">
        <is>
          <t>NORRTÄLJE</t>
        </is>
      </c>
      <c r="F482" t="inlineStr">
        <is>
          <t>Holmen skog AB</t>
        </is>
      </c>
      <c r="G482" t="n">
        <v>3.4</v>
      </c>
      <c r="H482" t="n">
        <v>0</v>
      </c>
      <c r="I482" t="n">
        <v>0</v>
      </c>
      <c r="J482" t="n">
        <v>0</v>
      </c>
      <c r="K482" t="n">
        <v>0</v>
      </c>
      <c r="L482" t="n">
        <v>0</v>
      </c>
      <c r="M482" t="n">
        <v>0</v>
      </c>
      <c r="N482" t="n">
        <v>0</v>
      </c>
      <c r="O482" t="n">
        <v>0</v>
      </c>
      <c r="P482" t="n">
        <v>0</v>
      </c>
      <c r="Q482" t="n">
        <v>0</v>
      </c>
      <c r="R482" s="2" t="inlineStr"/>
    </row>
    <row r="483" ht="15" customHeight="1">
      <c r="A483" t="inlineStr">
        <is>
          <t>A 60542-2020</t>
        </is>
      </c>
      <c r="B483" s="1" t="n">
        <v>44153</v>
      </c>
      <c r="C483" s="1" t="n">
        <v>45758</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60977-2020</t>
        </is>
      </c>
      <c r="B484" s="1" t="n">
        <v>44154</v>
      </c>
      <c r="C484" s="1" t="n">
        <v>45758</v>
      </c>
      <c r="D484" t="inlineStr">
        <is>
          <t>STOCKHOLMS LÄN</t>
        </is>
      </c>
      <c r="E484" t="inlineStr">
        <is>
          <t>NORRTÄLJE</t>
        </is>
      </c>
      <c r="F484" t="inlineStr">
        <is>
          <t>Holmen skog AB</t>
        </is>
      </c>
      <c r="G484" t="n">
        <v>0.8</v>
      </c>
      <c r="H484" t="n">
        <v>0</v>
      </c>
      <c r="I484" t="n">
        <v>0</v>
      </c>
      <c r="J484" t="n">
        <v>0</v>
      </c>
      <c r="K484" t="n">
        <v>0</v>
      </c>
      <c r="L484" t="n">
        <v>0</v>
      </c>
      <c r="M484" t="n">
        <v>0</v>
      </c>
      <c r="N484" t="n">
        <v>0</v>
      </c>
      <c r="O484" t="n">
        <v>0</v>
      </c>
      <c r="P484" t="n">
        <v>0</v>
      </c>
      <c r="Q484" t="n">
        <v>0</v>
      </c>
      <c r="R484" s="2" t="inlineStr"/>
    </row>
    <row r="485" ht="15" customHeight="1">
      <c r="A485" t="inlineStr">
        <is>
          <t>A 60891-2020</t>
        </is>
      </c>
      <c r="B485" s="1" t="n">
        <v>44154</v>
      </c>
      <c r="C485" s="1" t="n">
        <v>45758</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60961-2020</t>
        </is>
      </c>
      <c r="B486" s="1" t="n">
        <v>44154</v>
      </c>
      <c r="C486" s="1" t="n">
        <v>45758</v>
      </c>
      <c r="D486" t="inlineStr">
        <is>
          <t>STOCKHOLMS LÄN</t>
        </is>
      </c>
      <c r="E486" t="inlineStr">
        <is>
          <t>NORRTÄLJE</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61195-2020</t>
        </is>
      </c>
      <c r="B487" s="1" t="n">
        <v>44155</v>
      </c>
      <c r="C487" s="1" t="n">
        <v>45758</v>
      </c>
      <c r="D487" t="inlineStr">
        <is>
          <t>STOCKHOLMS LÄN</t>
        </is>
      </c>
      <c r="E487" t="inlineStr">
        <is>
          <t>NORRTÄLJE</t>
        </is>
      </c>
      <c r="G487" t="n">
        <v>7.8</v>
      </c>
      <c r="H487" t="n">
        <v>0</v>
      </c>
      <c r="I487" t="n">
        <v>0</v>
      </c>
      <c r="J487" t="n">
        <v>0</v>
      </c>
      <c r="K487" t="n">
        <v>0</v>
      </c>
      <c r="L487" t="n">
        <v>0</v>
      </c>
      <c r="M487" t="n">
        <v>0</v>
      </c>
      <c r="N487" t="n">
        <v>0</v>
      </c>
      <c r="O487" t="n">
        <v>0</v>
      </c>
      <c r="P487" t="n">
        <v>0</v>
      </c>
      <c r="Q487" t="n">
        <v>0</v>
      </c>
      <c r="R487" s="2" t="inlineStr"/>
    </row>
    <row r="488" ht="15" customHeight="1">
      <c r="A488" t="inlineStr">
        <is>
          <t>A 61221-2020</t>
        </is>
      </c>
      <c r="B488" s="1" t="n">
        <v>44155</v>
      </c>
      <c r="C488" s="1" t="n">
        <v>45758</v>
      </c>
      <c r="D488" t="inlineStr">
        <is>
          <t>STOCKHOLMS LÄN</t>
        </is>
      </c>
      <c r="E488" t="inlineStr">
        <is>
          <t>NORRTÄLJE</t>
        </is>
      </c>
      <c r="G488" t="n">
        <v>2.8</v>
      </c>
      <c r="H488" t="n">
        <v>0</v>
      </c>
      <c r="I488" t="n">
        <v>0</v>
      </c>
      <c r="J488" t="n">
        <v>0</v>
      </c>
      <c r="K488" t="n">
        <v>0</v>
      </c>
      <c r="L488" t="n">
        <v>0</v>
      </c>
      <c r="M488" t="n">
        <v>0</v>
      </c>
      <c r="N488" t="n">
        <v>0</v>
      </c>
      <c r="O488" t="n">
        <v>0</v>
      </c>
      <c r="P488" t="n">
        <v>0</v>
      </c>
      <c r="Q488" t="n">
        <v>0</v>
      </c>
      <c r="R488" s="2" t="inlineStr"/>
    </row>
    <row r="489" ht="15" customHeight="1">
      <c r="A489" t="inlineStr">
        <is>
          <t>A 61363-2020</t>
        </is>
      </c>
      <c r="B489" s="1" t="n">
        <v>44155</v>
      </c>
      <c r="C489" s="1" t="n">
        <v>45758</v>
      </c>
      <c r="D489" t="inlineStr">
        <is>
          <t>STOCKHOLMS LÄN</t>
        </is>
      </c>
      <c r="E489" t="inlineStr">
        <is>
          <t>NORRTÄLJE</t>
        </is>
      </c>
      <c r="G489" t="n">
        <v>2.3</v>
      </c>
      <c r="H489" t="n">
        <v>0</v>
      </c>
      <c r="I489" t="n">
        <v>0</v>
      </c>
      <c r="J489" t="n">
        <v>0</v>
      </c>
      <c r="K489" t="n">
        <v>0</v>
      </c>
      <c r="L489" t="n">
        <v>0</v>
      </c>
      <c r="M489" t="n">
        <v>0</v>
      </c>
      <c r="N489" t="n">
        <v>0</v>
      </c>
      <c r="O489" t="n">
        <v>0</v>
      </c>
      <c r="P489" t="n">
        <v>0</v>
      </c>
      <c r="Q489" t="n">
        <v>0</v>
      </c>
      <c r="R489" s="2" t="inlineStr"/>
    </row>
    <row r="490" ht="15" customHeight="1">
      <c r="A490" t="inlineStr">
        <is>
          <t>A 61469-2020</t>
        </is>
      </c>
      <c r="B490" s="1" t="n">
        <v>44155</v>
      </c>
      <c r="C490" s="1" t="n">
        <v>45758</v>
      </c>
      <c r="D490" t="inlineStr">
        <is>
          <t>STOCKHOLMS LÄN</t>
        </is>
      </c>
      <c r="E490" t="inlineStr">
        <is>
          <t>NORRTÄLJE</t>
        </is>
      </c>
      <c r="F490" t="inlineStr">
        <is>
          <t>Övriga Aktiebolag</t>
        </is>
      </c>
      <c r="G490" t="n">
        <v>2.6</v>
      </c>
      <c r="H490" t="n">
        <v>0</v>
      </c>
      <c r="I490" t="n">
        <v>0</v>
      </c>
      <c r="J490" t="n">
        <v>0</v>
      </c>
      <c r="K490" t="n">
        <v>0</v>
      </c>
      <c r="L490" t="n">
        <v>0</v>
      </c>
      <c r="M490" t="n">
        <v>0</v>
      </c>
      <c r="N490" t="n">
        <v>0</v>
      </c>
      <c r="O490" t="n">
        <v>0</v>
      </c>
      <c r="P490" t="n">
        <v>0</v>
      </c>
      <c r="Q490" t="n">
        <v>0</v>
      </c>
      <c r="R490" s="2" t="inlineStr"/>
    </row>
    <row r="491" ht="15" customHeight="1">
      <c r="A491" t="inlineStr">
        <is>
          <t>A 61192-2020</t>
        </is>
      </c>
      <c r="B491" s="1" t="n">
        <v>44155</v>
      </c>
      <c r="C491" s="1" t="n">
        <v>45758</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62460-2020</t>
        </is>
      </c>
      <c r="B492" s="1" t="n">
        <v>44160</v>
      </c>
      <c r="C492" s="1" t="n">
        <v>45758</v>
      </c>
      <c r="D492" t="inlineStr">
        <is>
          <t>STOCKHOLMS LÄN</t>
        </is>
      </c>
      <c r="E492" t="inlineStr">
        <is>
          <t>NORRTÄLJE</t>
        </is>
      </c>
      <c r="G492" t="n">
        <v>0.8</v>
      </c>
      <c r="H492" t="n">
        <v>0</v>
      </c>
      <c r="I492" t="n">
        <v>0</v>
      </c>
      <c r="J492" t="n">
        <v>0</v>
      </c>
      <c r="K492" t="n">
        <v>0</v>
      </c>
      <c r="L492" t="n">
        <v>0</v>
      </c>
      <c r="M492" t="n">
        <v>0</v>
      </c>
      <c r="N492" t="n">
        <v>0</v>
      </c>
      <c r="O492" t="n">
        <v>0</v>
      </c>
      <c r="P492" t="n">
        <v>0</v>
      </c>
      <c r="Q492" t="n">
        <v>0</v>
      </c>
      <c r="R492" s="2" t="inlineStr"/>
    </row>
    <row r="493" ht="15" customHeight="1">
      <c r="A493" t="inlineStr">
        <is>
          <t>A 62854-2020</t>
        </is>
      </c>
      <c r="B493" s="1" t="n">
        <v>44161</v>
      </c>
      <c r="C493" s="1" t="n">
        <v>45758</v>
      </c>
      <c r="D493" t="inlineStr">
        <is>
          <t>STOCKHOLMS LÄN</t>
        </is>
      </c>
      <c r="E493" t="inlineStr">
        <is>
          <t>NORRTÄLJE</t>
        </is>
      </c>
      <c r="G493" t="n">
        <v>4.7</v>
      </c>
      <c r="H493" t="n">
        <v>0</v>
      </c>
      <c r="I493" t="n">
        <v>0</v>
      </c>
      <c r="J493" t="n">
        <v>0</v>
      </c>
      <c r="K493" t="n">
        <v>0</v>
      </c>
      <c r="L493" t="n">
        <v>0</v>
      </c>
      <c r="M493" t="n">
        <v>0</v>
      </c>
      <c r="N493" t="n">
        <v>0</v>
      </c>
      <c r="O493" t="n">
        <v>0</v>
      </c>
      <c r="P493" t="n">
        <v>0</v>
      </c>
      <c r="Q493" t="n">
        <v>0</v>
      </c>
      <c r="R493" s="2" t="inlineStr"/>
    </row>
    <row r="494" ht="15" customHeight="1">
      <c r="A494" t="inlineStr">
        <is>
          <t>A 63824-2020</t>
        </is>
      </c>
      <c r="B494" s="1" t="n">
        <v>44162</v>
      </c>
      <c r="C494" s="1" t="n">
        <v>45758</v>
      </c>
      <c r="D494" t="inlineStr">
        <is>
          <t>STOCKHOLMS LÄN</t>
        </is>
      </c>
      <c r="E494" t="inlineStr">
        <is>
          <t>NORRTÄLJE</t>
        </is>
      </c>
      <c r="F494" t="inlineStr">
        <is>
          <t>Övriga Aktiebolag</t>
        </is>
      </c>
      <c r="G494" t="n">
        <v>1.9</v>
      </c>
      <c r="H494" t="n">
        <v>0</v>
      </c>
      <c r="I494" t="n">
        <v>0</v>
      </c>
      <c r="J494" t="n">
        <v>0</v>
      </c>
      <c r="K494" t="n">
        <v>0</v>
      </c>
      <c r="L494" t="n">
        <v>0</v>
      </c>
      <c r="M494" t="n">
        <v>0</v>
      </c>
      <c r="N494" t="n">
        <v>0</v>
      </c>
      <c r="O494" t="n">
        <v>0</v>
      </c>
      <c r="P494" t="n">
        <v>0</v>
      </c>
      <c r="Q494" t="n">
        <v>0</v>
      </c>
      <c r="R494" s="2" t="inlineStr"/>
    </row>
    <row r="495" ht="15" customHeight="1">
      <c r="A495" t="inlineStr">
        <is>
          <t>A 66372-2020</t>
        </is>
      </c>
      <c r="B495" s="1" t="n">
        <v>44176</v>
      </c>
      <c r="C495" s="1" t="n">
        <v>45758</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66907-2020</t>
        </is>
      </c>
      <c r="B496" s="1" t="n">
        <v>44176</v>
      </c>
      <c r="C496" s="1" t="n">
        <v>45758</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67393-2020</t>
        </is>
      </c>
      <c r="B497" s="1" t="n">
        <v>44181</v>
      </c>
      <c r="C497" s="1" t="n">
        <v>45758</v>
      </c>
      <c r="D497" t="inlineStr">
        <is>
          <t>STOCKHOLMS LÄN</t>
        </is>
      </c>
      <c r="E497" t="inlineStr">
        <is>
          <t>NORRTÄLJE</t>
        </is>
      </c>
      <c r="G497" t="n">
        <v>5.5</v>
      </c>
      <c r="H497" t="n">
        <v>0</v>
      </c>
      <c r="I497" t="n">
        <v>0</v>
      </c>
      <c r="J497" t="n">
        <v>0</v>
      </c>
      <c r="K497" t="n">
        <v>0</v>
      </c>
      <c r="L497" t="n">
        <v>0</v>
      </c>
      <c r="M497" t="n">
        <v>0</v>
      </c>
      <c r="N497" t="n">
        <v>0</v>
      </c>
      <c r="O497" t="n">
        <v>0</v>
      </c>
      <c r="P497" t="n">
        <v>0</v>
      </c>
      <c r="Q497" t="n">
        <v>0</v>
      </c>
      <c r="R497" s="2" t="inlineStr"/>
    </row>
    <row r="498" ht="15" customHeight="1">
      <c r="A498" t="inlineStr">
        <is>
          <t>A 68081-2020</t>
        </is>
      </c>
      <c r="B498" s="1" t="n">
        <v>44183</v>
      </c>
      <c r="C498" s="1" t="n">
        <v>45758</v>
      </c>
      <c r="D498" t="inlineStr">
        <is>
          <t>STOCKHOLMS LÄN</t>
        </is>
      </c>
      <c r="E498" t="inlineStr">
        <is>
          <t>NORRTÄLJE</t>
        </is>
      </c>
      <c r="G498" t="n">
        <v>2.1</v>
      </c>
      <c r="H498" t="n">
        <v>0</v>
      </c>
      <c r="I498" t="n">
        <v>0</v>
      </c>
      <c r="J498" t="n">
        <v>0</v>
      </c>
      <c r="K498" t="n">
        <v>0</v>
      </c>
      <c r="L498" t="n">
        <v>0</v>
      </c>
      <c r="M498" t="n">
        <v>0</v>
      </c>
      <c r="N498" t="n">
        <v>0</v>
      </c>
      <c r="O498" t="n">
        <v>0</v>
      </c>
      <c r="P498" t="n">
        <v>0</v>
      </c>
      <c r="Q498" t="n">
        <v>0</v>
      </c>
      <c r="R498" s="2" t="inlineStr"/>
    </row>
    <row r="499" ht="15" customHeight="1">
      <c r="A499" t="inlineStr">
        <is>
          <t>A 367-2021</t>
        </is>
      </c>
      <c r="B499" s="1" t="n">
        <v>44201</v>
      </c>
      <c r="C499" s="1" t="n">
        <v>45758</v>
      </c>
      <c r="D499" t="inlineStr">
        <is>
          <t>STOCKHOLMS LÄN</t>
        </is>
      </c>
      <c r="E499" t="inlineStr">
        <is>
          <t>NORRTÄLJE</t>
        </is>
      </c>
      <c r="G499" t="n">
        <v>0.1</v>
      </c>
      <c r="H499" t="n">
        <v>0</v>
      </c>
      <c r="I499" t="n">
        <v>0</v>
      </c>
      <c r="J499" t="n">
        <v>0</v>
      </c>
      <c r="K499" t="n">
        <v>0</v>
      </c>
      <c r="L499" t="n">
        <v>0</v>
      </c>
      <c r="M499" t="n">
        <v>0</v>
      </c>
      <c r="N499" t="n">
        <v>0</v>
      </c>
      <c r="O499" t="n">
        <v>0</v>
      </c>
      <c r="P499" t="n">
        <v>0</v>
      </c>
      <c r="Q499" t="n">
        <v>0</v>
      </c>
      <c r="R499" s="2" t="inlineStr"/>
    </row>
    <row r="500" ht="15" customHeight="1">
      <c r="A500" t="inlineStr">
        <is>
          <t>A 348-2021</t>
        </is>
      </c>
      <c r="B500" s="1" t="n">
        <v>44201</v>
      </c>
      <c r="C500" s="1" t="n">
        <v>45758</v>
      </c>
      <c r="D500" t="inlineStr">
        <is>
          <t>STOCKHOLMS LÄN</t>
        </is>
      </c>
      <c r="E500" t="inlineStr">
        <is>
          <t>NORRTÄLJE</t>
        </is>
      </c>
      <c r="G500" t="n">
        <v>0.1</v>
      </c>
      <c r="H500" t="n">
        <v>0</v>
      </c>
      <c r="I500" t="n">
        <v>0</v>
      </c>
      <c r="J500" t="n">
        <v>0</v>
      </c>
      <c r="K500" t="n">
        <v>0</v>
      </c>
      <c r="L500" t="n">
        <v>0</v>
      </c>
      <c r="M500" t="n">
        <v>0</v>
      </c>
      <c r="N500" t="n">
        <v>0</v>
      </c>
      <c r="O500" t="n">
        <v>0</v>
      </c>
      <c r="P500" t="n">
        <v>0</v>
      </c>
      <c r="Q500" t="n">
        <v>0</v>
      </c>
      <c r="R500" s="2" t="inlineStr"/>
    </row>
    <row r="501" ht="15" customHeight="1">
      <c r="A501" t="inlineStr">
        <is>
          <t>A 1637-2021</t>
        </is>
      </c>
      <c r="B501" s="1" t="n">
        <v>44209</v>
      </c>
      <c r="C501" s="1" t="n">
        <v>45758</v>
      </c>
      <c r="D501" t="inlineStr">
        <is>
          <t>STOCKHOLMS LÄN</t>
        </is>
      </c>
      <c r="E501" t="inlineStr">
        <is>
          <t>NORRTÄLJE</t>
        </is>
      </c>
      <c r="G501" t="n">
        <v>1.6</v>
      </c>
      <c r="H501" t="n">
        <v>0</v>
      </c>
      <c r="I501" t="n">
        <v>0</v>
      </c>
      <c r="J501" t="n">
        <v>0</v>
      </c>
      <c r="K501" t="n">
        <v>0</v>
      </c>
      <c r="L501" t="n">
        <v>0</v>
      </c>
      <c r="M501" t="n">
        <v>0</v>
      </c>
      <c r="N501" t="n">
        <v>0</v>
      </c>
      <c r="O501" t="n">
        <v>0</v>
      </c>
      <c r="P501" t="n">
        <v>0</v>
      </c>
      <c r="Q501" t="n">
        <v>0</v>
      </c>
      <c r="R501" s="2" t="inlineStr"/>
    </row>
    <row r="502" ht="15" customHeight="1">
      <c r="A502" t="inlineStr">
        <is>
          <t>A 1970-2021</t>
        </is>
      </c>
      <c r="B502" s="1" t="n">
        <v>44210</v>
      </c>
      <c r="C502" s="1" t="n">
        <v>45758</v>
      </c>
      <c r="D502" t="inlineStr">
        <is>
          <t>STOCKHOLMS LÄN</t>
        </is>
      </c>
      <c r="E502" t="inlineStr">
        <is>
          <t>NORRTÄLJE</t>
        </is>
      </c>
      <c r="G502" t="n">
        <v>3.1</v>
      </c>
      <c r="H502" t="n">
        <v>0</v>
      </c>
      <c r="I502" t="n">
        <v>0</v>
      </c>
      <c r="J502" t="n">
        <v>0</v>
      </c>
      <c r="K502" t="n">
        <v>0</v>
      </c>
      <c r="L502" t="n">
        <v>0</v>
      </c>
      <c r="M502" t="n">
        <v>0</v>
      </c>
      <c r="N502" t="n">
        <v>0</v>
      </c>
      <c r="O502" t="n">
        <v>0</v>
      </c>
      <c r="P502" t="n">
        <v>0</v>
      </c>
      <c r="Q502" t="n">
        <v>0</v>
      </c>
      <c r="R502" s="2" t="inlineStr"/>
    </row>
    <row r="503" ht="15" customHeight="1">
      <c r="A503" t="inlineStr">
        <is>
          <t>A 2447-2021</t>
        </is>
      </c>
      <c r="B503" s="1" t="n">
        <v>44214</v>
      </c>
      <c r="C503" s="1" t="n">
        <v>45758</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2976-2021</t>
        </is>
      </c>
      <c r="B504" s="1" t="n">
        <v>44216</v>
      </c>
      <c r="C504" s="1" t="n">
        <v>45758</v>
      </c>
      <c r="D504" t="inlineStr">
        <is>
          <t>STOCKHOLMS LÄN</t>
        </is>
      </c>
      <c r="E504" t="inlineStr">
        <is>
          <t>NORRTÄLJE</t>
        </is>
      </c>
      <c r="G504" t="n">
        <v>0.8</v>
      </c>
      <c r="H504" t="n">
        <v>0</v>
      </c>
      <c r="I504" t="n">
        <v>0</v>
      </c>
      <c r="J504" t="n">
        <v>0</v>
      </c>
      <c r="K504" t="n">
        <v>0</v>
      </c>
      <c r="L504" t="n">
        <v>0</v>
      </c>
      <c r="M504" t="n">
        <v>0</v>
      </c>
      <c r="N504" t="n">
        <v>0</v>
      </c>
      <c r="O504" t="n">
        <v>0</v>
      </c>
      <c r="P504" t="n">
        <v>0</v>
      </c>
      <c r="Q504" t="n">
        <v>0</v>
      </c>
      <c r="R504" s="2" t="inlineStr"/>
    </row>
    <row r="505" ht="15" customHeight="1">
      <c r="A505" t="inlineStr">
        <is>
          <t>A 3143-2021</t>
        </is>
      </c>
      <c r="B505" s="1" t="n">
        <v>44217</v>
      </c>
      <c r="C505" s="1" t="n">
        <v>45758</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3386-2021</t>
        </is>
      </c>
      <c r="B506" s="1" t="n">
        <v>44218</v>
      </c>
      <c r="C506" s="1" t="n">
        <v>45758</v>
      </c>
      <c r="D506" t="inlineStr">
        <is>
          <t>STOCKHOLMS LÄN</t>
        </is>
      </c>
      <c r="E506" t="inlineStr">
        <is>
          <t>NORRTÄLJE</t>
        </is>
      </c>
      <c r="G506" t="n">
        <v>8</v>
      </c>
      <c r="H506" t="n">
        <v>0</v>
      </c>
      <c r="I506" t="n">
        <v>0</v>
      </c>
      <c r="J506" t="n">
        <v>0</v>
      </c>
      <c r="K506" t="n">
        <v>0</v>
      </c>
      <c r="L506" t="n">
        <v>0</v>
      </c>
      <c r="M506" t="n">
        <v>0</v>
      </c>
      <c r="N506" t="n">
        <v>0</v>
      </c>
      <c r="O506" t="n">
        <v>0</v>
      </c>
      <c r="P506" t="n">
        <v>0</v>
      </c>
      <c r="Q506" t="n">
        <v>0</v>
      </c>
      <c r="R506" s="2" t="inlineStr"/>
    </row>
    <row r="507" ht="15" customHeight="1">
      <c r="A507" t="inlineStr">
        <is>
          <t>A 4634-2021</t>
        </is>
      </c>
      <c r="B507" s="1" t="n">
        <v>44224</v>
      </c>
      <c r="C507" s="1" t="n">
        <v>45758</v>
      </c>
      <c r="D507" t="inlineStr">
        <is>
          <t>STOCKHOLMS LÄN</t>
        </is>
      </c>
      <c r="E507" t="inlineStr">
        <is>
          <t>NORRTÄLJE</t>
        </is>
      </c>
      <c r="G507" t="n">
        <v>3.7</v>
      </c>
      <c r="H507" t="n">
        <v>0</v>
      </c>
      <c r="I507" t="n">
        <v>0</v>
      </c>
      <c r="J507" t="n">
        <v>0</v>
      </c>
      <c r="K507" t="n">
        <v>0</v>
      </c>
      <c r="L507" t="n">
        <v>0</v>
      </c>
      <c r="M507" t="n">
        <v>0</v>
      </c>
      <c r="N507" t="n">
        <v>0</v>
      </c>
      <c r="O507" t="n">
        <v>0</v>
      </c>
      <c r="P507" t="n">
        <v>0</v>
      </c>
      <c r="Q507" t="n">
        <v>0</v>
      </c>
      <c r="R507" s="2" t="inlineStr"/>
    </row>
    <row r="508" ht="15" customHeight="1">
      <c r="A508" t="inlineStr">
        <is>
          <t>A 4632-2021</t>
        </is>
      </c>
      <c r="B508" s="1" t="n">
        <v>44224</v>
      </c>
      <c r="C508" s="1" t="n">
        <v>45758</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5037-2021</t>
        </is>
      </c>
      <c r="B509" s="1" t="n">
        <v>44228</v>
      </c>
      <c r="C509" s="1" t="n">
        <v>45758</v>
      </c>
      <c r="D509" t="inlineStr">
        <is>
          <t>STOCKHOLMS LÄN</t>
        </is>
      </c>
      <c r="E509" t="inlineStr">
        <is>
          <t>NORRTÄLJE</t>
        </is>
      </c>
      <c r="F509" t="inlineStr">
        <is>
          <t>Holmen skog AB</t>
        </is>
      </c>
      <c r="G509" t="n">
        <v>3.8</v>
      </c>
      <c r="H509" t="n">
        <v>0</v>
      </c>
      <c r="I509" t="n">
        <v>0</v>
      </c>
      <c r="J509" t="n">
        <v>0</v>
      </c>
      <c r="K509" t="n">
        <v>0</v>
      </c>
      <c r="L509" t="n">
        <v>0</v>
      </c>
      <c r="M509" t="n">
        <v>0</v>
      </c>
      <c r="N509" t="n">
        <v>0</v>
      </c>
      <c r="O509" t="n">
        <v>0</v>
      </c>
      <c r="P509" t="n">
        <v>0</v>
      </c>
      <c r="Q509" t="n">
        <v>0</v>
      </c>
      <c r="R509" s="2" t="inlineStr"/>
    </row>
    <row r="510" ht="15" customHeight="1">
      <c r="A510" t="inlineStr">
        <is>
          <t>A 5562-2021</t>
        </is>
      </c>
      <c r="B510" s="1" t="n">
        <v>44230</v>
      </c>
      <c r="C510" s="1" t="n">
        <v>45758</v>
      </c>
      <c r="D510" t="inlineStr">
        <is>
          <t>STOCKHOLMS LÄN</t>
        </is>
      </c>
      <c r="E510" t="inlineStr">
        <is>
          <t>NORRTÄLJE</t>
        </is>
      </c>
      <c r="G510" t="n">
        <v>0.5</v>
      </c>
      <c r="H510" t="n">
        <v>0</v>
      </c>
      <c r="I510" t="n">
        <v>0</v>
      </c>
      <c r="J510" t="n">
        <v>0</v>
      </c>
      <c r="K510" t="n">
        <v>0</v>
      </c>
      <c r="L510" t="n">
        <v>0</v>
      </c>
      <c r="M510" t="n">
        <v>0</v>
      </c>
      <c r="N510" t="n">
        <v>0</v>
      </c>
      <c r="O510" t="n">
        <v>0</v>
      </c>
      <c r="P510" t="n">
        <v>0</v>
      </c>
      <c r="Q510" t="n">
        <v>0</v>
      </c>
      <c r="R510" s="2" t="inlineStr"/>
    </row>
    <row r="511" ht="15" customHeight="1">
      <c r="A511" t="inlineStr">
        <is>
          <t>A 5566-2021</t>
        </is>
      </c>
      <c r="B511" s="1" t="n">
        <v>44230</v>
      </c>
      <c r="C511" s="1" t="n">
        <v>45758</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5950-2021</t>
        </is>
      </c>
      <c r="B512" s="1" t="n">
        <v>44231</v>
      </c>
      <c r="C512" s="1" t="n">
        <v>45758</v>
      </c>
      <c r="D512" t="inlineStr">
        <is>
          <t>STOCKHOLMS LÄN</t>
        </is>
      </c>
      <c r="E512" t="inlineStr">
        <is>
          <t>NORRTÄLJE</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6049-2021</t>
        </is>
      </c>
      <c r="B513" s="1" t="n">
        <v>44231</v>
      </c>
      <c r="C513" s="1" t="n">
        <v>45758</v>
      </c>
      <c r="D513" t="inlineStr">
        <is>
          <t>STOCKHOLMS LÄN</t>
        </is>
      </c>
      <c r="E513" t="inlineStr">
        <is>
          <t>NORRTÄLJE</t>
        </is>
      </c>
      <c r="G513" t="n">
        <v>0.7</v>
      </c>
      <c r="H513" t="n">
        <v>0</v>
      </c>
      <c r="I513" t="n">
        <v>0</v>
      </c>
      <c r="J513" t="n">
        <v>0</v>
      </c>
      <c r="K513" t="n">
        <v>0</v>
      </c>
      <c r="L513" t="n">
        <v>0</v>
      </c>
      <c r="M513" t="n">
        <v>0</v>
      </c>
      <c r="N513" t="n">
        <v>0</v>
      </c>
      <c r="O513" t="n">
        <v>0</v>
      </c>
      <c r="P513" t="n">
        <v>0</v>
      </c>
      <c r="Q513" t="n">
        <v>0</v>
      </c>
      <c r="R513" s="2" t="inlineStr"/>
    </row>
    <row r="514" ht="15" customHeight="1">
      <c r="A514" t="inlineStr">
        <is>
          <t>A 7903-2021</t>
        </is>
      </c>
      <c r="B514" s="1" t="n">
        <v>44243</v>
      </c>
      <c r="C514" s="1" t="n">
        <v>45758</v>
      </c>
      <c r="D514" t="inlineStr">
        <is>
          <t>STOCKHOLMS LÄN</t>
        </is>
      </c>
      <c r="E514" t="inlineStr">
        <is>
          <t>NORRTÄLJE</t>
        </is>
      </c>
      <c r="G514" t="n">
        <v>3.5</v>
      </c>
      <c r="H514" t="n">
        <v>0</v>
      </c>
      <c r="I514" t="n">
        <v>0</v>
      </c>
      <c r="J514" t="n">
        <v>0</v>
      </c>
      <c r="K514" t="n">
        <v>0</v>
      </c>
      <c r="L514" t="n">
        <v>0</v>
      </c>
      <c r="M514" t="n">
        <v>0</v>
      </c>
      <c r="N514" t="n">
        <v>0</v>
      </c>
      <c r="O514" t="n">
        <v>0</v>
      </c>
      <c r="P514" t="n">
        <v>0</v>
      </c>
      <c r="Q514" t="n">
        <v>0</v>
      </c>
      <c r="R514" s="2" t="inlineStr"/>
    </row>
    <row r="515" ht="15" customHeight="1">
      <c r="A515" t="inlineStr">
        <is>
          <t>A 7999-2021</t>
        </is>
      </c>
      <c r="B515" s="1" t="n">
        <v>44243</v>
      </c>
      <c r="C515" s="1" t="n">
        <v>45758</v>
      </c>
      <c r="D515" t="inlineStr">
        <is>
          <t>STOCKHOLMS LÄN</t>
        </is>
      </c>
      <c r="E515" t="inlineStr">
        <is>
          <t>NORRTÄLJE</t>
        </is>
      </c>
      <c r="G515" t="n">
        <v>6.8</v>
      </c>
      <c r="H515" t="n">
        <v>0</v>
      </c>
      <c r="I515" t="n">
        <v>0</v>
      </c>
      <c r="J515" t="n">
        <v>0</v>
      </c>
      <c r="K515" t="n">
        <v>0</v>
      </c>
      <c r="L515" t="n">
        <v>0</v>
      </c>
      <c r="M515" t="n">
        <v>0</v>
      </c>
      <c r="N515" t="n">
        <v>0</v>
      </c>
      <c r="O515" t="n">
        <v>0</v>
      </c>
      <c r="P515" t="n">
        <v>0</v>
      </c>
      <c r="Q515" t="n">
        <v>0</v>
      </c>
      <c r="R515" s="2" t="inlineStr"/>
    </row>
    <row r="516" ht="15" customHeight="1">
      <c r="A516" t="inlineStr">
        <is>
          <t>A 8338-2021</t>
        </is>
      </c>
      <c r="B516" s="1" t="n">
        <v>44244</v>
      </c>
      <c r="C516" s="1" t="n">
        <v>45758</v>
      </c>
      <c r="D516" t="inlineStr">
        <is>
          <t>STOCKHOLMS LÄN</t>
        </is>
      </c>
      <c r="E516" t="inlineStr">
        <is>
          <t>NORRTÄLJE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9467-2021</t>
        </is>
      </c>
      <c r="B517" s="1" t="n">
        <v>44251</v>
      </c>
      <c r="C517" s="1" t="n">
        <v>45758</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9469-2021</t>
        </is>
      </c>
      <c r="B518" s="1" t="n">
        <v>44251</v>
      </c>
      <c r="C518" s="1" t="n">
        <v>45758</v>
      </c>
      <c r="D518" t="inlineStr">
        <is>
          <t>STOCKHOLMS LÄN</t>
        </is>
      </c>
      <c r="E518" t="inlineStr">
        <is>
          <t>NORRTÄLJE</t>
        </is>
      </c>
      <c r="G518" t="n">
        <v>2.5</v>
      </c>
      <c r="H518" t="n">
        <v>0</v>
      </c>
      <c r="I518" t="n">
        <v>0</v>
      </c>
      <c r="J518" t="n">
        <v>0</v>
      </c>
      <c r="K518" t="n">
        <v>0</v>
      </c>
      <c r="L518" t="n">
        <v>0</v>
      </c>
      <c r="M518" t="n">
        <v>0</v>
      </c>
      <c r="N518" t="n">
        <v>0</v>
      </c>
      <c r="O518" t="n">
        <v>0</v>
      </c>
      <c r="P518" t="n">
        <v>0</v>
      </c>
      <c r="Q518" t="n">
        <v>0</v>
      </c>
      <c r="R518" s="2" t="inlineStr"/>
    </row>
    <row r="519" ht="15" customHeight="1">
      <c r="A519" t="inlineStr">
        <is>
          <t>A 9446-2021</t>
        </is>
      </c>
      <c r="B519" s="1" t="n">
        <v>44251</v>
      </c>
      <c r="C519" s="1" t="n">
        <v>45758</v>
      </c>
      <c r="D519" t="inlineStr">
        <is>
          <t>STOCKHOLMS LÄN</t>
        </is>
      </c>
      <c r="E519" t="inlineStr">
        <is>
          <t>NORRTÄLJE</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9719-2021</t>
        </is>
      </c>
      <c r="B520" s="1" t="n">
        <v>44252</v>
      </c>
      <c r="C520" s="1" t="n">
        <v>45758</v>
      </c>
      <c r="D520" t="inlineStr">
        <is>
          <t>STOCKHOLMS LÄN</t>
        </is>
      </c>
      <c r="E520" t="inlineStr">
        <is>
          <t>NORRTÄLJE</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9703-2021</t>
        </is>
      </c>
      <c r="B521" s="1" t="n">
        <v>44252</v>
      </c>
      <c r="C521" s="1" t="n">
        <v>45758</v>
      </c>
      <c r="D521" t="inlineStr">
        <is>
          <t>STOCKHOLMS LÄN</t>
        </is>
      </c>
      <c r="E521" t="inlineStr">
        <is>
          <t>NORRTÄLJE</t>
        </is>
      </c>
      <c r="G521" t="n">
        <v>3.4</v>
      </c>
      <c r="H521" t="n">
        <v>0</v>
      </c>
      <c r="I521" t="n">
        <v>0</v>
      </c>
      <c r="J521" t="n">
        <v>0</v>
      </c>
      <c r="K521" t="n">
        <v>0</v>
      </c>
      <c r="L521" t="n">
        <v>0</v>
      </c>
      <c r="M521" t="n">
        <v>0</v>
      </c>
      <c r="N521" t="n">
        <v>0</v>
      </c>
      <c r="O521" t="n">
        <v>0</v>
      </c>
      <c r="P521" t="n">
        <v>0</v>
      </c>
      <c r="Q521" t="n">
        <v>0</v>
      </c>
      <c r="R521" s="2" t="inlineStr"/>
    </row>
    <row r="522" ht="15" customHeight="1">
      <c r="A522" t="inlineStr">
        <is>
          <t>A 10687-2021</t>
        </is>
      </c>
      <c r="B522" s="1" t="n">
        <v>44258</v>
      </c>
      <c r="C522" s="1" t="n">
        <v>45758</v>
      </c>
      <c r="D522" t="inlineStr">
        <is>
          <t>STOCKHOLMS LÄN</t>
        </is>
      </c>
      <c r="E522" t="inlineStr">
        <is>
          <t>NORRTÄLJE</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10684-2021</t>
        </is>
      </c>
      <c r="B523" s="1" t="n">
        <v>44258</v>
      </c>
      <c r="C523" s="1" t="n">
        <v>45758</v>
      </c>
      <c r="D523" t="inlineStr">
        <is>
          <t>STOCKHOLMS LÄN</t>
        </is>
      </c>
      <c r="E523" t="inlineStr">
        <is>
          <t>NORRTÄLJE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11122-2021</t>
        </is>
      </c>
      <c r="B524" s="1" t="n">
        <v>44260</v>
      </c>
      <c r="C524" s="1" t="n">
        <v>45758</v>
      </c>
      <c r="D524" t="inlineStr">
        <is>
          <t>STOCKHOLMS LÄN</t>
        </is>
      </c>
      <c r="E524" t="inlineStr">
        <is>
          <t>NORRTÄLJE</t>
        </is>
      </c>
      <c r="F524" t="inlineStr">
        <is>
          <t>Holmen skog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11438-2021</t>
        </is>
      </c>
      <c r="B525" s="1" t="n">
        <v>44263</v>
      </c>
      <c r="C525" s="1" t="n">
        <v>45758</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11988-2021</t>
        </is>
      </c>
      <c r="B526" s="1" t="n">
        <v>44266</v>
      </c>
      <c r="C526" s="1" t="n">
        <v>45758</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12031-2021</t>
        </is>
      </c>
      <c r="B527" s="1" t="n">
        <v>44266</v>
      </c>
      <c r="C527" s="1" t="n">
        <v>45758</v>
      </c>
      <c r="D527" t="inlineStr">
        <is>
          <t>STOCKHOLMS LÄN</t>
        </is>
      </c>
      <c r="E527" t="inlineStr">
        <is>
          <t>NORRTÄLJE</t>
        </is>
      </c>
      <c r="G527" t="n">
        <v>2.6</v>
      </c>
      <c r="H527" t="n">
        <v>0</v>
      </c>
      <c r="I527" t="n">
        <v>0</v>
      </c>
      <c r="J527" t="n">
        <v>0</v>
      </c>
      <c r="K527" t="n">
        <v>0</v>
      </c>
      <c r="L527" t="n">
        <v>0</v>
      </c>
      <c r="M527" t="n">
        <v>0</v>
      </c>
      <c r="N527" t="n">
        <v>0</v>
      </c>
      <c r="O527" t="n">
        <v>0</v>
      </c>
      <c r="P527" t="n">
        <v>0</v>
      </c>
      <c r="Q527" t="n">
        <v>0</v>
      </c>
      <c r="R527" s="2" t="inlineStr"/>
    </row>
    <row r="528" ht="15" customHeight="1">
      <c r="A528" t="inlineStr">
        <is>
          <t>A 12111-2021</t>
        </is>
      </c>
      <c r="B528" s="1" t="n">
        <v>44266</v>
      </c>
      <c r="C528" s="1" t="n">
        <v>45758</v>
      </c>
      <c r="D528" t="inlineStr">
        <is>
          <t>STOCKHOLMS LÄN</t>
        </is>
      </c>
      <c r="E528" t="inlineStr">
        <is>
          <t>NORRTÄLJE</t>
        </is>
      </c>
      <c r="G528" t="n">
        <v>5.5</v>
      </c>
      <c r="H528" t="n">
        <v>0</v>
      </c>
      <c r="I528" t="n">
        <v>0</v>
      </c>
      <c r="J528" t="n">
        <v>0</v>
      </c>
      <c r="K528" t="n">
        <v>0</v>
      </c>
      <c r="L528" t="n">
        <v>0</v>
      </c>
      <c r="M528" t="n">
        <v>0</v>
      </c>
      <c r="N528" t="n">
        <v>0</v>
      </c>
      <c r="O528" t="n">
        <v>0</v>
      </c>
      <c r="P528" t="n">
        <v>0</v>
      </c>
      <c r="Q528" t="n">
        <v>0</v>
      </c>
      <c r="R528" s="2" t="inlineStr"/>
    </row>
    <row r="529" ht="15" customHeight="1">
      <c r="A529" t="inlineStr">
        <is>
          <t>A 12132-2021</t>
        </is>
      </c>
      <c r="B529" s="1" t="n">
        <v>44266</v>
      </c>
      <c r="C529" s="1" t="n">
        <v>45758</v>
      </c>
      <c r="D529" t="inlineStr">
        <is>
          <t>STOCKHOLMS LÄN</t>
        </is>
      </c>
      <c r="E529" t="inlineStr">
        <is>
          <t>NORRTÄLJE</t>
        </is>
      </c>
      <c r="G529" t="n">
        <v>4</v>
      </c>
      <c r="H529" t="n">
        <v>0</v>
      </c>
      <c r="I529" t="n">
        <v>0</v>
      </c>
      <c r="J529" t="n">
        <v>0</v>
      </c>
      <c r="K529" t="n">
        <v>0</v>
      </c>
      <c r="L529" t="n">
        <v>0</v>
      </c>
      <c r="M529" t="n">
        <v>0</v>
      </c>
      <c r="N529" t="n">
        <v>0</v>
      </c>
      <c r="O529" t="n">
        <v>0</v>
      </c>
      <c r="P529" t="n">
        <v>0</v>
      </c>
      <c r="Q529" t="n">
        <v>0</v>
      </c>
      <c r="R529" s="2" t="inlineStr"/>
    </row>
    <row r="530" ht="15" customHeight="1">
      <c r="A530" t="inlineStr">
        <is>
          <t>A 12564-2021</t>
        </is>
      </c>
      <c r="B530" s="1" t="n">
        <v>44270</v>
      </c>
      <c r="C530" s="1" t="n">
        <v>45758</v>
      </c>
      <c r="D530" t="inlineStr">
        <is>
          <t>STOCKHOLMS LÄN</t>
        </is>
      </c>
      <c r="E530" t="inlineStr">
        <is>
          <t>NORRTÄLJE</t>
        </is>
      </c>
      <c r="G530" t="n">
        <v>2.1</v>
      </c>
      <c r="H530" t="n">
        <v>0</v>
      </c>
      <c r="I530" t="n">
        <v>0</v>
      </c>
      <c r="J530" t="n">
        <v>0</v>
      </c>
      <c r="K530" t="n">
        <v>0</v>
      </c>
      <c r="L530" t="n">
        <v>0</v>
      </c>
      <c r="M530" t="n">
        <v>0</v>
      </c>
      <c r="N530" t="n">
        <v>0</v>
      </c>
      <c r="O530" t="n">
        <v>0</v>
      </c>
      <c r="P530" t="n">
        <v>0</v>
      </c>
      <c r="Q530" t="n">
        <v>0</v>
      </c>
      <c r="R530" s="2" t="inlineStr"/>
    </row>
    <row r="531" ht="15" customHeight="1">
      <c r="A531" t="inlineStr">
        <is>
          <t>A 12779-2021</t>
        </is>
      </c>
      <c r="B531" s="1" t="n">
        <v>44270</v>
      </c>
      <c r="C531" s="1" t="n">
        <v>45758</v>
      </c>
      <c r="D531" t="inlineStr">
        <is>
          <t>STOCKHOLMS LÄN</t>
        </is>
      </c>
      <c r="E531" t="inlineStr">
        <is>
          <t>NORRTÄLJE</t>
        </is>
      </c>
      <c r="G531" t="n">
        <v>10.8</v>
      </c>
      <c r="H531" t="n">
        <v>0</v>
      </c>
      <c r="I531" t="n">
        <v>0</v>
      </c>
      <c r="J531" t="n">
        <v>0</v>
      </c>
      <c r="K531" t="n">
        <v>0</v>
      </c>
      <c r="L531" t="n">
        <v>0</v>
      </c>
      <c r="M531" t="n">
        <v>0</v>
      </c>
      <c r="N531" t="n">
        <v>0</v>
      </c>
      <c r="O531" t="n">
        <v>0</v>
      </c>
      <c r="P531" t="n">
        <v>0</v>
      </c>
      <c r="Q531" t="n">
        <v>0</v>
      </c>
      <c r="R531" s="2" t="inlineStr"/>
    </row>
    <row r="532" ht="15" customHeight="1">
      <c r="A532" t="inlineStr">
        <is>
          <t>A 12782-2021</t>
        </is>
      </c>
      <c r="B532" s="1" t="n">
        <v>44270</v>
      </c>
      <c r="C532" s="1" t="n">
        <v>45758</v>
      </c>
      <c r="D532" t="inlineStr">
        <is>
          <t>STOCKHOLMS LÄN</t>
        </is>
      </c>
      <c r="E532" t="inlineStr">
        <is>
          <t>NORRTÄLJE</t>
        </is>
      </c>
      <c r="G532" t="n">
        <v>3.8</v>
      </c>
      <c r="H532" t="n">
        <v>0</v>
      </c>
      <c r="I532" t="n">
        <v>0</v>
      </c>
      <c r="J532" t="n">
        <v>0</v>
      </c>
      <c r="K532" t="n">
        <v>0</v>
      </c>
      <c r="L532" t="n">
        <v>0</v>
      </c>
      <c r="M532" t="n">
        <v>0</v>
      </c>
      <c r="N532" t="n">
        <v>0</v>
      </c>
      <c r="O532" t="n">
        <v>0</v>
      </c>
      <c r="P532" t="n">
        <v>0</v>
      </c>
      <c r="Q532" t="n">
        <v>0</v>
      </c>
      <c r="R532" s="2" t="inlineStr"/>
    </row>
    <row r="533" ht="15" customHeight="1">
      <c r="A533" t="inlineStr">
        <is>
          <t>A 13051-2021</t>
        </is>
      </c>
      <c r="B533" s="1" t="n">
        <v>44272</v>
      </c>
      <c r="C533" s="1" t="n">
        <v>45758</v>
      </c>
      <c r="D533" t="inlineStr">
        <is>
          <t>STOCKHOLMS LÄN</t>
        </is>
      </c>
      <c r="E533" t="inlineStr">
        <is>
          <t>NORRTÄLJE</t>
        </is>
      </c>
      <c r="G533" t="n">
        <v>9.1</v>
      </c>
      <c r="H533" t="n">
        <v>0</v>
      </c>
      <c r="I533" t="n">
        <v>0</v>
      </c>
      <c r="J533" t="n">
        <v>0</v>
      </c>
      <c r="K533" t="n">
        <v>0</v>
      </c>
      <c r="L533" t="n">
        <v>0</v>
      </c>
      <c r="M533" t="n">
        <v>0</v>
      </c>
      <c r="N533" t="n">
        <v>0</v>
      </c>
      <c r="O533" t="n">
        <v>0</v>
      </c>
      <c r="P533" t="n">
        <v>0</v>
      </c>
      <c r="Q533" t="n">
        <v>0</v>
      </c>
      <c r="R533" s="2" t="inlineStr"/>
    </row>
    <row r="534" ht="15" customHeight="1">
      <c r="A534" t="inlineStr">
        <is>
          <t>A 13148-2021</t>
        </is>
      </c>
      <c r="B534" s="1" t="n">
        <v>44272</v>
      </c>
      <c r="C534" s="1" t="n">
        <v>45758</v>
      </c>
      <c r="D534" t="inlineStr">
        <is>
          <t>STOCKHOLMS LÄN</t>
        </is>
      </c>
      <c r="E534" t="inlineStr">
        <is>
          <t>NORRTÄLJE</t>
        </is>
      </c>
      <c r="G534" t="n">
        <v>12.4</v>
      </c>
      <c r="H534" t="n">
        <v>0</v>
      </c>
      <c r="I534" t="n">
        <v>0</v>
      </c>
      <c r="J534" t="n">
        <v>0</v>
      </c>
      <c r="K534" t="n">
        <v>0</v>
      </c>
      <c r="L534" t="n">
        <v>0</v>
      </c>
      <c r="M534" t="n">
        <v>0</v>
      </c>
      <c r="N534" t="n">
        <v>0</v>
      </c>
      <c r="O534" t="n">
        <v>0</v>
      </c>
      <c r="P534" t="n">
        <v>0</v>
      </c>
      <c r="Q534" t="n">
        <v>0</v>
      </c>
      <c r="R534" s="2" t="inlineStr"/>
    </row>
    <row r="535" ht="15" customHeight="1">
      <c r="A535" t="inlineStr">
        <is>
          <t>A 13736-2021</t>
        </is>
      </c>
      <c r="B535" s="1" t="n">
        <v>44274</v>
      </c>
      <c r="C535" s="1" t="n">
        <v>45758</v>
      </c>
      <c r="D535" t="inlineStr">
        <is>
          <t>STOCKHOLMS LÄN</t>
        </is>
      </c>
      <c r="E535" t="inlineStr">
        <is>
          <t>NORRTÄLJE</t>
        </is>
      </c>
      <c r="F535" t="inlineStr">
        <is>
          <t>Holmen skog AB</t>
        </is>
      </c>
      <c r="G535" t="n">
        <v>3.5</v>
      </c>
      <c r="H535" t="n">
        <v>0</v>
      </c>
      <c r="I535" t="n">
        <v>0</v>
      </c>
      <c r="J535" t="n">
        <v>0</v>
      </c>
      <c r="K535" t="n">
        <v>0</v>
      </c>
      <c r="L535" t="n">
        <v>0</v>
      </c>
      <c r="M535" t="n">
        <v>0</v>
      </c>
      <c r="N535" t="n">
        <v>0</v>
      </c>
      <c r="O535" t="n">
        <v>0</v>
      </c>
      <c r="P535" t="n">
        <v>0</v>
      </c>
      <c r="Q535" t="n">
        <v>0</v>
      </c>
      <c r="R535" s="2" t="inlineStr"/>
    </row>
    <row r="536" ht="15" customHeight="1">
      <c r="A536" t="inlineStr">
        <is>
          <t>A 13752-2021</t>
        </is>
      </c>
      <c r="B536" s="1" t="n">
        <v>44274</v>
      </c>
      <c r="C536" s="1" t="n">
        <v>45758</v>
      </c>
      <c r="D536" t="inlineStr">
        <is>
          <t>STOCKHOLMS LÄN</t>
        </is>
      </c>
      <c r="E536" t="inlineStr">
        <is>
          <t>NORRTÄLJE</t>
        </is>
      </c>
      <c r="F536" t="inlineStr">
        <is>
          <t>Holmen skog AB</t>
        </is>
      </c>
      <c r="G536" t="n">
        <v>0.6</v>
      </c>
      <c r="H536" t="n">
        <v>0</v>
      </c>
      <c r="I536" t="n">
        <v>0</v>
      </c>
      <c r="J536" t="n">
        <v>0</v>
      </c>
      <c r="K536" t="n">
        <v>0</v>
      </c>
      <c r="L536" t="n">
        <v>0</v>
      </c>
      <c r="M536" t="n">
        <v>0</v>
      </c>
      <c r="N536" t="n">
        <v>0</v>
      </c>
      <c r="O536" t="n">
        <v>0</v>
      </c>
      <c r="P536" t="n">
        <v>0</v>
      </c>
      <c r="Q536" t="n">
        <v>0</v>
      </c>
      <c r="R536" s="2" t="inlineStr"/>
    </row>
    <row r="537" ht="15" customHeight="1">
      <c r="A537" t="inlineStr">
        <is>
          <t>A 14381-2021</t>
        </is>
      </c>
      <c r="B537" s="1" t="n">
        <v>44279</v>
      </c>
      <c r="C537" s="1" t="n">
        <v>45758</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14922-2021</t>
        </is>
      </c>
      <c r="B538" s="1" t="n">
        <v>44281</v>
      </c>
      <c r="C538" s="1" t="n">
        <v>45758</v>
      </c>
      <c r="D538" t="inlineStr">
        <is>
          <t>STOCKHOLMS LÄN</t>
        </is>
      </c>
      <c r="E538" t="inlineStr">
        <is>
          <t>NORRTÄLJE</t>
        </is>
      </c>
      <c r="G538" t="n">
        <v>4.8</v>
      </c>
      <c r="H538" t="n">
        <v>0</v>
      </c>
      <c r="I538" t="n">
        <v>0</v>
      </c>
      <c r="J538" t="n">
        <v>0</v>
      </c>
      <c r="K538" t="n">
        <v>0</v>
      </c>
      <c r="L538" t="n">
        <v>0</v>
      </c>
      <c r="M538" t="n">
        <v>0</v>
      </c>
      <c r="N538" t="n">
        <v>0</v>
      </c>
      <c r="O538" t="n">
        <v>0</v>
      </c>
      <c r="P538" t="n">
        <v>0</v>
      </c>
      <c r="Q538" t="n">
        <v>0</v>
      </c>
      <c r="R538" s="2" t="inlineStr"/>
    </row>
    <row r="539" ht="15" customHeight="1">
      <c r="A539" t="inlineStr">
        <is>
          <t>A 14933-2021</t>
        </is>
      </c>
      <c r="B539" s="1" t="n">
        <v>44281</v>
      </c>
      <c r="C539" s="1" t="n">
        <v>45758</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15289-2021</t>
        </is>
      </c>
      <c r="B540" s="1" t="n">
        <v>44284</v>
      </c>
      <c r="C540" s="1" t="n">
        <v>45758</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15441-2021</t>
        </is>
      </c>
      <c r="B541" s="1" t="n">
        <v>44284</v>
      </c>
      <c r="C541" s="1" t="n">
        <v>45758</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15552-2021</t>
        </is>
      </c>
      <c r="B542" s="1" t="n">
        <v>44285</v>
      </c>
      <c r="C542" s="1" t="n">
        <v>45758</v>
      </c>
      <c r="D542" t="inlineStr">
        <is>
          <t>STOCKHOLMS LÄN</t>
        </is>
      </c>
      <c r="E542" t="inlineStr">
        <is>
          <t>NORRTÄLJE</t>
        </is>
      </c>
      <c r="G542" t="n">
        <v>10</v>
      </c>
      <c r="H542" t="n">
        <v>0</v>
      </c>
      <c r="I542" t="n">
        <v>0</v>
      </c>
      <c r="J542" t="n">
        <v>0</v>
      </c>
      <c r="K542" t="n">
        <v>0</v>
      </c>
      <c r="L542" t="n">
        <v>0</v>
      </c>
      <c r="M542" t="n">
        <v>0</v>
      </c>
      <c r="N542" t="n">
        <v>0</v>
      </c>
      <c r="O542" t="n">
        <v>0</v>
      </c>
      <c r="P542" t="n">
        <v>0</v>
      </c>
      <c r="Q542" t="n">
        <v>0</v>
      </c>
      <c r="R542" s="2" t="inlineStr"/>
    </row>
    <row r="543" ht="15" customHeight="1">
      <c r="A543" t="inlineStr">
        <is>
          <t>A 16668-2021</t>
        </is>
      </c>
      <c r="B543" s="1" t="n">
        <v>44294</v>
      </c>
      <c r="C543" s="1" t="n">
        <v>45758</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17460-2021</t>
        </is>
      </c>
      <c r="B544" s="1" t="n">
        <v>44299</v>
      </c>
      <c r="C544" s="1" t="n">
        <v>45758</v>
      </c>
      <c r="D544" t="inlineStr">
        <is>
          <t>STOCKHOLMS LÄN</t>
        </is>
      </c>
      <c r="E544" t="inlineStr">
        <is>
          <t>NORRTÄLJE</t>
        </is>
      </c>
      <c r="G544" t="n">
        <v>3.2</v>
      </c>
      <c r="H544" t="n">
        <v>0</v>
      </c>
      <c r="I544" t="n">
        <v>0</v>
      </c>
      <c r="J544" t="n">
        <v>0</v>
      </c>
      <c r="K544" t="n">
        <v>0</v>
      </c>
      <c r="L544" t="n">
        <v>0</v>
      </c>
      <c r="M544" t="n">
        <v>0</v>
      </c>
      <c r="N544" t="n">
        <v>0</v>
      </c>
      <c r="O544" t="n">
        <v>0</v>
      </c>
      <c r="P544" t="n">
        <v>0</v>
      </c>
      <c r="Q544" t="n">
        <v>0</v>
      </c>
      <c r="R544" s="2" t="inlineStr"/>
    </row>
    <row r="545" ht="15" customHeight="1">
      <c r="A545" t="inlineStr">
        <is>
          <t>A 17703-2021</t>
        </is>
      </c>
      <c r="B545" s="1" t="n">
        <v>44300</v>
      </c>
      <c r="C545" s="1" t="n">
        <v>45758</v>
      </c>
      <c r="D545" t="inlineStr">
        <is>
          <t>STOCKHOLMS LÄN</t>
        </is>
      </c>
      <c r="E545" t="inlineStr">
        <is>
          <t>NORRTÄLJE</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18580-2021</t>
        </is>
      </c>
      <c r="B546" s="1" t="n">
        <v>44306</v>
      </c>
      <c r="C546" s="1" t="n">
        <v>45758</v>
      </c>
      <c r="D546" t="inlineStr">
        <is>
          <t>STOCKHOLMS LÄN</t>
        </is>
      </c>
      <c r="E546" t="inlineStr">
        <is>
          <t>NORRTÄLJE</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18609-2021</t>
        </is>
      </c>
      <c r="B547" s="1" t="n">
        <v>44306</v>
      </c>
      <c r="C547" s="1" t="n">
        <v>45758</v>
      </c>
      <c r="D547" t="inlineStr">
        <is>
          <t>STOCKHOLMS LÄN</t>
        </is>
      </c>
      <c r="E547" t="inlineStr">
        <is>
          <t>NORRTÄLJE</t>
        </is>
      </c>
      <c r="G547" t="n">
        <v>9.5</v>
      </c>
      <c r="H547" t="n">
        <v>0</v>
      </c>
      <c r="I547" t="n">
        <v>0</v>
      </c>
      <c r="J547" t="n">
        <v>0</v>
      </c>
      <c r="K547" t="n">
        <v>0</v>
      </c>
      <c r="L547" t="n">
        <v>0</v>
      </c>
      <c r="M547" t="n">
        <v>0</v>
      </c>
      <c r="N547" t="n">
        <v>0</v>
      </c>
      <c r="O547" t="n">
        <v>0</v>
      </c>
      <c r="P547" t="n">
        <v>0</v>
      </c>
      <c r="Q547" t="n">
        <v>0</v>
      </c>
      <c r="R547" s="2" t="inlineStr"/>
    </row>
    <row r="548" ht="15" customHeight="1">
      <c r="A548" t="inlineStr">
        <is>
          <t>A 18539-2021</t>
        </is>
      </c>
      <c r="B548" s="1" t="n">
        <v>44306</v>
      </c>
      <c r="C548" s="1" t="n">
        <v>45758</v>
      </c>
      <c r="D548" t="inlineStr">
        <is>
          <t>STOCKHOLMS LÄN</t>
        </is>
      </c>
      <c r="E548" t="inlineStr">
        <is>
          <t>NORRTÄLJE</t>
        </is>
      </c>
      <c r="F548" t="inlineStr">
        <is>
          <t>Holmen skog AB</t>
        </is>
      </c>
      <c r="G548" t="n">
        <v>5.5</v>
      </c>
      <c r="H548" t="n">
        <v>0</v>
      </c>
      <c r="I548" t="n">
        <v>0</v>
      </c>
      <c r="J548" t="n">
        <v>0</v>
      </c>
      <c r="K548" t="n">
        <v>0</v>
      </c>
      <c r="L548" t="n">
        <v>0</v>
      </c>
      <c r="M548" t="n">
        <v>0</v>
      </c>
      <c r="N548" t="n">
        <v>0</v>
      </c>
      <c r="O548" t="n">
        <v>0</v>
      </c>
      <c r="P548" t="n">
        <v>0</v>
      </c>
      <c r="Q548" t="n">
        <v>0</v>
      </c>
      <c r="R548" s="2" t="inlineStr"/>
    </row>
    <row r="549" ht="15" customHeight="1">
      <c r="A549" t="inlineStr">
        <is>
          <t>A 18570-2021</t>
        </is>
      </c>
      <c r="B549" s="1" t="n">
        <v>44306</v>
      </c>
      <c r="C549" s="1" t="n">
        <v>45758</v>
      </c>
      <c r="D549" t="inlineStr">
        <is>
          <t>STOCKHOLMS LÄN</t>
        </is>
      </c>
      <c r="E549" t="inlineStr">
        <is>
          <t>NORRTÄLJE</t>
        </is>
      </c>
      <c r="F549" t="inlineStr">
        <is>
          <t>Holmen skog AB</t>
        </is>
      </c>
      <c r="G549" t="n">
        <v>0.6</v>
      </c>
      <c r="H549" t="n">
        <v>0</v>
      </c>
      <c r="I549" t="n">
        <v>0</v>
      </c>
      <c r="J549" t="n">
        <v>0</v>
      </c>
      <c r="K549" t="n">
        <v>0</v>
      </c>
      <c r="L549" t="n">
        <v>0</v>
      </c>
      <c r="M549" t="n">
        <v>0</v>
      </c>
      <c r="N549" t="n">
        <v>0</v>
      </c>
      <c r="O549" t="n">
        <v>0</v>
      </c>
      <c r="P549" t="n">
        <v>0</v>
      </c>
      <c r="Q549" t="n">
        <v>0</v>
      </c>
      <c r="R549" s="2" t="inlineStr"/>
    </row>
    <row r="550" ht="15" customHeight="1">
      <c r="A550" t="inlineStr">
        <is>
          <t>A 19283-2021</t>
        </is>
      </c>
      <c r="B550" s="1" t="n">
        <v>44309</v>
      </c>
      <c r="C550" s="1" t="n">
        <v>45758</v>
      </c>
      <c r="D550" t="inlineStr">
        <is>
          <t>STOCKHOLMS LÄN</t>
        </is>
      </c>
      <c r="E550" t="inlineStr">
        <is>
          <t>NORRTÄLJE</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19400-2021</t>
        </is>
      </c>
      <c r="B551" s="1" t="n">
        <v>44309</v>
      </c>
      <c r="C551" s="1" t="n">
        <v>45758</v>
      </c>
      <c r="D551" t="inlineStr">
        <is>
          <t>STOCKHOLMS LÄN</t>
        </is>
      </c>
      <c r="E551" t="inlineStr">
        <is>
          <t>NORRTÄLJE</t>
        </is>
      </c>
      <c r="F551" t="inlineStr">
        <is>
          <t>Kommuner</t>
        </is>
      </c>
      <c r="G551" t="n">
        <v>2.4</v>
      </c>
      <c r="H551" t="n">
        <v>0</v>
      </c>
      <c r="I551" t="n">
        <v>0</v>
      </c>
      <c r="J551" t="n">
        <v>0</v>
      </c>
      <c r="K551" t="n">
        <v>0</v>
      </c>
      <c r="L551" t="n">
        <v>0</v>
      </c>
      <c r="M551" t="n">
        <v>0</v>
      </c>
      <c r="N551" t="n">
        <v>0</v>
      </c>
      <c r="O551" t="n">
        <v>0</v>
      </c>
      <c r="P551" t="n">
        <v>0</v>
      </c>
      <c r="Q551" t="n">
        <v>0</v>
      </c>
      <c r="R551" s="2" t="inlineStr"/>
    </row>
    <row r="552" ht="15" customHeight="1">
      <c r="A552" t="inlineStr">
        <is>
          <t>A 19307-2021</t>
        </is>
      </c>
      <c r="B552" s="1" t="n">
        <v>44309</v>
      </c>
      <c r="C552" s="1" t="n">
        <v>45758</v>
      </c>
      <c r="D552" t="inlineStr">
        <is>
          <t>STOCKHOLMS LÄN</t>
        </is>
      </c>
      <c r="E552" t="inlineStr">
        <is>
          <t>NORRTÄLJE</t>
        </is>
      </c>
      <c r="F552" t="inlineStr">
        <is>
          <t>Holmen skog AB</t>
        </is>
      </c>
      <c r="G552" t="n">
        <v>1.9</v>
      </c>
      <c r="H552" t="n">
        <v>0</v>
      </c>
      <c r="I552" t="n">
        <v>0</v>
      </c>
      <c r="J552" t="n">
        <v>0</v>
      </c>
      <c r="K552" t="n">
        <v>0</v>
      </c>
      <c r="L552" t="n">
        <v>0</v>
      </c>
      <c r="M552" t="n">
        <v>0</v>
      </c>
      <c r="N552" t="n">
        <v>0</v>
      </c>
      <c r="O552" t="n">
        <v>0</v>
      </c>
      <c r="P552" t="n">
        <v>0</v>
      </c>
      <c r="Q552" t="n">
        <v>0</v>
      </c>
      <c r="R552" s="2" t="inlineStr"/>
    </row>
    <row r="553" ht="15" customHeight="1">
      <c r="A553" t="inlineStr">
        <is>
          <t>A 19398-2021</t>
        </is>
      </c>
      <c r="B553" s="1" t="n">
        <v>44309</v>
      </c>
      <c r="C553" s="1" t="n">
        <v>45758</v>
      </c>
      <c r="D553" t="inlineStr">
        <is>
          <t>STOCKHOLMS LÄN</t>
        </is>
      </c>
      <c r="E553" t="inlineStr">
        <is>
          <t>NORRTÄLJE</t>
        </is>
      </c>
      <c r="F553" t="inlineStr">
        <is>
          <t>Kommuner</t>
        </is>
      </c>
      <c r="G553" t="n">
        <v>2.1</v>
      </c>
      <c r="H553" t="n">
        <v>0</v>
      </c>
      <c r="I553" t="n">
        <v>0</v>
      </c>
      <c r="J553" t="n">
        <v>0</v>
      </c>
      <c r="K553" t="n">
        <v>0</v>
      </c>
      <c r="L553" t="n">
        <v>0</v>
      </c>
      <c r="M553" t="n">
        <v>0</v>
      </c>
      <c r="N553" t="n">
        <v>0</v>
      </c>
      <c r="O553" t="n">
        <v>0</v>
      </c>
      <c r="P553" t="n">
        <v>0</v>
      </c>
      <c r="Q553" t="n">
        <v>0</v>
      </c>
      <c r="R553" s="2" t="inlineStr"/>
    </row>
    <row r="554" ht="15" customHeight="1">
      <c r="A554" t="inlineStr">
        <is>
          <t>A 20073-2021</t>
        </is>
      </c>
      <c r="B554" s="1" t="n">
        <v>44314</v>
      </c>
      <c r="C554" s="1" t="n">
        <v>45758</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20473-2021</t>
        </is>
      </c>
      <c r="B555" s="1" t="n">
        <v>44315</v>
      </c>
      <c r="C555" s="1" t="n">
        <v>45758</v>
      </c>
      <c r="D555" t="inlineStr">
        <is>
          <t>STOCKHOLMS LÄN</t>
        </is>
      </c>
      <c r="E555" t="inlineStr">
        <is>
          <t>NORRTÄLJE</t>
        </is>
      </c>
      <c r="F555" t="inlineStr">
        <is>
          <t>Övriga Aktiebolag</t>
        </is>
      </c>
      <c r="G555" t="n">
        <v>3.6</v>
      </c>
      <c r="H555" t="n">
        <v>0</v>
      </c>
      <c r="I555" t="n">
        <v>0</v>
      </c>
      <c r="J555" t="n">
        <v>0</v>
      </c>
      <c r="K555" t="n">
        <v>0</v>
      </c>
      <c r="L555" t="n">
        <v>0</v>
      </c>
      <c r="M555" t="n">
        <v>0</v>
      </c>
      <c r="N555" t="n">
        <v>0</v>
      </c>
      <c r="O555" t="n">
        <v>0</v>
      </c>
      <c r="P555" t="n">
        <v>0</v>
      </c>
      <c r="Q555" t="n">
        <v>0</v>
      </c>
      <c r="R555" s="2" t="inlineStr"/>
    </row>
    <row r="556" ht="15" customHeight="1">
      <c r="A556" t="inlineStr">
        <is>
          <t>A 21291-2021</t>
        </is>
      </c>
      <c r="B556" s="1" t="n">
        <v>44319</v>
      </c>
      <c r="C556" s="1" t="n">
        <v>45758</v>
      </c>
      <c r="D556" t="inlineStr">
        <is>
          <t>STOCKHOLMS LÄN</t>
        </is>
      </c>
      <c r="E556" t="inlineStr">
        <is>
          <t>NORRTÄLJE</t>
        </is>
      </c>
      <c r="G556" t="n">
        <v>12.7</v>
      </c>
      <c r="H556" t="n">
        <v>0</v>
      </c>
      <c r="I556" t="n">
        <v>0</v>
      </c>
      <c r="J556" t="n">
        <v>0</v>
      </c>
      <c r="K556" t="n">
        <v>0</v>
      </c>
      <c r="L556" t="n">
        <v>0</v>
      </c>
      <c r="M556" t="n">
        <v>0</v>
      </c>
      <c r="N556" t="n">
        <v>0</v>
      </c>
      <c r="O556" t="n">
        <v>0</v>
      </c>
      <c r="P556" t="n">
        <v>0</v>
      </c>
      <c r="Q556" t="n">
        <v>0</v>
      </c>
      <c r="R556" s="2" t="inlineStr"/>
    </row>
    <row r="557" ht="15" customHeight="1">
      <c r="A557" t="inlineStr">
        <is>
          <t>A 21529-2021</t>
        </is>
      </c>
      <c r="B557" s="1" t="n">
        <v>44321</v>
      </c>
      <c r="C557" s="1" t="n">
        <v>45758</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22832-2021</t>
        </is>
      </c>
      <c r="B558" s="1" t="n">
        <v>44325</v>
      </c>
      <c r="C558" s="1" t="n">
        <v>45758</v>
      </c>
      <c r="D558" t="inlineStr">
        <is>
          <t>STOCKHOLMS LÄN</t>
        </is>
      </c>
      <c r="E558" t="inlineStr">
        <is>
          <t>NORRTÄLJE</t>
        </is>
      </c>
      <c r="G558" t="n">
        <v>6.8</v>
      </c>
      <c r="H558" t="n">
        <v>0</v>
      </c>
      <c r="I558" t="n">
        <v>0</v>
      </c>
      <c r="J558" t="n">
        <v>0</v>
      </c>
      <c r="K558" t="n">
        <v>0</v>
      </c>
      <c r="L558" t="n">
        <v>0</v>
      </c>
      <c r="M558" t="n">
        <v>0</v>
      </c>
      <c r="N558" t="n">
        <v>0</v>
      </c>
      <c r="O558" t="n">
        <v>0</v>
      </c>
      <c r="P558" t="n">
        <v>0</v>
      </c>
      <c r="Q558" t="n">
        <v>0</v>
      </c>
      <c r="R558" s="2" t="inlineStr"/>
    </row>
    <row r="559" ht="15" customHeight="1">
      <c r="A559" t="inlineStr">
        <is>
          <t>A 22816-2021</t>
        </is>
      </c>
      <c r="B559" s="1" t="n">
        <v>44325</v>
      </c>
      <c r="C559" s="1" t="n">
        <v>45758</v>
      </c>
      <c r="D559" t="inlineStr">
        <is>
          <t>STOCKHOLMS LÄN</t>
        </is>
      </c>
      <c r="E559" t="inlineStr">
        <is>
          <t>NORRTÄLJE</t>
        </is>
      </c>
      <c r="G559" t="n">
        <v>4.5</v>
      </c>
      <c r="H559" t="n">
        <v>0</v>
      </c>
      <c r="I559" t="n">
        <v>0</v>
      </c>
      <c r="J559" t="n">
        <v>0</v>
      </c>
      <c r="K559" t="n">
        <v>0</v>
      </c>
      <c r="L559" t="n">
        <v>0</v>
      </c>
      <c r="M559" t="n">
        <v>0</v>
      </c>
      <c r="N559" t="n">
        <v>0</v>
      </c>
      <c r="O559" t="n">
        <v>0</v>
      </c>
      <c r="P559" t="n">
        <v>0</v>
      </c>
      <c r="Q559" t="n">
        <v>0</v>
      </c>
      <c r="R559" s="2" t="inlineStr"/>
    </row>
    <row r="560" ht="15" customHeight="1">
      <c r="A560" t="inlineStr">
        <is>
          <t>A 22369-2021</t>
        </is>
      </c>
      <c r="B560" s="1" t="n">
        <v>44326</v>
      </c>
      <c r="C560" s="1" t="n">
        <v>45758</v>
      </c>
      <c r="D560" t="inlineStr">
        <is>
          <t>STOCKHOLMS LÄN</t>
        </is>
      </c>
      <c r="E560" t="inlineStr">
        <is>
          <t>NORRTÄLJE</t>
        </is>
      </c>
      <c r="F560" t="inlineStr">
        <is>
          <t>Holmen skog AB</t>
        </is>
      </c>
      <c r="G560" t="n">
        <v>3.4</v>
      </c>
      <c r="H560" t="n">
        <v>0</v>
      </c>
      <c r="I560" t="n">
        <v>0</v>
      </c>
      <c r="J560" t="n">
        <v>0</v>
      </c>
      <c r="K560" t="n">
        <v>0</v>
      </c>
      <c r="L560" t="n">
        <v>0</v>
      </c>
      <c r="M560" t="n">
        <v>0</v>
      </c>
      <c r="N560" t="n">
        <v>0</v>
      </c>
      <c r="O560" t="n">
        <v>0</v>
      </c>
      <c r="P560" t="n">
        <v>0</v>
      </c>
      <c r="Q560" t="n">
        <v>0</v>
      </c>
      <c r="R560" s="2" t="inlineStr"/>
    </row>
    <row r="561" ht="15" customHeight="1">
      <c r="A561" t="inlineStr">
        <is>
          <t>A 22421-2021</t>
        </is>
      </c>
      <c r="B561" s="1" t="n">
        <v>44326</v>
      </c>
      <c r="C561" s="1" t="n">
        <v>45758</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22412-2021</t>
        </is>
      </c>
      <c r="B562" s="1" t="n">
        <v>44326</v>
      </c>
      <c r="C562" s="1" t="n">
        <v>45758</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23123-2021</t>
        </is>
      </c>
      <c r="B563" s="1" t="n">
        <v>44330</v>
      </c>
      <c r="C563" s="1" t="n">
        <v>45758</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23096-2021</t>
        </is>
      </c>
      <c r="B564" s="1" t="n">
        <v>44330</v>
      </c>
      <c r="C564" s="1" t="n">
        <v>45758</v>
      </c>
      <c r="D564" t="inlineStr">
        <is>
          <t>STOCKHOLMS LÄN</t>
        </is>
      </c>
      <c r="E564" t="inlineStr">
        <is>
          <t>NORRTÄLJE</t>
        </is>
      </c>
      <c r="G564" t="n">
        <v>0.3</v>
      </c>
      <c r="H564" t="n">
        <v>0</v>
      </c>
      <c r="I564" t="n">
        <v>0</v>
      </c>
      <c r="J564" t="n">
        <v>0</v>
      </c>
      <c r="K564" t="n">
        <v>0</v>
      </c>
      <c r="L564" t="n">
        <v>0</v>
      </c>
      <c r="M564" t="n">
        <v>0</v>
      </c>
      <c r="N564" t="n">
        <v>0</v>
      </c>
      <c r="O564" t="n">
        <v>0</v>
      </c>
      <c r="P564" t="n">
        <v>0</v>
      </c>
      <c r="Q564" t="n">
        <v>0</v>
      </c>
      <c r="R564" s="2" t="inlineStr"/>
    </row>
    <row r="565" ht="15" customHeight="1">
      <c r="A565" t="inlineStr">
        <is>
          <t>A 23122-2021</t>
        </is>
      </c>
      <c r="B565" s="1" t="n">
        <v>44330</v>
      </c>
      <c r="C565" s="1" t="n">
        <v>45758</v>
      </c>
      <c r="D565" t="inlineStr">
        <is>
          <t>STOCKHOLMS LÄN</t>
        </is>
      </c>
      <c r="E565" t="inlineStr">
        <is>
          <t>NORRTÄLJE</t>
        </is>
      </c>
      <c r="G565" t="n">
        <v>0.4</v>
      </c>
      <c r="H565" t="n">
        <v>0</v>
      </c>
      <c r="I565" t="n">
        <v>0</v>
      </c>
      <c r="J565" t="n">
        <v>0</v>
      </c>
      <c r="K565" t="n">
        <v>0</v>
      </c>
      <c r="L565" t="n">
        <v>0</v>
      </c>
      <c r="M565" t="n">
        <v>0</v>
      </c>
      <c r="N565" t="n">
        <v>0</v>
      </c>
      <c r="O565" t="n">
        <v>0</v>
      </c>
      <c r="P565" t="n">
        <v>0</v>
      </c>
      <c r="Q565" t="n">
        <v>0</v>
      </c>
      <c r="R565" s="2" t="inlineStr"/>
    </row>
    <row r="566" ht="15" customHeight="1">
      <c r="A566" t="inlineStr">
        <is>
          <t>A 23453-2021</t>
        </is>
      </c>
      <c r="B566" s="1" t="n">
        <v>44333</v>
      </c>
      <c r="C566" s="1" t="n">
        <v>45758</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24082-2021</t>
        </is>
      </c>
      <c r="B567" s="1" t="n">
        <v>44336</v>
      </c>
      <c r="C567" s="1" t="n">
        <v>45758</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25463-2021</t>
        </is>
      </c>
      <c r="B568" s="1" t="n">
        <v>44342</v>
      </c>
      <c r="C568" s="1" t="n">
        <v>45758</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27217-2021</t>
        </is>
      </c>
      <c r="B569" s="1" t="n">
        <v>44350</v>
      </c>
      <c r="C569" s="1" t="n">
        <v>45758</v>
      </c>
      <c r="D569" t="inlineStr">
        <is>
          <t>STOCKHOLMS LÄN</t>
        </is>
      </c>
      <c r="E569" t="inlineStr">
        <is>
          <t>NORRTÄLJE</t>
        </is>
      </c>
      <c r="G569" t="n">
        <v>5.5</v>
      </c>
      <c r="H569" t="n">
        <v>0</v>
      </c>
      <c r="I569" t="n">
        <v>0</v>
      </c>
      <c r="J569" t="n">
        <v>0</v>
      </c>
      <c r="K569" t="n">
        <v>0</v>
      </c>
      <c r="L569" t="n">
        <v>0</v>
      </c>
      <c r="M569" t="n">
        <v>0</v>
      </c>
      <c r="N569" t="n">
        <v>0</v>
      </c>
      <c r="O569" t="n">
        <v>0</v>
      </c>
      <c r="P569" t="n">
        <v>0</v>
      </c>
      <c r="Q569" t="n">
        <v>0</v>
      </c>
      <c r="R569" s="2" t="inlineStr"/>
    </row>
    <row r="570" ht="15" customHeight="1">
      <c r="A570" t="inlineStr">
        <is>
          <t>A 27214-2021</t>
        </is>
      </c>
      <c r="B570" s="1" t="n">
        <v>44350</v>
      </c>
      <c r="C570" s="1" t="n">
        <v>45758</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29357-2021</t>
        </is>
      </c>
      <c r="B571" s="1" t="n">
        <v>44361</v>
      </c>
      <c r="C571" s="1" t="n">
        <v>45758</v>
      </c>
      <c r="D571" t="inlineStr">
        <is>
          <t>STOCKHOLMS LÄN</t>
        </is>
      </c>
      <c r="E571" t="inlineStr">
        <is>
          <t>NORRTÄLJE</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29680-2021</t>
        </is>
      </c>
      <c r="B572" s="1" t="n">
        <v>44362</v>
      </c>
      <c r="C572" s="1" t="n">
        <v>45758</v>
      </c>
      <c r="D572" t="inlineStr">
        <is>
          <t>STOCKHOLMS LÄN</t>
        </is>
      </c>
      <c r="E572" t="inlineStr">
        <is>
          <t>NORRTÄLJE</t>
        </is>
      </c>
      <c r="F572" t="inlineStr">
        <is>
          <t>Holmen skog AB</t>
        </is>
      </c>
      <c r="G572" t="n">
        <v>0.7</v>
      </c>
      <c r="H572" t="n">
        <v>0</v>
      </c>
      <c r="I572" t="n">
        <v>0</v>
      </c>
      <c r="J572" t="n">
        <v>0</v>
      </c>
      <c r="K572" t="n">
        <v>0</v>
      </c>
      <c r="L572" t="n">
        <v>0</v>
      </c>
      <c r="M572" t="n">
        <v>0</v>
      </c>
      <c r="N572" t="n">
        <v>0</v>
      </c>
      <c r="O572" t="n">
        <v>0</v>
      </c>
      <c r="P572" t="n">
        <v>0</v>
      </c>
      <c r="Q572" t="n">
        <v>0</v>
      </c>
      <c r="R572" s="2" t="inlineStr"/>
    </row>
    <row r="573" ht="15" customHeight="1">
      <c r="A573" t="inlineStr">
        <is>
          <t>A 29684-2021</t>
        </is>
      </c>
      <c r="B573" s="1" t="n">
        <v>44362</v>
      </c>
      <c r="C573" s="1" t="n">
        <v>45758</v>
      </c>
      <c r="D573" t="inlineStr">
        <is>
          <t>STOCKHOLMS LÄN</t>
        </is>
      </c>
      <c r="E573" t="inlineStr">
        <is>
          <t>NORRTÄLJE</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30129-2021</t>
        </is>
      </c>
      <c r="B574" s="1" t="n">
        <v>44363</v>
      </c>
      <c r="C574" s="1" t="n">
        <v>45758</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31688-2021</t>
        </is>
      </c>
      <c r="B575" s="1" t="n">
        <v>44369</v>
      </c>
      <c r="C575" s="1" t="n">
        <v>45758</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32002-2021</t>
        </is>
      </c>
      <c r="B576" s="1" t="n">
        <v>44370</v>
      </c>
      <c r="C576" s="1" t="n">
        <v>45758</v>
      </c>
      <c r="D576" t="inlineStr">
        <is>
          <t>STOCKHOLMS LÄN</t>
        </is>
      </c>
      <c r="E576" t="inlineStr">
        <is>
          <t>NORRTÄLJE</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32051-2021</t>
        </is>
      </c>
      <c r="B577" s="1" t="n">
        <v>44370</v>
      </c>
      <c r="C577" s="1" t="n">
        <v>45758</v>
      </c>
      <c r="D577" t="inlineStr">
        <is>
          <t>STOCKHOLMS LÄN</t>
        </is>
      </c>
      <c r="E577" t="inlineStr">
        <is>
          <t>NORRTÄLJE</t>
        </is>
      </c>
      <c r="G577" t="n">
        <v>4.6</v>
      </c>
      <c r="H577" t="n">
        <v>0</v>
      </c>
      <c r="I577" t="n">
        <v>0</v>
      </c>
      <c r="J577" t="n">
        <v>0</v>
      </c>
      <c r="K577" t="n">
        <v>0</v>
      </c>
      <c r="L577" t="n">
        <v>0</v>
      </c>
      <c r="M577" t="n">
        <v>0</v>
      </c>
      <c r="N577" t="n">
        <v>0</v>
      </c>
      <c r="O577" t="n">
        <v>0</v>
      </c>
      <c r="P577" t="n">
        <v>0</v>
      </c>
      <c r="Q577" t="n">
        <v>0</v>
      </c>
      <c r="R577" s="2" t="inlineStr"/>
    </row>
    <row r="578" ht="15" customHeight="1">
      <c r="A578" t="inlineStr">
        <is>
          <t>A 32055-2021</t>
        </is>
      </c>
      <c r="B578" s="1" t="n">
        <v>44370</v>
      </c>
      <c r="C578" s="1" t="n">
        <v>45758</v>
      </c>
      <c r="D578" t="inlineStr">
        <is>
          <t>STOCKHOLMS LÄN</t>
        </is>
      </c>
      <c r="E578" t="inlineStr">
        <is>
          <t>NORRTÄLJE</t>
        </is>
      </c>
      <c r="G578" t="n">
        <v>1.2</v>
      </c>
      <c r="H578" t="n">
        <v>0</v>
      </c>
      <c r="I578" t="n">
        <v>0</v>
      </c>
      <c r="J578" t="n">
        <v>0</v>
      </c>
      <c r="K578" t="n">
        <v>0</v>
      </c>
      <c r="L578" t="n">
        <v>0</v>
      </c>
      <c r="M578" t="n">
        <v>0</v>
      </c>
      <c r="N578" t="n">
        <v>0</v>
      </c>
      <c r="O578" t="n">
        <v>0</v>
      </c>
      <c r="P578" t="n">
        <v>0</v>
      </c>
      <c r="Q578" t="n">
        <v>0</v>
      </c>
      <c r="R578" s="2" t="inlineStr"/>
    </row>
    <row r="579" ht="15" customHeight="1">
      <c r="A579" t="inlineStr">
        <is>
          <t>A 32561-2021</t>
        </is>
      </c>
      <c r="B579" s="1" t="n">
        <v>44375</v>
      </c>
      <c r="C579" s="1" t="n">
        <v>45758</v>
      </c>
      <c r="D579" t="inlineStr">
        <is>
          <t>STOCKHOLMS LÄN</t>
        </is>
      </c>
      <c r="E579" t="inlineStr">
        <is>
          <t>NORRTÄLJE</t>
        </is>
      </c>
      <c r="G579" t="n">
        <v>3.4</v>
      </c>
      <c r="H579" t="n">
        <v>0</v>
      </c>
      <c r="I579" t="n">
        <v>0</v>
      </c>
      <c r="J579" t="n">
        <v>0</v>
      </c>
      <c r="K579" t="n">
        <v>0</v>
      </c>
      <c r="L579" t="n">
        <v>0</v>
      </c>
      <c r="M579" t="n">
        <v>0</v>
      </c>
      <c r="N579" t="n">
        <v>0</v>
      </c>
      <c r="O579" t="n">
        <v>0</v>
      </c>
      <c r="P579" t="n">
        <v>0</v>
      </c>
      <c r="Q579" t="n">
        <v>0</v>
      </c>
      <c r="R579" s="2" t="inlineStr"/>
    </row>
    <row r="580" ht="15" customHeight="1">
      <c r="A580" t="inlineStr">
        <is>
          <t>A 32857-2021</t>
        </is>
      </c>
      <c r="B580" s="1" t="n">
        <v>44375</v>
      </c>
      <c r="C580" s="1" t="n">
        <v>45758</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33053-2021</t>
        </is>
      </c>
      <c r="B581" s="1" t="n">
        <v>44376</v>
      </c>
      <c r="C581" s="1" t="n">
        <v>45758</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33046-2021</t>
        </is>
      </c>
      <c r="B582" s="1" t="n">
        <v>44376</v>
      </c>
      <c r="C582" s="1" t="n">
        <v>45758</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33040-2021</t>
        </is>
      </c>
      <c r="B583" s="1" t="n">
        <v>44376</v>
      </c>
      <c r="C583" s="1" t="n">
        <v>45758</v>
      </c>
      <c r="D583" t="inlineStr">
        <is>
          <t>STOCKHOLMS LÄN</t>
        </is>
      </c>
      <c r="E583" t="inlineStr">
        <is>
          <t>NORRTÄLJE</t>
        </is>
      </c>
      <c r="G583" t="n">
        <v>2.7</v>
      </c>
      <c r="H583" t="n">
        <v>0</v>
      </c>
      <c r="I583" t="n">
        <v>0</v>
      </c>
      <c r="J583" t="n">
        <v>0</v>
      </c>
      <c r="K583" t="n">
        <v>0</v>
      </c>
      <c r="L583" t="n">
        <v>0</v>
      </c>
      <c r="M583" t="n">
        <v>0</v>
      </c>
      <c r="N583" t="n">
        <v>0</v>
      </c>
      <c r="O583" t="n">
        <v>0</v>
      </c>
      <c r="P583" t="n">
        <v>0</v>
      </c>
      <c r="Q583" t="n">
        <v>0</v>
      </c>
      <c r="R583" s="2" t="inlineStr"/>
    </row>
    <row r="584" ht="15" customHeight="1">
      <c r="A584" t="inlineStr">
        <is>
          <t>A 34520-2021</t>
        </is>
      </c>
      <c r="B584" s="1" t="n">
        <v>44379</v>
      </c>
      <c r="C584" s="1" t="n">
        <v>45758</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34432-2021</t>
        </is>
      </c>
      <c r="B585" s="1" t="n">
        <v>44380</v>
      </c>
      <c r="C585" s="1" t="n">
        <v>45758</v>
      </c>
      <c r="D585" t="inlineStr">
        <is>
          <t>STOCKHOLMS LÄN</t>
        </is>
      </c>
      <c r="E585" t="inlineStr">
        <is>
          <t>NORRTÄLJE</t>
        </is>
      </c>
      <c r="G585" t="n">
        <v>1.1</v>
      </c>
      <c r="H585" t="n">
        <v>0</v>
      </c>
      <c r="I585" t="n">
        <v>0</v>
      </c>
      <c r="J585" t="n">
        <v>0</v>
      </c>
      <c r="K585" t="n">
        <v>0</v>
      </c>
      <c r="L585" t="n">
        <v>0</v>
      </c>
      <c r="M585" t="n">
        <v>0</v>
      </c>
      <c r="N585" t="n">
        <v>0</v>
      </c>
      <c r="O585" t="n">
        <v>0</v>
      </c>
      <c r="P585" t="n">
        <v>0</v>
      </c>
      <c r="Q585" t="n">
        <v>0</v>
      </c>
      <c r="R585" s="2" t="inlineStr"/>
    </row>
    <row r="586" ht="15" customHeight="1">
      <c r="A586" t="inlineStr">
        <is>
          <t>A 34431-2021</t>
        </is>
      </c>
      <c r="B586" s="1" t="n">
        <v>44380</v>
      </c>
      <c r="C586" s="1" t="n">
        <v>45758</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34436-2021</t>
        </is>
      </c>
      <c r="B587" s="1" t="n">
        <v>44380</v>
      </c>
      <c r="C587" s="1" t="n">
        <v>45758</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34731-2021</t>
        </is>
      </c>
      <c r="B588" s="1" t="n">
        <v>44382</v>
      </c>
      <c r="C588" s="1" t="n">
        <v>45758</v>
      </c>
      <c r="D588" t="inlineStr">
        <is>
          <t>STOCKHOLMS LÄN</t>
        </is>
      </c>
      <c r="E588" t="inlineStr">
        <is>
          <t>NORRTÄLJE</t>
        </is>
      </c>
      <c r="G588" t="n">
        <v>0.2</v>
      </c>
      <c r="H588" t="n">
        <v>0</v>
      </c>
      <c r="I588" t="n">
        <v>0</v>
      </c>
      <c r="J588" t="n">
        <v>0</v>
      </c>
      <c r="K588" t="n">
        <v>0</v>
      </c>
      <c r="L588" t="n">
        <v>0</v>
      </c>
      <c r="M588" t="n">
        <v>0</v>
      </c>
      <c r="N588" t="n">
        <v>0</v>
      </c>
      <c r="O588" t="n">
        <v>0</v>
      </c>
      <c r="P588" t="n">
        <v>0</v>
      </c>
      <c r="Q588" t="n">
        <v>0</v>
      </c>
      <c r="R588" s="2" t="inlineStr"/>
    </row>
    <row r="589" ht="15" customHeight="1">
      <c r="A589" t="inlineStr">
        <is>
          <t>A 34792-2021</t>
        </is>
      </c>
      <c r="B589" s="1" t="n">
        <v>44383</v>
      </c>
      <c r="C589" s="1" t="n">
        <v>45758</v>
      </c>
      <c r="D589" t="inlineStr">
        <is>
          <t>STOCKHOLMS LÄN</t>
        </is>
      </c>
      <c r="E589" t="inlineStr">
        <is>
          <t>NORRTÄLJE</t>
        </is>
      </c>
      <c r="G589" t="n">
        <v>4.4</v>
      </c>
      <c r="H589" t="n">
        <v>0</v>
      </c>
      <c r="I589" t="n">
        <v>0</v>
      </c>
      <c r="J589" t="n">
        <v>0</v>
      </c>
      <c r="K589" t="n">
        <v>0</v>
      </c>
      <c r="L589" t="n">
        <v>0</v>
      </c>
      <c r="M589" t="n">
        <v>0</v>
      </c>
      <c r="N589" t="n">
        <v>0</v>
      </c>
      <c r="O589" t="n">
        <v>0</v>
      </c>
      <c r="P589" t="n">
        <v>0</v>
      </c>
      <c r="Q589" t="n">
        <v>0</v>
      </c>
      <c r="R589" s="2" t="inlineStr"/>
    </row>
    <row r="590" ht="15" customHeight="1">
      <c r="A590" t="inlineStr">
        <is>
          <t>A 36246-2021</t>
        </is>
      </c>
      <c r="B590" s="1" t="n">
        <v>44390</v>
      </c>
      <c r="C590" s="1" t="n">
        <v>45758</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36565-2021</t>
        </is>
      </c>
      <c r="B591" s="1" t="n">
        <v>44391</v>
      </c>
      <c r="C591" s="1" t="n">
        <v>45758</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37085-2021</t>
        </is>
      </c>
      <c r="B592" s="1" t="n">
        <v>44395</v>
      </c>
      <c r="C592" s="1" t="n">
        <v>45758</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37344-2021</t>
        </is>
      </c>
      <c r="B593" s="1" t="n">
        <v>44397</v>
      </c>
      <c r="C593" s="1" t="n">
        <v>45758</v>
      </c>
      <c r="D593" t="inlineStr">
        <is>
          <t>STOCKHOLMS LÄN</t>
        </is>
      </c>
      <c r="E593" t="inlineStr">
        <is>
          <t>NORRTÄLJE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37415-2021</t>
        </is>
      </c>
      <c r="B594" s="1" t="n">
        <v>44397</v>
      </c>
      <c r="C594" s="1" t="n">
        <v>45758</v>
      </c>
      <c r="D594" t="inlineStr">
        <is>
          <t>STOCKHOLMS LÄN</t>
        </is>
      </c>
      <c r="E594" t="inlineStr">
        <is>
          <t>NORRTÄLJE</t>
        </is>
      </c>
      <c r="F594" t="inlineStr">
        <is>
          <t>Övriga Aktiebolag</t>
        </is>
      </c>
      <c r="G594" t="n">
        <v>3</v>
      </c>
      <c r="H594" t="n">
        <v>0</v>
      </c>
      <c r="I594" t="n">
        <v>0</v>
      </c>
      <c r="J594" t="n">
        <v>0</v>
      </c>
      <c r="K594" t="n">
        <v>0</v>
      </c>
      <c r="L594" t="n">
        <v>0</v>
      </c>
      <c r="M594" t="n">
        <v>0</v>
      </c>
      <c r="N594" t="n">
        <v>0</v>
      </c>
      <c r="O594" t="n">
        <v>0</v>
      </c>
      <c r="P594" t="n">
        <v>0</v>
      </c>
      <c r="Q594" t="n">
        <v>0</v>
      </c>
      <c r="R594" s="2" t="inlineStr"/>
    </row>
    <row r="595" ht="15" customHeight="1">
      <c r="A595" t="inlineStr">
        <is>
          <t>A 37444-2021</t>
        </is>
      </c>
      <c r="B595" s="1" t="n">
        <v>44398</v>
      </c>
      <c r="C595" s="1" t="n">
        <v>45758</v>
      </c>
      <c r="D595" t="inlineStr">
        <is>
          <t>STOCKHOLMS LÄN</t>
        </is>
      </c>
      <c r="E595" t="inlineStr">
        <is>
          <t>NORRTÄLJE</t>
        </is>
      </c>
      <c r="F595" t="inlineStr">
        <is>
          <t>Holmen skog AB</t>
        </is>
      </c>
      <c r="G595" t="n">
        <v>3.2</v>
      </c>
      <c r="H595" t="n">
        <v>0</v>
      </c>
      <c r="I595" t="n">
        <v>0</v>
      </c>
      <c r="J595" t="n">
        <v>0</v>
      </c>
      <c r="K595" t="n">
        <v>0</v>
      </c>
      <c r="L595" t="n">
        <v>0</v>
      </c>
      <c r="M595" t="n">
        <v>0</v>
      </c>
      <c r="N595" t="n">
        <v>0</v>
      </c>
      <c r="O595" t="n">
        <v>0</v>
      </c>
      <c r="P595" t="n">
        <v>0</v>
      </c>
      <c r="Q595" t="n">
        <v>0</v>
      </c>
      <c r="R595" s="2" t="inlineStr"/>
    </row>
    <row r="596" ht="15" customHeight="1">
      <c r="A596" t="inlineStr">
        <is>
          <t>A 37462-2021</t>
        </is>
      </c>
      <c r="B596" s="1" t="n">
        <v>44398</v>
      </c>
      <c r="C596" s="1" t="n">
        <v>45758</v>
      </c>
      <c r="D596" t="inlineStr">
        <is>
          <t>STOCKHOLMS LÄN</t>
        </is>
      </c>
      <c r="E596" t="inlineStr">
        <is>
          <t>NORRTÄLJE</t>
        </is>
      </c>
      <c r="G596" t="n">
        <v>3.5</v>
      </c>
      <c r="H596" t="n">
        <v>0</v>
      </c>
      <c r="I596" t="n">
        <v>0</v>
      </c>
      <c r="J596" t="n">
        <v>0</v>
      </c>
      <c r="K596" t="n">
        <v>0</v>
      </c>
      <c r="L596" t="n">
        <v>0</v>
      </c>
      <c r="M596" t="n">
        <v>0</v>
      </c>
      <c r="N596" t="n">
        <v>0</v>
      </c>
      <c r="O596" t="n">
        <v>0</v>
      </c>
      <c r="P596" t="n">
        <v>0</v>
      </c>
      <c r="Q596" t="n">
        <v>0</v>
      </c>
      <c r="R596" s="2" t="inlineStr"/>
    </row>
    <row r="597" ht="15" customHeight="1">
      <c r="A597" t="inlineStr">
        <is>
          <t>A 37530-2021</t>
        </is>
      </c>
      <c r="B597" s="1" t="n">
        <v>44399</v>
      </c>
      <c r="C597" s="1" t="n">
        <v>45758</v>
      </c>
      <c r="D597" t="inlineStr">
        <is>
          <t>STOCKHOLMS LÄN</t>
        </is>
      </c>
      <c r="E597" t="inlineStr">
        <is>
          <t>NORRTÄLJE</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37522-2021</t>
        </is>
      </c>
      <c r="B598" s="1" t="n">
        <v>44399</v>
      </c>
      <c r="C598" s="1" t="n">
        <v>45758</v>
      </c>
      <c r="D598" t="inlineStr">
        <is>
          <t>STOCKHOLMS LÄN</t>
        </is>
      </c>
      <c r="E598" t="inlineStr">
        <is>
          <t>NORRTÄLJE</t>
        </is>
      </c>
      <c r="F598" t="inlineStr">
        <is>
          <t>Holmen skog AB</t>
        </is>
      </c>
      <c r="G598" t="n">
        <v>1.5</v>
      </c>
      <c r="H598" t="n">
        <v>0</v>
      </c>
      <c r="I598" t="n">
        <v>0</v>
      </c>
      <c r="J598" t="n">
        <v>0</v>
      </c>
      <c r="K598" t="n">
        <v>0</v>
      </c>
      <c r="L598" t="n">
        <v>0</v>
      </c>
      <c r="M598" t="n">
        <v>0</v>
      </c>
      <c r="N598" t="n">
        <v>0</v>
      </c>
      <c r="O598" t="n">
        <v>0</v>
      </c>
      <c r="P598" t="n">
        <v>0</v>
      </c>
      <c r="Q598" t="n">
        <v>0</v>
      </c>
      <c r="R598" s="2" t="inlineStr"/>
    </row>
    <row r="599" ht="15" customHeight="1">
      <c r="A599" t="inlineStr">
        <is>
          <t>A 37525-2021</t>
        </is>
      </c>
      <c r="B599" s="1" t="n">
        <v>44399</v>
      </c>
      <c r="C599" s="1" t="n">
        <v>45758</v>
      </c>
      <c r="D599" t="inlineStr">
        <is>
          <t>STOCKHOLMS LÄN</t>
        </is>
      </c>
      <c r="E599" t="inlineStr">
        <is>
          <t>NORRTÄLJE</t>
        </is>
      </c>
      <c r="F599" t="inlineStr">
        <is>
          <t>Holmen skog AB</t>
        </is>
      </c>
      <c r="G599" t="n">
        <v>2.5</v>
      </c>
      <c r="H599" t="n">
        <v>0</v>
      </c>
      <c r="I599" t="n">
        <v>0</v>
      </c>
      <c r="J599" t="n">
        <v>0</v>
      </c>
      <c r="K599" t="n">
        <v>0</v>
      </c>
      <c r="L599" t="n">
        <v>0</v>
      </c>
      <c r="M599" t="n">
        <v>0</v>
      </c>
      <c r="N599" t="n">
        <v>0</v>
      </c>
      <c r="O599" t="n">
        <v>0</v>
      </c>
      <c r="P599" t="n">
        <v>0</v>
      </c>
      <c r="Q599" t="n">
        <v>0</v>
      </c>
      <c r="R599" s="2" t="inlineStr"/>
    </row>
    <row r="600" ht="15" customHeight="1">
      <c r="A600" t="inlineStr">
        <is>
          <t>A 37712-2021</t>
        </is>
      </c>
      <c r="B600" s="1" t="n">
        <v>44400</v>
      </c>
      <c r="C600" s="1" t="n">
        <v>45758</v>
      </c>
      <c r="D600" t="inlineStr">
        <is>
          <t>STOCKHOLMS LÄN</t>
        </is>
      </c>
      <c r="E600" t="inlineStr">
        <is>
          <t>NORRTÄLJE</t>
        </is>
      </c>
      <c r="G600" t="n">
        <v>22.9</v>
      </c>
      <c r="H600" t="n">
        <v>0</v>
      </c>
      <c r="I600" t="n">
        <v>0</v>
      </c>
      <c r="J600" t="n">
        <v>0</v>
      </c>
      <c r="K600" t="n">
        <v>0</v>
      </c>
      <c r="L600" t="n">
        <v>0</v>
      </c>
      <c r="M600" t="n">
        <v>0</v>
      </c>
      <c r="N600" t="n">
        <v>0</v>
      </c>
      <c r="O600" t="n">
        <v>0</v>
      </c>
      <c r="P600" t="n">
        <v>0</v>
      </c>
      <c r="Q600" t="n">
        <v>0</v>
      </c>
      <c r="R600" s="2" t="inlineStr"/>
    </row>
    <row r="601" ht="15" customHeight="1">
      <c r="A601" t="inlineStr">
        <is>
          <t>A 37859-2021</t>
        </is>
      </c>
      <c r="B601" s="1" t="n">
        <v>44403</v>
      </c>
      <c r="C601" s="1" t="n">
        <v>45758</v>
      </c>
      <c r="D601" t="inlineStr">
        <is>
          <t>STOCKHOLMS LÄN</t>
        </is>
      </c>
      <c r="E601" t="inlineStr">
        <is>
          <t>NORRTÄLJE</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39157-2021</t>
        </is>
      </c>
      <c r="B602" s="1" t="n">
        <v>44412</v>
      </c>
      <c r="C602" s="1" t="n">
        <v>45758</v>
      </c>
      <c r="D602" t="inlineStr">
        <is>
          <t>STOCKHOLMS LÄN</t>
        </is>
      </c>
      <c r="E602" t="inlineStr">
        <is>
          <t>NORRTÄLJE</t>
        </is>
      </c>
      <c r="G602" t="n">
        <v>3.1</v>
      </c>
      <c r="H602" t="n">
        <v>0</v>
      </c>
      <c r="I602" t="n">
        <v>0</v>
      </c>
      <c r="J602" t="n">
        <v>0</v>
      </c>
      <c r="K602" t="n">
        <v>0</v>
      </c>
      <c r="L602" t="n">
        <v>0</v>
      </c>
      <c r="M602" t="n">
        <v>0</v>
      </c>
      <c r="N602" t="n">
        <v>0</v>
      </c>
      <c r="O602" t="n">
        <v>0</v>
      </c>
      <c r="P602" t="n">
        <v>0</v>
      </c>
      <c r="Q602" t="n">
        <v>0</v>
      </c>
      <c r="R602" s="2" t="inlineStr"/>
    </row>
    <row r="603" ht="15" customHeight="1">
      <c r="A603" t="inlineStr">
        <is>
          <t>A 39496-2021</t>
        </is>
      </c>
      <c r="B603" s="1" t="n">
        <v>44414</v>
      </c>
      <c r="C603" s="1" t="n">
        <v>45758</v>
      </c>
      <c r="D603" t="inlineStr">
        <is>
          <t>STOCKHOLMS LÄN</t>
        </is>
      </c>
      <c r="E603" t="inlineStr">
        <is>
          <t>NORRTÄLJE</t>
        </is>
      </c>
      <c r="G603" t="n">
        <v>4.6</v>
      </c>
      <c r="H603" t="n">
        <v>0</v>
      </c>
      <c r="I603" t="n">
        <v>0</v>
      </c>
      <c r="J603" t="n">
        <v>0</v>
      </c>
      <c r="K603" t="n">
        <v>0</v>
      </c>
      <c r="L603" t="n">
        <v>0</v>
      </c>
      <c r="M603" t="n">
        <v>0</v>
      </c>
      <c r="N603" t="n">
        <v>0</v>
      </c>
      <c r="O603" t="n">
        <v>0</v>
      </c>
      <c r="P603" t="n">
        <v>0</v>
      </c>
      <c r="Q603" t="n">
        <v>0</v>
      </c>
      <c r="R603" s="2" t="inlineStr"/>
    </row>
    <row r="604" ht="15" customHeight="1">
      <c r="A604" t="inlineStr">
        <is>
          <t>A 39497-2021</t>
        </is>
      </c>
      <c r="B604" s="1" t="n">
        <v>44414</v>
      </c>
      <c r="C604" s="1" t="n">
        <v>45758</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40425-2021</t>
        </is>
      </c>
      <c r="B605" s="1" t="n">
        <v>44419</v>
      </c>
      <c r="C605" s="1" t="n">
        <v>45758</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40542-2021</t>
        </is>
      </c>
      <c r="B606" s="1" t="n">
        <v>44420</v>
      </c>
      <c r="C606" s="1" t="n">
        <v>45758</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40546-2021</t>
        </is>
      </c>
      <c r="B607" s="1" t="n">
        <v>44420</v>
      </c>
      <c r="C607" s="1" t="n">
        <v>45758</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41595-2021</t>
        </is>
      </c>
      <c r="B608" s="1" t="n">
        <v>44425</v>
      </c>
      <c r="C608" s="1" t="n">
        <v>45758</v>
      </c>
      <c r="D608" t="inlineStr">
        <is>
          <t>STOCKHOLMS LÄN</t>
        </is>
      </c>
      <c r="E608" t="inlineStr">
        <is>
          <t>NORRTÄLJE</t>
        </is>
      </c>
      <c r="G608" t="n">
        <v>3.2</v>
      </c>
      <c r="H608" t="n">
        <v>0</v>
      </c>
      <c r="I608" t="n">
        <v>0</v>
      </c>
      <c r="J608" t="n">
        <v>0</v>
      </c>
      <c r="K608" t="n">
        <v>0</v>
      </c>
      <c r="L608" t="n">
        <v>0</v>
      </c>
      <c r="M608" t="n">
        <v>0</v>
      </c>
      <c r="N608" t="n">
        <v>0</v>
      </c>
      <c r="O608" t="n">
        <v>0</v>
      </c>
      <c r="P608" t="n">
        <v>0</v>
      </c>
      <c r="Q608" t="n">
        <v>0</v>
      </c>
      <c r="R608" s="2" t="inlineStr"/>
    </row>
    <row r="609" ht="15" customHeight="1">
      <c r="A609" t="inlineStr">
        <is>
          <t>A 41823-2021</t>
        </is>
      </c>
      <c r="B609" s="1" t="n">
        <v>44425</v>
      </c>
      <c r="C609" s="1" t="n">
        <v>45758</v>
      </c>
      <c r="D609" t="inlineStr">
        <is>
          <t>STOCKHOLMS LÄN</t>
        </is>
      </c>
      <c r="E609" t="inlineStr">
        <is>
          <t>NORRTÄLJE</t>
        </is>
      </c>
      <c r="G609" t="n">
        <v>2.4</v>
      </c>
      <c r="H609" t="n">
        <v>0</v>
      </c>
      <c r="I609" t="n">
        <v>0</v>
      </c>
      <c r="J609" t="n">
        <v>0</v>
      </c>
      <c r="K609" t="n">
        <v>0</v>
      </c>
      <c r="L609" t="n">
        <v>0</v>
      </c>
      <c r="M609" t="n">
        <v>0</v>
      </c>
      <c r="N609" t="n">
        <v>0</v>
      </c>
      <c r="O609" t="n">
        <v>0</v>
      </c>
      <c r="P609" t="n">
        <v>0</v>
      </c>
      <c r="Q609" t="n">
        <v>0</v>
      </c>
      <c r="R609" s="2" t="inlineStr"/>
    </row>
    <row r="610" ht="15" customHeight="1">
      <c r="A610" t="inlineStr">
        <is>
          <t>A 41822-2021</t>
        </is>
      </c>
      <c r="B610" s="1" t="n">
        <v>44425</v>
      </c>
      <c r="C610" s="1" t="n">
        <v>45758</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42396-2021</t>
        </is>
      </c>
      <c r="B611" s="1" t="n">
        <v>44427</v>
      </c>
      <c r="C611" s="1" t="n">
        <v>45758</v>
      </c>
      <c r="D611" t="inlineStr">
        <is>
          <t>STOCKHOLMS LÄN</t>
        </is>
      </c>
      <c r="E611" t="inlineStr">
        <is>
          <t>NORRTÄLJE</t>
        </is>
      </c>
      <c r="G611" t="n">
        <v>2</v>
      </c>
      <c r="H611" t="n">
        <v>0</v>
      </c>
      <c r="I611" t="n">
        <v>0</v>
      </c>
      <c r="J611" t="n">
        <v>0</v>
      </c>
      <c r="K611" t="n">
        <v>0</v>
      </c>
      <c r="L611" t="n">
        <v>0</v>
      </c>
      <c r="M611" t="n">
        <v>0</v>
      </c>
      <c r="N611" t="n">
        <v>0</v>
      </c>
      <c r="O611" t="n">
        <v>0</v>
      </c>
      <c r="P611" t="n">
        <v>0</v>
      </c>
      <c r="Q611" t="n">
        <v>0</v>
      </c>
      <c r="R611" s="2" t="inlineStr"/>
    </row>
    <row r="612" ht="15" customHeight="1">
      <c r="A612" t="inlineStr">
        <is>
          <t>A 43478-2021</t>
        </is>
      </c>
      <c r="B612" s="1" t="n">
        <v>44432</v>
      </c>
      <c r="C612" s="1" t="n">
        <v>45758</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44274-2021</t>
        </is>
      </c>
      <c r="B613" s="1" t="n">
        <v>44435</v>
      </c>
      <c r="C613" s="1" t="n">
        <v>45758</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47344-2021</t>
        </is>
      </c>
      <c r="B614" s="1" t="n">
        <v>44447</v>
      </c>
      <c r="C614" s="1" t="n">
        <v>45758</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47349-2021</t>
        </is>
      </c>
      <c r="B615" s="1" t="n">
        <v>44447</v>
      </c>
      <c r="C615" s="1" t="n">
        <v>45758</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47691-2021</t>
        </is>
      </c>
      <c r="B616" s="1" t="n">
        <v>44448</v>
      </c>
      <c r="C616" s="1" t="n">
        <v>45758</v>
      </c>
      <c r="D616" t="inlineStr">
        <is>
          <t>STOCKHOLMS LÄN</t>
        </is>
      </c>
      <c r="E616" t="inlineStr">
        <is>
          <t>NORRTÄLJE</t>
        </is>
      </c>
      <c r="G616" t="n">
        <v>2.8</v>
      </c>
      <c r="H616" t="n">
        <v>0</v>
      </c>
      <c r="I616" t="n">
        <v>0</v>
      </c>
      <c r="J616" t="n">
        <v>0</v>
      </c>
      <c r="K616" t="n">
        <v>0</v>
      </c>
      <c r="L616" t="n">
        <v>0</v>
      </c>
      <c r="M616" t="n">
        <v>0</v>
      </c>
      <c r="N616" t="n">
        <v>0</v>
      </c>
      <c r="O616" t="n">
        <v>0</v>
      </c>
      <c r="P616" t="n">
        <v>0</v>
      </c>
      <c r="Q616" t="n">
        <v>0</v>
      </c>
      <c r="R616" s="2" t="inlineStr"/>
    </row>
    <row r="617" ht="15" customHeight="1">
      <c r="A617" t="inlineStr">
        <is>
          <t>A 48384-2021</t>
        </is>
      </c>
      <c r="B617" s="1" t="n">
        <v>44451</v>
      </c>
      <c r="C617" s="1" t="n">
        <v>45758</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48798-2021</t>
        </is>
      </c>
      <c r="B618" s="1" t="n">
        <v>44452</v>
      </c>
      <c r="C618" s="1" t="n">
        <v>45758</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48932-2021</t>
        </is>
      </c>
      <c r="B619" s="1" t="n">
        <v>44453</v>
      </c>
      <c r="C619" s="1" t="n">
        <v>45758</v>
      </c>
      <c r="D619" t="inlineStr">
        <is>
          <t>STOCKHOLMS LÄN</t>
        </is>
      </c>
      <c r="E619" t="inlineStr">
        <is>
          <t>NORRTÄLJE</t>
        </is>
      </c>
      <c r="G619" t="n">
        <v>11.2</v>
      </c>
      <c r="H619" t="n">
        <v>0</v>
      </c>
      <c r="I619" t="n">
        <v>0</v>
      </c>
      <c r="J619" t="n">
        <v>0</v>
      </c>
      <c r="K619" t="n">
        <v>0</v>
      </c>
      <c r="L619" t="n">
        <v>0</v>
      </c>
      <c r="M619" t="n">
        <v>0</v>
      </c>
      <c r="N619" t="n">
        <v>0</v>
      </c>
      <c r="O619" t="n">
        <v>0</v>
      </c>
      <c r="P619" t="n">
        <v>0</v>
      </c>
      <c r="Q619" t="n">
        <v>0</v>
      </c>
      <c r="R619" s="2" t="inlineStr"/>
    </row>
    <row r="620" ht="15" customHeight="1">
      <c r="A620" t="inlineStr">
        <is>
          <t>A 49113-2021</t>
        </is>
      </c>
      <c r="B620" s="1" t="n">
        <v>44453</v>
      </c>
      <c r="C620" s="1" t="n">
        <v>45758</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50038-2021</t>
        </is>
      </c>
      <c r="B621" s="1" t="n">
        <v>44456</v>
      </c>
      <c r="C621" s="1" t="n">
        <v>45758</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50108-2021</t>
        </is>
      </c>
      <c r="B622" s="1" t="n">
        <v>44456</v>
      </c>
      <c r="C622" s="1" t="n">
        <v>45758</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50252-2021</t>
        </is>
      </c>
      <c r="B623" s="1" t="n">
        <v>44458</v>
      </c>
      <c r="C623" s="1" t="n">
        <v>45758</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50602-2021</t>
        </is>
      </c>
      <c r="B624" s="1" t="n">
        <v>44459</v>
      </c>
      <c r="C624" s="1" t="n">
        <v>45758</v>
      </c>
      <c r="D624" t="inlineStr">
        <is>
          <t>STOCKHOLMS LÄN</t>
        </is>
      </c>
      <c r="E624" t="inlineStr">
        <is>
          <t>NORRTÄLJE</t>
        </is>
      </c>
      <c r="F624" t="inlineStr">
        <is>
          <t>Holmen skog AB</t>
        </is>
      </c>
      <c r="G624" t="n">
        <v>2</v>
      </c>
      <c r="H624" t="n">
        <v>0</v>
      </c>
      <c r="I624" t="n">
        <v>0</v>
      </c>
      <c r="J624" t="n">
        <v>0</v>
      </c>
      <c r="K624" t="n">
        <v>0</v>
      </c>
      <c r="L624" t="n">
        <v>0</v>
      </c>
      <c r="M624" t="n">
        <v>0</v>
      </c>
      <c r="N624" t="n">
        <v>0</v>
      </c>
      <c r="O624" t="n">
        <v>0</v>
      </c>
      <c r="P624" t="n">
        <v>0</v>
      </c>
      <c r="Q624" t="n">
        <v>0</v>
      </c>
      <c r="R624" s="2" t="inlineStr"/>
    </row>
    <row r="625" ht="15" customHeight="1">
      <c r="A625" t="inlineStr">
        <is>
          <t>A 51279-2021</t>
        </is>
      </c>
      <c r="B625" s="1" t="n">
        <v>44461</v>
      </c>
      <c r="C625" s="1" t="n">
        <v>45758</v>
      </c>
      <c r="D625" t="inlineStr">
        <is>
          <t>STOCKHOLMS LÄN</t>
        </is>
      </c>
      <c r="E625" t="inlineStr">
        <is>
          <t>NORRTÄLJE</t>
        </is>
      </c>
      <c r="F625" t="inlineStr">
        <is>
          <t>Holmen skog AB</t>
        </is>
      </c>
      <c r="G625" t="n">
        <v>2.1</v>
      </c>
      <c r="H625" t="n">
        <v>0</v>
      </c>
      <c r="I625" t="n">
        <v>0</v>
      </c>
      <c r="J625" t="n">
        <v>0</v>
      </c>
      <c r="K625" t="n">
        <v>0</v>
      </c>
      <c r="L625" t="n">
        <v>0</v>
      </c>
      <c r="M625" t="n">
        <v>0</v>
      </c>
      <c r="N625" t="n">
        <v>0</v>
      </c>
      <c r="O625" t="n">
        <v>0</v>
      </c>
      <c r="P625" t="n">
        <v>0</v>
      </c>
      <c r="Q625" t="n">
        <v>0</v>
      </c>
      <c r="R625" s="2" t="inlineStr"/>
    </row>
    <row r="626" ht="15" customHeight="1">
      <c r="A626" t="inlineStr">
        <is>
          <t>A 51315-2021</t>
        </is>
      </c>
      <c r="B626" s="1" t="n">
        <v>44461</v>
      </c>
      <c r="C626" s="1" t="n">
        <v>45758</v>
      </c>
      <c r="D626" t="inlineStr">
        <is>
          <t>STOCKHOLMS LÄN</t>
        </is>
      </c>
      <c r="E626" t="inlineStr">
        <is>
          <t>NORRTÄLJE</t>
        </is>
      </c>
      <c r="F626" t="inlineStr">
        <is>
          <t>Holmen skog AB</t>
        </is>
      </c>
      <c r="G626" t="n">
        <v>2.2</v>
      </c>
      <c r="H626" t="n">
        <v>0</v>
      </c>
      <c r="I626" t="n">
        <v>0</v>
      </c>
      <c r="J626" t="n">
        <v>0</v>
      </c>
      <c r="K626" t="n">
        <v>0</v>
      </c>
      <c r="L626" t="n">
        <v>0</v>
      </c>
      <c r="M626" t="n">
        <v>0</v>
      </c>
      <c r="N626" t="n">
        <v>0</v>
      </c>
      <c r="O626" t="n">
        <v>0</v>
      </c>
      <c r="P626" t="n">
        <v>0</v>
      </c>
      <c r="Q626" t="n">
        <v>0</v>
      </c>
      <c r="R626" s="2" t="inlineStr"/>
    </row>
    <row r="627" ht="15" customHeight="1">
      <c r="A627" t="inlineStr">
        <is>
          <t>A 52090-2021</t>
        </is>
      </c>
      <c r="B627" s="1" t="n">
        <v>44463</v>
      </c>
      <c r="C627" s="1" t="n">
        <v>45758</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52449-2021</t>
        </is>
      </c>
      <c r="B628" s="1" t="n">
        <v>44466</v>
      </c>
      <c r="C628" s="1" t="n">
        <v>45758</v>
      </c>
      <c r="D628" t="inlineStr">
        <is>
          <t>STOCKHOLMS LÄN</t>
        </is>
      </c>
      <c r="E628" t="inlineStr">
        <is>
          <t>NORRTÄLJE</t>
        </is>
      </c>
      <c r="F628" t="inlineStr">
        <is>
          <t>Holmen skog AB</t>
        </is>
      </c>
      <c r="G628" t="n">
        <v>1.8</v>
      </c>
      <c r="H628" t="n">
        <v>0</v>
      </c>
      <c r="I628" t="n">
        <v>0</v>
      </c>
      <c r="J628" t="n">
        <v>0</v>
      </c>
      <c r="K628" t="n">
        <v>0</v>
      </c>
      <c r="L628" t="n">
        <v>0</v>
      </c>
      <c r="M628" t="n">
        <v>0</v>
      </c>
      <c r="N628" t="n">
        <v>0</v>
      </c>
      <c r="O628" t="n">
        <v>0</v>
      </c>
      <c r="P628" t="n">
        <v>0</v>
      </c>
      <c r="Q628" t="n">
        <v>0</v>
      </c>
      <c r="R628" s="2" t="inlineStr"/>
    </row>
    <row r="629" ht="15" customHeight="1">
      <c r="A629" t="inlineStr">
        <is>
          <t>A 54276-2021</t>
        </is>
      </c>
      <c r="B629" s="1" t="n">
        <v>44470</v>
      </c>
      <c r="C629" s="1" t="n">
        <v>45758</v>
      </c>
      <c r="D629" t="inlineStr">
        <is>
          <t>STOCKHOLMS LÄN</t>
        </is>
      </c>
      <c r="E629" t="inlineStr">
        <is>
          <t>NORRTÄLJE</t>
        </is>
      </c>
      <c r="G629" t="n">
        <v>7.3</v>
      </c>
      <c r="H629" t="n">
        <v>0</v>
      </c>
      <c r="I629" t="n">
        <v>0</v>
      </c>
      <c r="J629" t="n">
        <v>0</v>
      </c>
      <c r="K629" t="n">
        <v>0</v>
      </c>
      <c r="L629" t="n">
        <v>0</v>
      </c>
      <c r="M629" t="n">
        <v>0</v>
      </c>
      <c r="N629" t="n">
        <v>0</v>
      </c>
      <c r="O629" t="n">
        <v>0</v>
      </c>
      <c r="P629" t="n">
        <v>0</v>
      </c>
      <c r="Q629" t="n">
        <v>0</v>
      </c>
      <c r="R629" s="2" t="inlineStr"/>
    </row>
    <row r="630" ht="15" customHeight="1">
      <c r="A630" t="inlineStr">
        <is>
          <t>A 54273-2021</t>
        </is>
      </c>
      <c r="B630" s="1" t="n">
        <v>44470</v>
      </c>
      <c r="C630" s="1" t="n">
        <v>45758</v>
      </c>
      <c r="D630" t="inlineStr">
        <is>
          <t>STOCKHOLMS LÄN</t>
        </is>
      </c>
      <c r="E630" t="inlineStr">
        <is>
          <t>NORRTÄLJE</t>
        </is>
      </c>
      <c r="G630" t="n">
        <v>2.7</v>
      </c>
      <c r="H630" t="n">
        <v>0</v>
      </c>
      <c r="I630" t="n">
        <v>0</v>
      </c>
      <c r="J630" t="n">
        <v>0</v>
      </c>
      <c r="K630" t="n">
        <v>0</v>
      </c>
      <c r="L630" t="n">
        <v>0</v>
      </c>
      <c r="M630" t="n">
        <v>0</v>
      </c>
      <c r="N630" t="n">
        <v>0</v>
      </c>
      <c r="O630" t="n">
        <v>0</v>
      </c>
      <c r="P630" t="n">
        <v>0</v>
      </c>
      <c r="Q630" t="n">
        <v>0</v>
      </c>
      <c r="R630" s="2" t="inlineStr"/>
    </row>
    <row r="631" ht="15" customHeight="1">
      <c r="A631" t="inlineStr">
        <is>
          <t>A 54272-2021</t>
        </is>
      </c>
      <c r="B631" s="1" t="n">
        <v>44470</v>
      </c>
      <c r="C631" s="1" t="n">
        <v>45758</v>
      </c>
      <c r="D631" t="inlineStr">
        <is>
          <t>STOCKHOLMS LÄN</t>
        </is>
      </c>
      <c r="E631" t="inlineStr">
        <is>
          <t>NORRTÄLJE</t>
        </is>
      </c>
      <c r="G631" t="n">
        <v>5.8</v>
      </c>
      <c r="H631" t="n">
        <v>0</v>
      </c>
      <c r="I631" t="n">
        <v>0</v>
      </c>
      <c r="J631" t="n">
        <v>0</v>
      </c>
      <c r="K631" t="n">
        <v>0</v>
      </c>
      <c r="L631" t="n">
        <v>0</v>
      </c>
      <c r="M631" t="n">
        <v>0</v>
      </c>
      <c r="N631" t="n">
        <v>0</v>
      </c>
      <c r="O631" t="n">
        <v>0</v>
      </c>
      <c r="P631" t="n">
        <v>0</v>
      </c>
      <c r="Q631" t="n">
        <v>0</v>
      </c>
      <c r="R631" s="2" t="inlineStr"/>
    </row>
    <row r="632" ht="15" customHeight="1">
      <c r="A632" t="inlineStr">
        <is>
          <t>A 54396-2021</t>
        </is>
      </c>
      <c r="B632" s="1" t="n">
        <v>44472</v>
      </c>
      <c r="C632" s="1" t="n">
        <v>45758</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55058-2021</t>
        </is>
      </c>
      <c r="B633" s="1" t="n">
        <v>44474</v>
      </c>
      <c r="C633" s="1" t="n">
        <v>45758</v>
      </c>
      <c r="D633" t="inlineStr">
        <is>
          <t>STOCKHOLMS LÄN</t>
        </is>
      </c>
      <c r="E633" t="inlineStr">
        <is>
          <t>NORRTÄLJE</t>
        </is>
      </c>
      <c r="G633" t="n">
        <v>1.9</v>
      </c>
      <c r="H633" t="n">
        <v>0</v>
      </c>
      <c r="I633" t="n">
        <v>0</v>
      </c>
      <c r="J633" t="n">
        <v>0</v>
      </c>
      <c r="K633" t="n">
        <v>0</v>
      </c>
      <c r="L633" t="n">
        <v>0</v>
      </c>
      <c r="M633" t="n">
        <v>0</v>
      </c>
      <c r="N633" t="n">
        <v>0</v>
      </c>
      <c r="O633" t="n">
        <v>0</v>
      </c>
      <c r="P633" t="n">
        <v>0</v>
      </c>
      <c r="Q633" t="n">
        <v>0</v>
      </c>
      <c r="R633" s="2" t="inlineStr"/>
    </row>
    <row r="634" ht="15" customHeight="1">
      <c r="A634" t="inlineStr">
        <is>
          <t>A 56219-2021</t>
        </is>
      </c>
      <c r="B634" s="1" t="n">
        <v>44477</v>
      </c>
      <c r="C634" s="1" t="n">
        <v>45758</v>
      </c>
      <c r="D634" t="inlineStr">
        <is>
          <t>STOCKHOLMS LÄN</t>
        </is>
      </c>
      <c r="E634" t="inlineStr">
        <is>
          <t>NORRTÄLJE</t>
        </is>
      </c>
      <c r="F634" t="inlineStr">
        <is>
          <t>Kommuner</t>
        </is>
      </c>
      <c r="G634" t="n">
        <v>2.3</v>
      </c>
      <c r="H634" t="n">
        <v>0</v>
      </c>
      <c r="I634" t="n">
        <v>0</v>
      </c>
      <c r="J634" t="n">
        <v>0</v>
      </c>
      <c r="K634" t="n">
        <v>0</v>
      </c>
      <c r="L634" t="n">
        <v>0</v>
      </c>
      <c r="M634" t="n">
        <v>0</v>
      </c>
      <c r="N634" t="n">
        <v>0</v>
      </c>
      <c r="O634" t="n">
        <v>0</v>
      </c>
      <c r="P634" t="n">
        <v>0</v>
      </c>
      <c r="Q634" t="n">
        <v>0</v>
      </c>
      <c r="R634" s="2" t="inlineStr"/>
    </row>
    <row r="635" ht="15" customHeight="1">
      <c r="A635" t="inlineStr">
        <is>
          <t>A 56225-2021</t>
        </is>
      </c>
      <c r="B635" s="1" t="n">
        <v>44478</v>
      </c>
      <c r="C635" s="1" t="n">
        <v>45758</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56878-2021</t>
        </is>
      </c>
      <c r="B636" s="1" t="n">
        <v>44481</v>
      </c>
      <c r="C636" s="1" t="n">
        <v>45758</v>
      </c>
      <c r="D636" t="inlineStr">
        <is>
          <t>STOCKHOLMS LÄN</t>
        </is>
      </c>
      <c r="E636" t="inlineStr">
        <is>
          <t>NORRTÄLJE</t>
        </is>
      </c>
      <c r="G636" t="n">
        <v>4.5</v>
      </c>
      <c r="H636" t="n">
        <v>0</v>
      </c>
      <c r="I636" t="n">
        <v>0</v>
      </c>
      <c r="J636" t="n">
        <v>0</v>
      </c>
      <c r="K636" t="n">
        <v>0</v>
      </c>
      <c r="L636" t="n">
        <v>0</v>
      </c>
      <c r="M636" t="n">
        <v>0</v>
      </c>
      <c r="N636" t="n">
        <v>0</v>
      </c>
      <c r="O636" t="n">
        <v>0</v>
      </c>
      <c r="P636" t="n">
        <v>0</v>
      </c>
      <c r="Q636" t="n">
        <v>0</v>
      </c>
      <c r="R636" s="2" t="inlineStr"/>
    </row>
    <row r="637" ht="15" customHeight="1">
      <c r="A637" t="inlineStr">
        <is>
          <t>A 57442-2021</t>
        </is>
      </c>
      <c r="B637" s="1" t="n">
        <v>44483</v>
      </c>
      <c r="C637" s="1" t="n">
        <v>45758</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57507-2021</t>
        </is>
      </c>
      <c r="B638" s="1" t="n">
        <v>44483</v>
      </c>
      <c r="C638" s="1" t="n">
        <v>45758</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58989-2021</t>
        </is>
      </c>
      <c r="B639" s="1" t="n">
        <v>44490</v>
      </c>
      <c r="C639" s="1" t="n">
        <v>45758</v>
      </c>
      <c r="D639" t="inlineStr">
        <is>
          <t>STOCKHOLMS LÄN</t>
        </is>
      </c>
      <c r="E639" t="inlineStr">
        <is>
          <t>NORRTÄLJE</t>
        </is>
      </c>
      <c r="G639" t="n">
        <v>0.3</v>
      </c>
      <c r="H639" t="n">
        <v>0</v>
      </c>
      <c r="I639" t="n">
        <v>0</v>
      </c>
      <c r="J639" t="n">
        <v>0</v>
      </c>
      <c r="K639" t="n">
        <v>0</v>
      </c>
      <c r="L639" t="n">
        <v>0</v>
      </c>
      <c r="M639" t="n">
        <v>0</v>
      </c>
      <c r="N639" t="n">
        <v>0</v>
      </c>
      <c r="O639" t="n">
        <v>0</v>
      </c>
      <c r="P639" t="n">
        <v>0</v>
      </c>
      <c r="Q639" t="n">
        <v>0</v>
      </c>
      <c r="R639" s="2" t="inlineStr"/>
    </row>
    <row r="640" ht="15" customHeight="1">
      <c r="A640" t="inlineStr">
        <is>
          <t>A 58990-2021</t>
        </is>
      </c>
      <c r="B640" s="1" t="n">
        <v>44490</v>
      </c>
      <c r="C640" s="1" t="n">
        <v>45758</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60217-2021</t>
        </is>
      </c>
      <c r="B641" s="1" t="n">
        <v>44495</v>
      </c>
      <c r="C641" s="1" t="n">
        <v>45758</v>
      </c>
      <c r="D641" t="inlineStr">
        <is>
          <t>STOCKHOLMS LÄN</t>
        </is>
      </c>
      <c r="E641" t="inlineStr">
        <is>
          <t>NORRTÄLJE</t>
        </is>
      </c>
      <c r="G641" t="n">
        <v>4.3</v>
      </c>
      <c r="H641" t="n">
        <v>0</v>
      </c>
      <c r="I641" t="n">
        <v>0</v>
      </c>
      <c r="J641" t="n">
        <v>0</v>
      </c>
      <c r="K641" t="n">
        <v>0</v>
      </c>
      <c r="L641" t="n">
        <v>0</v>
      </c>
      <c r="M641" t="n">
        <v>0</v>
      </c>
      <c r="N641" t="n">
        <v>0</v>
      </c>
      <c r="O641" t="n">
        <v>0</v>
      </c>
      <c r="P641" t="n">
        <v>0</v>
      </c>
      <c r="Q641" t="n">
        <v>0</v>
      </c>
      <c r="R641" s="2" t="inlineStr"/>
    </row>
    <row r="642" ht="15" customHeight="1">
      <c r="A642" t="inlineStr">
        <is>
          <t>A 60184-2021</t>
        </is>
      </c>
      <c r="B642" s="1" t="n">
        <v>44495</v>
      </c>
      <c r="C642" s="1" t="n">
        <v>45758</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60186-2021</t>
        </is>
      </c>
      <c r="B643" s="1" t="n">
        <v>44495</v>
      </c>
      <c r="C643" s="1" t="n">
        <v>45758</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60209-2021</t>
        </is>
      </c>
      <c r="B644" s="1" t="n">
        <v>44495</v>
      </c>
      <c r="C644" s="1" t="n">
        <v>45758</v>
      </c>
      <c r="D644" t="inlineStr">
        <is>
          <t>STOCKHOLMS LÄN</t>
        </is>
      </c>
      <c r="E644" t="inlineStr">
        <is>
          <t>NORRTÄLJE</t>
        </is>
      </c>
      <c r="G644" t="n">
        <v>4.3</v>
      </c>
      <c r="H644" t="n">
        <v>0</v>
      </c>
      <c r="I644" t="n">
        <v>0</v>
      </c>
      <c r="J644" t="n">
        <v>0</v>
      </c>
      <c r="K644" t="n">
        <v>0</v>
      </c>
      <c r="L644" t="n">
        <v>0</v>
      </c>
      <c r="M644" t="n">
        <v>0</v>
      </c>
      <c r="N644" t="n">
        <v>0</v>
      </c>
      <c r="O644" t="n">
        <v>0</v>
      </c>
      <c r="P644" t="n">
        <v>0</v>
      </c>
      <c r="Q644" t="n">
        <v>0</v>
      </c>
      <c r="R644" s="2" t="inlineStr"/>
    </row>
    <row r="645" ht="15" customHeight="1">
      <c r="A645" t="inlineStr">
        <is>
          <t>A 60671-2021</t>
        </is>
      </c>
      <c r="B645" s="1" t="n">
        <v>44496</v>
      </c>
      <c r="C645" s="1" t="n">
        <v>45758</v>
      </c>
      <c r="D645" t="inlineStr">
        <is>
          <t>STOCKHOLMS LÄN</t>
        </is>
      </c>
      <c r="E645" t="inlineStr">
        <is>
          <t>NORRTÄLJE</t>
        </is>
      </c>
      <c r="G645" t="n">
        <v>3.3</v>
      </c>
      <c r="H645" t="n">
        <v>0</v>
      </c>
      <c r="I645" t="n">
        <v>0</v>
      </c>
      <c r="J645" t="n">
        <v>0</v>
      </c>
      <c r="K645" t="n">
        <v>0</v>
      </c>
      <c r="L645" t="n">
        <v>0</v>
      </c>
      <c r="M645" t="n">
        <v>0</v>
      </c>
      <c r="N645" t="n">
        <v>0</v>
      </c>
      <c r="O645" t="n">
        <v>0</v>
      </c>
      <c r="P645" t="n">
        <v>0</v>
      </c>
      <c r="Q645" t="n">
        <v>0</v>
      </c>
      <c r="R645" s="2" t="inlineStr"/>
    </row>
    <row r="646" ht="15" customHeight="1">
      <c r="A646" t="inlineStr">
        <is>
          <t>A 60733-2021</t>
        </is>
      </c>
      <c r="B646" s="1" t="n">
        <v>44496</v>
      </c>
      <c r="C646" s="1" t="n">
        <v>45758</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60813-2021</t>
        </is>
      </c>
      <c r="B647" s="1" t="n">
        <v>44496</v>
      </c>
      <c r="C647" s="1" t="n">
        <v>45758</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60822-2021</t>
        </is>
      </c>
      <c r="B648" s="1" t="n">
        <v>44496</v>
      </c>
      <c r="C648" s="1" t="n">
        <v>45758</v>
      </c>
      <c r="D648" t="inlineStr">
        <is>
          <t>STOCKHOLMS LÄN</t>
        </is>
      </c>
      <c r="E648" t="inlineStr">
        <is>
          <t>NORRTÄLJE</t>
        </is>
      </c>
      <c r="G648" t="n">
        <v>7.6</v>
      </c>
      <c r="H648" t="n">
        <v>0</v>
      </c>
      <c r="I648" t="n">
        <v>0</v>
      </c>
      <c r="J648" t="n">
        <v>0</v>
      </c>
      <c r="K648" t="n">
        <v>0</v>
      </c>
      <c r="L648" t="n">
        <v>0</v>
      </c>
      <c r="M648" t="n">
        <v>0</v>
      </c>
      <c r="N648" t="n">
        <v>0</v>
      </c>
      <c r="O648" t="n">
        <v>0</v>
      </c>
      <c r="P648" t="n">
        <v>0</v>
      </c>
      <c r="Q648" t="n">
        <v>0</v>
      </c>
      <c r="R648" s="2" t="inlineStr"/>
    </row>
    <row r="649" ht="15" customHeight="1">
      <c r="A649" t="inlineStr">
        <is>
          <t>A 62030-2021</t>
        </is>
      </c>
      <c r="B649" s="1" t="n">
        <v>44502</v>
      </c>
      <c r="C649" s="1" t="n">
        <v>45758</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63530-2021</t>
        </is>
      </c>
      <c r="B650" s="1" t="n">
        <v>44508</v>
      </c>
      <c r="C650" s="1" t="n">
        <v>45758</v>
      </c>
      <c r="D650" t="inlineStr">
        <is>
          <t>STOCKHOLMS LÄN</t>
        </is>
      </c>
      <c r="E650" t="inlineStr">
        <is>
          <t>NORRTÄLJE</t>
        </is>
      </c>
      <c r="G650" t="n">
        <v>8.9</v>
      </c>
      <c r="H650" t="n">
        <v>0</v>
      </c>
      <c r="I650" t="n">
        <v>0</v>
      </c>
      <c r="J650" t="n">
        <v>0</v>
      </c>
      <c r="K650" t="n">
        <v>0</v>
      </c>
      <c r="L650" t="n">
        <v>0</v>
      </c>
      <c r="M650" t="n">
        <v>0</v>
      </c>
      <c r="N650" t="n">
        <v>0</v>
      </c>
      <c r="O650" t="n">
        <v>0</v>
      </c>
      <c r="P650" t="n">
        <v>0</v>
      </c>
      <c r="Q650" t="n">
        <v>0</v>
      </c>
      <c r="R650" s="2" t="inlineStr"/>
    </row>
    <row r="651" ht="15" customHeight="1">
      <c r="A651" t="inlineStr">
        <is>
          <t>A 64137-2021</t>
        </is>
      </c>
      <c r="B651" s="1" t="n">
        <v>44510</v>
      </c>
      <c r="C651" s="1" t="n">
        <v>45758</v>
      </c>
      <c r="D651" t="inlineStr">
        <is>
          <t>STOCKHOLMS LÄN</t>
        </is>
      </c>
      <c r="E651" t="inlineStr">
        <is>
          <t>NORRTÄLJE</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64212-2021</t>
        </is>
      </c>
      <c r="B652" s="1" t="n">
        <v>44510</v>
      </c>
      <c r="C652" s="1" t="n">
        <v>45758</v>
      </c>
      <c r="D652" t="inlineStr">
        <is>
          <t>STOCKHOLMS LÄN</t>
        </is>
      </c>
      <c r="E652" t="inlineStr">
        <is>
          <t>NORRTÄLJE</t>
        </is>
      </c>
      <c r="G652" t="n">
        <v>28.7</v>
      </c>
      <c r="H652" t="n">
        <v>0</v>
      </c>
      <c r="I652" t="n">
        <v>0</v>
      </c>
      <c r="J652" t="n">
        <v>0</v>
      </c>
      <c r="K652" t="n">
        <v>0</v>
      </c>
      <c r="L652" t="n">
        <v>0</v>
      </c>
      <c r="M652" t="n">
        <v>0</v>
      </c>
      <c r="N652" t="n">
        <v>0</v>
      </c>
      <c r="O652" t="n">
        <v>0</v>
      </c>
      <c r="P652" t="n">
        <v>0</v>
      </c>
      <c r="Q652" t="n">
        <v>0</v>
      </c>
      <c r="R652" s="2" t="inlineStr"/>
    </row>
    <row r="653" ht="15" customHeight="1">
      <c r="A653" t="inlineStr">
        <is>
          <t>A 64074-2021</t>
        </is>
      </c>
      <c r="B653" s="1" t="n">
        <v>44510</v>
      </c>
      <c r="C653" s="1" t="n">
        <v>45758</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64145-2021</t>
        </is>
      </c>
      <c r="B654" s="1" t="n">
        <v>44510</v>
      </c>
      <c r="C654" s="1" t="n">
        <v>45758</v>
      </c>
      <c r="D654" t="inlineStr">
        <is>
          <t>STOCKHOLMS LÄN</t>
        </is>
      </c>
      <c r="E654" t="inlineStr">
        <is>
          <t>NORRTÄLJE</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64600-2021</t>
        </is>
      </c>
      <c r="B655" s="1" t="n">
        <v>44511</v>
      </c>
      <c r="C655" s="1" t="n">
        <v>45758</v>
      </c>
      <c r="D655" t="inlineStr">
        <is>
          <t>STOCKHOLMS LÄN</t>
        </is>
      </c>
      <c r="E655" t="inlineStr">
        <is>
          <t>NORRTÄLJE</t>
        </is>
      </c>
      <c r="G655" t="n">
        <v>6.2</v>
      </c>
      <c r="H655" t="n">
        <v>0</v>
      </c>
      <c r="I655" t="n">
        <v>0</v>
      </c>
      <c r="J655" t="n">
        <v>0</v>
      </c>
      <c r="K655" t="n">
        <v>0</v>
      </c>
      <c r="L655" t="n">
        <v>0</v>
      </c>
      <c r="M655" t="n">
        <v>0</v>
      </c>
      <c r="N655" t="n">
        <v>0</v>
      </c>
      <c r="O655" t="n">
        <v>0</v>
      </c>
      <c r="P655" t="n">
        <v>0</v>
      </c>
      <c r="Q655" t="n">
        <v>0</v>
      </c>
      <c r="R655" s="2" t="inlineStr"/>
    </row>
    <row r="656" ht="15" customHeight="1">
      <c r="A656" t="inlineStr">
        <is>
          <t>A 64599-2021</t>
        </is>
      </c>
      <c r="B656" s="1" t="n">
        <v>44511</v>
      </c>
      <c r="C656" s="1" t="n">
        <v>45758</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64628-2021</t>
        </is>
      </c>
      <c r="B657" s="1" t="n">
        <v>44511</v>
      </c>
      <c r="C657" s="1" t="n">
        <v>45758</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64915-2021</t>
        </is>
      </c>
      <c r="B658" s="1" t="n">
        <v>44512</v>
      </c>
      <c r="C658" s="1" t="n">
        <v>45758</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65359-2021</t>
        </is>
      </c>
      <c r="B659" s="1" t="n">
        <v>44515</v>
      </c>
      <c r="C659" s="1" t="n">
        <v>45758</v>
      </c>
      <c r="D659" t="inlineStr">
        <is>
          <t>STOCKHOLMS LÄN</t>
        </is>
      </c>
      <c r="E659" t="inlineStr">
        <is>
          <t>NORRTÄLJE</t>
        </is>
      </c>
      <c r="F659" t="inlineStr">
        <is>
          <t>Kyrkan</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65499-2021</t>
        </is>
      </c>
      <c r="B660" s="1" t="n">
        <v>44516</v>
      </c>
      <c r="C660" s="1" t="n">
        <v>45758</v>
      </c>
      <c r="D660" t="inlineStr">
        <is>
          <t>STOCKHOLMS LÄN</t>
        </is>
      </c>
      <c r="E660" t="inlineStr">
        <is>
          <t>NORRTÄLJE</t>
        </is>
      </c>
      <c r="F660" t="inlineStr">
        <is>
          <t>Kommuner</t>
        </is>
      </c>
      <c r="G660" t="n">
        <v>5.2</v>
      </c>
      <c r="H660" t="n">
        <v>0</v>
      </c>
      <c r="I660" t="n">
        <v>0</v>
      </c>
      <c r="J660" t="n">
        <v>0</v>
      </c>
      <c r="K660" t="n">
        <v>0</v>
      </c>
      <c r="L660" t="n">
        <v>0</v>
      </c>
      <c r="M660" t="n">
        <v>0</v>
      </c>
      <c r="N660" t="n">
        <v>0</v>
      </c>
      <c r="O660" t="n">
        <v>0</v>
      </c>
      <c r="P660" t="n">
        <v>0</v>
      </c>
      <c r="Q660" t="n">
        <v>0</v>
      </c>
      <c r="R660" s="2" t="inlineStr"/>
    </row>
    <row r="661" ht="15" customHeight="1">
      <c r="A661" t="inlineStr">
        <is>
          <t>A 65513-2021</t>
        </is>
      </c>
      <c r="B661" s="1" t="n">
        <v>44516</v>
      </c>
      <c r="C661" s="1" t="n">
        <v>45758</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65511-2021</t>
        </is>
      </c>
      <c r="B662" s="1" t="n">
        <v>44516</v>
      </c>
      <c r="C662" s="1" t="n">
        <v>45758</v>
      </c>
      <c r="D662" t="inlineStr">
        <is>
          <t>STOCKHOLMS LÄN</t>
        </is>
      </c>
      <c r="E662" t="inlineStr">
        <is>
          <t>NORRTÄLJE</t>
        </is>
      </c>
      <c r="F662" t="inlineStr">
        <is>
          <t>Kommuner</t>
        </is>
      </c>
      <c r="G662" t="n">
        <v>2.8</v>
      </c>
      <c r="H662" t="n">
        <v>0</v>
      </c>
      <c r="I662" t="n">
        <v>0</v>
      </c>
      <c r="J662" t="n">
        <v>0</v>
      </c>
      <c r="K662" t="n">
        <v>0</v>
      </c>
      <c r="L662" t="n">
        <v>0</v>
      </c>
      <c r="M662" t="n">
        <v>0</v>
      </c>
      <c r="N662" t="n">
        <v>0</v>
      </c>
      <c r="O662" t="n">
        <v>0</v>
      </c>
      <c r="P662" t="n">
        <v>0</v>
      </c>
      <c r="Q662" t="n">
        <v>0</v>
      </c>
      <c r="R662" s="2" t="inlineStr"/>
    </row>
    <row r="663" ht="15" customHeight="1">
      <c r="A663" t="inlineStr">
        <is>
          <t>A 65501-2021</t>
        </is>
      </c>
      <c r="B663" s="1" t="n">
        <v>44516</v>
      </c>
      <c r="C663" s="1" t="n">
        <v>45758</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65509-2021</t>
        </is>
      </c>
      <c r="B664" s="1" t="n">
        <v>44516</v>
      </c>
      <c r="C664" s="1" t="n">
        <v>45758</v>
      </c>
      <c r="D664" t="inlineStr">
        <is>
          <t>STOCKHOLMS LÄN</t>
        </is>
      </c>
      <c r="E664" t="inlineStr">
        <is>
          <t>NORRTÄLJE</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65611-2021</t>
        </is>
      </c>
      <c r="B665" s="1" t="n">
        <v>44516</v>
      </c>
      <c r="C665" s="1" t="n">
        <v>45758</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65737-2021</t>
        </is>
      </c>
      <c r="B666" s="1" t="n">
        <v>44516</v>
      </c>
      <c r="C666" s="1" t="n">
        <v>45758</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66450-2021</t>
        </is>
      </c>
      <c r="B667" s="1" t="n">
        <v>44518</v>
      </c>
      <c r="C667" s="1" t="n">
        <v>45758</v>
      </c>
      <c r="D667" t="inlineStr">
        <is>
          <t>STOCKHOLMS LÄN</t>
        </is>
      </c>
      <c r="E667" t="inlineStr">
        <is>
          <t>NORRTÄLJE</t>
        </is>
      </c>
      <c r="G667" t="n">
        <v>9.1</v>
      </c>
      <c r="H667" t="n">
        <v>0</v>
      </c>
      <c r="I667" t="n">
        <v>0</v>
      </c>
      <c r="J667" t="n">
        <v>0</v>
      </c>
      <c r="K667" t="n">
        <v>0</v>
      </c>
      <c r="L667" t="n">
        <v>0</v>
      </c>
      <c r="M667" t="n">
        <v>0</v>
      </c>
      <c r="N667" t="n">
        <v>0</v>
      </c>
      <c r="O667" t="n">
        <v>0</v>
      </c>
      <c r="P667" t="n">
        <v>0</v>
      </c>
      <c r="Q667" t="n">
        <v>0</v>
      </c>
      <c r="R667" s="2" t="inlineStr"/>
    </row>
    <row r="668" ht="15" customHeight="1">
      <c r="A668" t="inlineStr">
        <is>
          <t>A 66608-2021</t>
        </is>
      </c>
      <c r="B668" s="1" t="n">
        <v>44519</v>
      </c>
      <c r="C668" s="1" t="n">
        <v>45758</v>
      </c>
      <c r="D668" t="inlineStr">
        <is>
          <t>STOCKHOLMS LÄN</t>
        </is>
      </c>
      <c r="E668" t="inlineStr">
        <is>
          <t>NORRTÄLJE</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66592-2021</t>
        </is>
      </c>
      <c r="B669" s="1" t="n">
        <v>44519</v>
      </c>
      <c r="C669" s="1" t="n">
        <v>45758</v>
      </c>
      <c r="D669" t="inlineStr">
        <is>
          <t>STOCKHOLMS LÄN</t>
        </is>
      </c>
      <c r="E669" t="inlineStr">
        <is>
          <t>NORRTÄLJE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66769-2021</t>
        </is>
      </c>
      <c r="B670" s="1" t="n">
        <v>44521</v>
      </c>
      <c r="C670" s="1" t="n">
        <v>45758</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67285-2021</t>
        </is>
      </c>
      <c r="B671" s="1" t="n">
        <v>44523</v>
      </c>
      <c r="C671" s="1" t="n">
        <v>45758</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67525-2021</t>
        </is>
      </c>
      <c r="B672" s="1" t="n">
        <v>44524</v>
      </c>
      <c r="C672" s="1" t="n">
        <v>45758</v>
      </c>
      <c r="D672" t="inlineStr">
        <is>
          <t>STOCKHOLMS LÄN</t>
        </is>
      </c>
      <c r="E672" t="inlineStr">
        <is>
          <t>NORRTÄLJE</t>
        </is>
      </c>
      <c r="G672" t="n">
        <v>0.8</v>
      </c>
      <c r="H672" t="n">
        <v>0</v>
      </c>
      <c r="I672" t="n">
        <v>0</v>
      </c>
      <c r="J672" t="n">
        <v>0</v>
      </c>
      <c r="K672" t="n">
        <v>0</v>
      </c>
      <c r="L672" t="n">
        <v>0</v>
      </c>
      <c r="M672" t="n">
        <v>0</v>
      </c>
      <c r="N672" t="n">
        <v>0</v>
      </c>
      <c r="O672" t="n">
        <v>0</v>
      </c>
      <c r="P672" t="n">
        <v>0</v>
      </c>
      <c r="Q672" t="n">
        <v>0</v>
      </c>
      <c r="R672" s="2" t="inlineStr"/>
    </row>
    <row r="673" ht="15" customHeight="1">
      <c r="A673" t="inlineStr">
        <is>
          <t>A 67598-2021</t>
        </is>
      </c>
      <c r="B673" s="1" t="n">
        <v>44524</v>
      </c>
      <c r="C673" s="1" t="n">
        <v>45758</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67921-2021</t>
        </is>
      </c>
      <c r="B674" s="1" t="n">
        <v>44525</v>
      </c>
      <c r="C674" s="1" t="n">
        <v>45758</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67990-2021</t>
        </is>
      </c>
      <c r="B675" s="1" t="n">
        <v>44525</v>
      </c>
      <c r="C675" s="1" t="n">
        <v>45758</v>
      </c>
      <c r="D675" t="inlineStr">
        <is>
          <t>STOCKHOLMS LÄN</t>
        </is>
      </c>
      <c r="E675" t="inlineStr">
        <is>
          <t>NORRTÄLJE</t>
        </is>
      </c>
      <c r="F675" t="inlineStr">
        <is>
          <t>Sveaskog</t>
        </is>
      </c>
      <c r="G675" t="n">
        <v>7.8</v>
      </c>
      <c r="H675" t="n">
        <v>0</v>
      </c>
      <c r="I675" t="n">
        <v>0</v>
      </c>
      <c r="J675" t="n">
        <v>0</v>
      </c>
      <c r="K675" t="n">
        <v>0</v>
      </c>
      <c r="L675" t="n">
        <v>0</v>
      </c>
      <c r="M675" t="n">
        <v>0</v>
      </c>
      <c r="N675" t="n">
        <v>0</v>
      </c>
      <c r="O675" t="n">
        <v>0</v>
      </c>
      <c r="P675" t="n">
        <v>0</v>
      </c>
      <c r="Q675" t="n">
        <v>0</v>
      </c>
      <c r="R675" s="2" t="inlineStr"/>
    </row>
    <row r="676" ht="15" customHeight="1">
      <c r="A676" t="inlineStr">
        <is>
          <t>A 67992-2021</t>
        </is>
      </c>
      <c r="B676" s="1" t="n">
        <v>44525</v>
      </c>
      <c r="C676" s="1" t="n">
        <v>45758</v>
      </c>
      <c r="D676" t="inlineStr">
        <is>
          <t>STOCKHOLMS LÄN</t>
        </is>
      </c>
      <c r="E676" t="inlineStr">
        <is>
          <t>NORRTÄLJE</t>
        </is>
      </c>
      <c r="F676" t="inlineStr">
        <is>
          <t>Sveaskog</t>
        </is>
      </c>
      <c r="G676" t="n">
        <v>4.6</v>
      </c>
      <c r="H676" t="n">
        <v>0</v>
      </c>
      <c r="I676" t="n">
        <v>0</v>
      </c>
      <c r="J676" t="n">
        <v>0</v>
      </c>
      <c r="K676" t="n">
        <v>0</v>
      </c>
      <c r="L676" t="n">
        <v>0</v>
      </c>
      <c r="M676" t="n">
        <v>0</v>
      </c>
      <c r="N676" t="n">
        <v>0</v>
      </c>
      <c r="O676" t="n">
        <v>0</v>
      </c>
      <c r="P676" t="n">
        <v>0</v>
      </c>
      <c r="Q676" t="n">
        <v>0</v>
      </c>
      <c r="R676" s="2" t="inlineStr"/>
    </row>
    <row r="677" ht="15" customHeight="1">
      <c r="A677" t="inlineStr">
        <is>
          <t>A 67993-2021</t>
        </is>
      </c>
      <c r="B677" s="1" t="n">
        <v>44525</v>
      </c>
      <c r="C677" s="1" t="n">
        <v>45758</v>
      </c>
      <c r="D677" t="inlineStr">
        <is>
          <t>STOCKHOLMS LÄN</t>
        </is>
      </c>
      <c r="E677" t="inlineStr">
        <is>
          <t>NORRTÄLJE</t>
        </is>
      </c>
      <c r="F677" t="inlineStr">
        <is>
          <t>Sveaskog</t>
        </is>
      </c>
      <c r="G677" t="n">
        <v>3.4</v>
      </c>
      <c r="H677" t="n">
        <v>0</v>
      </c>
      <c r="I677" t="n">
        <v>0</v>
      </c>
      <c r="J677" t="n">
        <v>0</v>
      </c>
      <c r="K677" t="n">
        <v>0</v>
      </c>
      <c r="L677" t="n">
        <v>0</v>
      </c>
      <c r="M677" t="n">
        <v>0</v>
      </c>
      <c r="N677" t="n">
        <v>0</v>
      </c>
      <c r="O677" t="n">
        <v>0</v>
      </c>
      <c r="P677" t="n">
        <v>0</v>
      </c>
      <c r="Q677" t="n">
        <v>0</v>
      </c>
      <c r="R677" s="2" t="inlineStr"/>
    </row>
    <row r="678" ht="15" customHeight="1">
      <c r="A678" t="inlineStr">
        <is>
          <t>A 68273-2021</t>
        </is>
      </c>
      <c r="B678" s="1" t="n">
        <v>44526</v>
      </c>
      <c r="C678" s="1" t="n">
        <v>45758</v>
      </c>
      <c r="D678" t="inlineStr">
        <is>
          <t>STOCKHOLMS LÄN</t>
        </is>
      </c>
      <c r="E678" t="inlineStr">
        <is>
          <t>NORRTÄLJE</t>
        </is>
      </c>
      <c r="G678" t="n">
        <v>5.3</v>
      </c>
      <c r="H678" t="n">
        <v>0</v>
      </c>
      <c r="I678" t="n">
        <v>0</v>
      </c>
      <c r="J678" t="n">
        <v>0</v>
      </c>
      <c r="K678" t="n">
        <v>0</v>
      </c>
      <c r="L678" t="n">
        <v>0</v>
      </c>
      <c r="M678" t="n">
        <v>0</v>
      </c>
      <c r="N678" t="n">
        <v>0</v>
      </c>
      <c r="O678" t="n">
        <v>0</v>
      </c>
      <c r="P678" t="n">
        <v>0</v>
      </c>
      <c r="Q678" t="n">
        <v>0</v>
      </c>
      <c r="R678" s="2" t="inlineStr"/>
    </row>
    <row r="679" ht="15" customHeight="1">
      <c r="A679" t="inlineStr">
        <is>
          <t>A 68361-2021</t>
        </is>
      </c>
      <c r="B679" s="1" t="n">
        <v>44528</v>
      </c>
      <c r="C679" s="1" t="n">
        <v>45758</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69034-2021</t>
        </is>
      </c>
      <c r="B680" s="1" t="n">
        <v>44529</v>
      </c>
      <c r="C680" s="1" t="n">
        <v>45758</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69539-2021</t>
        </is>
      </c>
      <c r="B681" s="1" t="n">
        <v>44531</v>
      </c>
      <c r="C681" s="1" t="n">
        <v>45758</v>
      </c>
      <c r="D681" t="inlineStr">
        <is>
          <t>STOCKHOLMS LÄN</t>
        </is>
      </c>
      <c r="E681" t="inlineStr">
        <is>
          <t>NORRTÄLJE</t>
        </is>
      </c>
      <c r="G681" t="n">
        <v>1.9</v>
      </c>
      <c r="H681" t="n">
        <v>0</v>
      </c>
      <c r="I681" t="n">
        <v>0</v>
      </c>
      <c r="J681" t="n">
        <v>0</v>
      </c>
      <c r="K681" t="n">
        <v>0</v>
      </c>
      <c r="L681" t="n">
        <v>0</v>
      </c>
      <c r="M681" t="n">
        <v>0</v>
      </c>
      <c r="N681" t="n">
        <v>0</v>
      </c>
      <c r="O681" t="n">
        <v>0</v>
      </c>
      <c r="P681" t="n">
        <v>0</v>
      </c>
      <c r="Q681" t="n">
        <v>0</v>
      </c>
      <c r="R681" s="2" t="inlineStr"/>
    </row>
    <row r="682" ht="15" customHeight="1">
      <c r="A682" t="inlineStr">
        <is>
          <t>A 69723-2021</t>
        </is>
      </c>
      <c r="B682" s="1" t="n">
        <v>44532</v>
      </c>
      <c r="C682" s="1" t="n">
        <v>45758</v>
      </c>
      <c r="D682" t="inlineStr">
        <is>
          <t>STOCKHOLMS LÄN</t>
        </is>
      </c>
      <c r="E682" t="inlineStr">
        <is>
          <t>NORRTÄLJE</t>
        </is>
      </c>
      <c r="G682" t="n">
        <v>1.6</v>
      </c>
      <c r="H682" t="n">
        <v>0</v>
      </c>
      <c r="I682" t="n">
        <v>0</v>
      </c>
      <c r="J682" t="n">
        <v>0</v>
      </c>
      <c r="K682" t="n">
        <v>0</v>
      </c>
      <c r="L682" t="n">
        <v>0</v>
      </c>
      <c r="M682" t="n">
        <v>0</v>
      </c>
      <c r="N682" t="n">
        <v>0</v>
      </c>
      <c r="O682" t="n">
        <v>0</v>
      </c>
      <c r="P682" t="n">
        <v>0</v>
      </c>
      <c r="Q682" t="n">
        <v>0</v>
      </c>
      <c r="R682" s="2" t="inlineStr"/>
    </row>
    <row r="683" ht="15" customHeight="1">
      <c r="A683" t="inlineStr">
        <is>
          <t>A 69816-2021</t>
        </is>
      </c>
      <c r="B683" s="1" t="n">
        <v>44532</v>
      </c>
      <c r="C683" s="1" t="n">
        <v>45758</v>
      </c>
      <c r="D683" t="inlineStr">
        <is>
          <t>STOCKHOLMS LÄN</t>
        </is>
      </c>
      <c r="E683" t="inlineStr">
        <is>
          <t>NORRTÄLJE</t>
        </is>
      </c>
      <c r="G683" t="n">
        <v>4.9</v>
      </c>
      <c r="H683" t="n">
        <v>0</v>
      </c>
      <c r="I683" t="n">
        <v>0</v>
      </c>
      <c r="J683" t="n">
        <v>0</v>
      </c>
      <c r="K683" t="n">
        <v>0</v>
      </c>
      <c r="L683" t="n">
        <v>0</v>
      </c>
      <c r="M683" t="n">
        <v>0</v>
      </c>
      <c r="N683" t="n">
        <v>0</v>
      </c>
      <c r="O683" t="n">
        <v>0</v>
      </c>
      <c r="P683" t="n">
        <v>0</v>
      </c>
      <c r="Q683" t="n">
        <v>0</v>
      </c>
      <c r="R683" s="2" t="inlineStr"/>
    </row>
    <row r="684" ht="15" customHeight="1">
      <c r="A684" t="inlineStr">
        <is>
          <t>A 70170-2021</t>
        </is>
      </c>
      <c r="B684" s="1" t="n">
        <v>44533</v>
      </c>
      <c r="C684" s="1" t="n">
        <v>45758</v>
      </c>
      <c r="D684" t="inlineStr">
        <is>
          <t>STOCKHOLMS LÄN</t>
        </is>
      </c>
      <c r="E684" t="inlineStr">
        <is>
          <t>NORRTÄLJE</t>
        </is>
      </c>
      <c r="G684" t="n">
        <v>2.7</v>
      </c>
      <c r="H684" t="n">
        <v>0</v>
      </c>
      <c r="I684" t="n">
        <v>0</v>
      </c>
      <c r="J684" t="n">
        <v>0</v>
      </c>
      <c r="K684" t="n">
        <v>0</v>
      </c>
      <c r="L684" t="n">
        <v>0</v>
      </c>
      <c r="M684" t="n">
        <v>0</v>
      </c>
      <c r="N684" t="n">
        <v>0</v>
      </c>
      <c r="O684" t="n">
        <v>0</v>
      </c>
      <c r="P684" t="n">
        <v>0</v>
      </c>
      <c r="Q684" t="n">
        <v>0</v>
      </c>
      <c r="R684" s="2" t="inlineStr"/>
    </row>
    <row r="685" ht="15" customHeight="1">
      <c r="A685" t="inlineStr">
        <is>
          <t>A 69988-2021</t>
        </is>
      </c>
      <c r="B685" s="1" t="n">
        <v>44533</v>
      </c>
      <c r="C685" s="1" t="n">
        <v>45758</v>
      </c>
      <c r="D685" t="inlineStr">
        <is>
          <t>STOCKHOLMS LÄN</t>
        </is>
      </c>
      <c r="E685" t="inlineStr">
        <is>
          <t>NORRTÄLJE</t>
        </is>
      </c>
      <c r="G685" t="n">
        <v>6.3</v>
      </c>
      <c r="H685" t="n">
        <v>0</v>
      </c>
      <c r="I685" t="n">
        <v>0</v>
      </c>
      <c r="J685" t="n">
        <v>0</v>
      </c>
      <c r="K685" t="n">
        <v>0</v>
      </c>
      <c r="L685" t="n">
        <v>0</v>
      </c>
      <c r="M685" t="n">
        <v>0</v>
      </c>
      <c r="N685" t="n">
        <v>0</v>
      </c>
      <c r="O685" t="n">
        <v>0</v>
      </c>
      <c r="P685" t="n">
        <v>0</v>
      </c>
      <c r="Q685" t="n">
        <v>0</v>
      </c>
      <c r="R685" s="2" t="inlineStr"/>
    </row>
    <row r="686" ht="15" customHeight="1">
      <c r="A686" t="inlineStr">
        <is>
          <t>A 70469-2021</t>
        </is>
      </c>
      <c r="B686" s="1" t="n">
        <v>44536</v>
      </c>
      <c r="C686" s="1" t="n">
        <v>45758</v>
      </c>
      <c r="D686" t="inlineStr">
        <is>
          <t>STOCKHOLMS LÄN</t>
        </is>
      </c>
      <c r="E686" t="inlineStr">
        <is>
          <t>NORRTÄLJE</t>
        </is>
      </c>
      <c r="F686" t="inlineStr">
        <is>
          <t>Holmen skog AB</t>
        </is>
      </c>
      <c r="G686" t="n">
        <v>2.5</v>
      </c>
      <c r="H686" t="n">
        <v>0</v>
      </c>
      <c r="I686" t="n">
        <v>0</v>
      </c>
      <c r="J686" t="n">
        <v>0</v>
      </c>
      <c r="K686" t="n">
        <v>0</v>
      </c>
      <c r="L686" t="n">
        <v>0</v>
      </c>
      <c r="M686" t="n">
        <v>0</v>
      </c>
      <c r="N686" t="n">
        <v>0</v>
      </c>
      <c r="O686" t="n">
        <v>0</v>
      </c>
      <c r="P686" t="n">
        <v>0</v>
      </c>
      <c r="Q686" t="n">
        <v>0</v>
      </c>
      <c r="R686" s="2" t="inlineStr"/>
    </row>
    <row r="687" ht="15" customHeight="1">
      <c r="A687" t="inlineStr">
        <is>
          <t>A 71325-2021</t>
        </is>
      </c>
      <c r="B687" s="1" t="n">
        <v>44539</v>
      </c>
      <c r="C687" s="1" t="n">
        <v>45758</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71552-2021</t>
        </is>
      </c>
      <c r="B688" s="1" t="n">
        <v>44540</v>
      </c>
      <c r="C688" s="1" t="n">
        <v>45758</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71479-2021</t>
        </is>
      </c>
      <c r="B689" s="1" t="n">
        <v>44540</v>
      </c>
      <c r="C689" s="1" t="n">
        <v>45758</v>
      </c>
      <c r="D689" t="inlineStr">
        <is>
          <t>STOCKHOLMS LÄN</t>
        </is>
      </c>
      <c r="E689" t="inlineStr">
        <is>
          <t>NORRTÄLJE</t>
        </is>
      </c>
      <c r="G689" t="n">
        <v>3</v>
      </c>
      <c r="H689" t="n">
        <v>0</v>
      </c>
      <c r="I689" t="n">
        <v>0</v>
      </c>
      <c r="J689" t="n">
        <v>0</v>
      </c>
      <c r="K689" t="n">
        <v>0</v>
      </c>
      <c r="L689" t="n">
        <v>0</v>
      </c>
      <c r="M689" t="n">
        <v>0</v>
      </c>
      <c r="N689" t="n">
        <v>0</v>
      </c>
      <c r="O689" t="n">
        <v>0</v>
      </c>
      <c r="P689" t="n">
        <v>0</v>
      </c>
      <c r="Q689" t="n">
        <v>0</v>
      </c>
      <c r="R689" s="2" t="inlineStr"/>
    </row>
    <row r="690" ht="15" customHeight="1">
      <c r="A690" t="inlineStr">
        <is>
          <t>A 71543-2021</t>
        </is>
      </c>
      <c r="B690" s="1" t="n">
        <v>44540</v>
      </c>
      <c r="C690" s="1" t="n">
        <v>45758</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71873-2021</t>
        </is>
      </c>
      <c r="B691" s="1" t="n">
        <v>44543</v>
      </c>
      <c r="C691" s="1" t="n">
        <v>45758</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71876-2021</t>
        </is>
      </c>
      <c r="B692" s="1" t="n">
        <v>44543</v>
      </c>
      <c r="C692" s="1" t="n">
        <v>45758</v>
      </c>
      <c r="D692" t="inlineStr">
        <is>
          <t>STOCKHOLMS LÄN</t>
        </is>
      </c>
      <c r="E692" t="inlineStr">
        <is>
          <t>NORRTÄLJE</t>
        </is>
      </c>
      <c r="G692" t="n">
        <v>2.8</v>
      </c>
      <c r="H692" t="n">
        <v>0</v>
      </c>
      <c r="I692" t="n">
        <v>0</v>
      </c>
      <c r="J692" t="n">
        <v>0</v>
      </c>
      <c r="K692" t="n">
        <v>0</v>
      </c>
      <c r="L692" t="n">
        <v>0</v>
      </c>
      <c r="M692" t="n">
        <v>0</v>
      </c>
      <c r="N692" t="n">
        <v>0</v>
      </c>
      <c r="O692" t="n">
        <v>0</v>
      </c>
      <c r="P692" t="n">
        <v>0</v>
      </c>
      <c r="Q692" t="n">
        <v>0</v>
      </c>
      <c r="R692" s="2" t="inlineStr"/>
    </row>
    <row r="693" ht="15" customHeight="1">
      <c r="A693" t="inlineStr">
        <is>
          <t>A 71880-2021</t>
        </is>
      </c>
      <c r="B693" s="1" t="n">
        <v>44543</v>
      </c>
      <c r="C693" s="1" t="n">
        <v>45758</v>
      </c>
      <c r="D693" t="inlineStr">
        <is>
          <t>STOCKHOLMS LÄN</t>
        </is>
      </c>
      <c r="E693" t="inlineStr">
        <is>
          <t>NORRTÄLJE</t>
        </is>
      </c>
      <c r="G693" t="n">
        <v>2</v>
      </c>
      <c r="H693" t="n">
        <v>0</v>
      </c>
      <c r="I693" t="n">
        <v>0</v>
      </c>
      <c r="J693" t="n">
        <v>0</v>
      </c>
      <c r="K693" t="n">
        <v>0</v>
      </c>
      <c r="L693" t="n">
        <v>0</v>
      </c>
      <c r="M693" t="n">
        <v>0</v>
      </c>
      <c r="N693" t="n">
        <v>0</v>
      </c>
      <c r="O693" t="n">
        <v>0</v>
      </c>
      <c r="P693" t="n">
        <v>0</v>
      </c>
      <c r="Q693" t="n">
        <v>0</v>
      </c>
      <c r="R693" s="2" t="inlineStr"/>
    </row>
    <row r="694" ht="15" customHeight="1">
      <c r="A694" t="inlineStr">
        <is>
          <t>A 71871-2021</t>
        </is>
      </c>
      <c r="B694" s="1" t="n">
        <v>44543</v>
      </c>
      <c r="C694" s="1" t="n">
        <v>45758</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71878-2021</t>
        </is>
      </c>
      <c r="B695" s="1" t="n">
        <v>44543</v>
      </c>
      <c r="C695" s="1" t="n">
        <v>45758</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72085-2021</t>
        </is>
      </c>
      <c r="B696" s="1" t="n">
        <v>44544</v>
      </c>
      <c r="C696" s="1" t="n">
        <v>45758</v>
      </c>
      <c r="D696" t="inlineStr">
        <is>
          <t>STOCKHOLMS LÄN</t>
        </is>
      </c>
      <c r="E696" t="inlineStr">
        <is>
          <t>NORRTÄLJE</t>
        </is>
      </c>
      <c r="G696" t="n">
        <v>4.9</v>
      </c>
      <c r="H696" t="n">
        <v>0</v>
      </c>
      <c r="I696" t="n">
        <v>0</v>
      </c>
      <c r="J696" t="n">
        <v>0</v>
      </c>
      <c r="K696" t="n">
        <v>0</v>
      </c>
      <c r="L696" t="n">
        <v>0</v>
      </c>
      <c r="M696" t="n">
        <v>0</v>
      </c>
      <c r="N696" t="n">
        <v>0</v>
      </c>
      <c r="O696" t="n">
        <v>0</v>
      </c>
      <c r="P696" t="n">
        <v>0</v>
      </c>
      <c r="Q696" t="n">
        <v>0</v>
      </c>
      <c r="R696" s="2" t="inlineStr"/>
    </row>
    <row r="697" ht="15" customHeight="1">
      <c r="A697" t="inlineStr">
        <is>
          <t>A 72202-2021</t>
        </is>
      </c>
      <c r="B697" s="1" t="n">
        <v>44544</v>
      </c>
      <c r="C697" s="1" t="n">
        <v>45758</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72308-2021</t>
        </is>
      </c>
      <c r="B698" s="1" t="n">
        <v>44545</v>
      </c>
      <c r="C698" s="1" t="n">
        <v>45758</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72343-2021</t>
        </is>
      </c>
      <c r="B699" s="1" t="n">
        <v>44545</v>
      </c>
      <c r="C699" s="1" t="n">
        <v>45758</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72357-2021</t>
        </is>
      </c>
      <c r="B700" s="1" t="n">
        <v>44545</v>
      </c>
      <c r="C700" s="1" t="n">
        <v>45758</v>
      </c>
      <c r="D700" t="inlineStr">
        <is>
          <t>STOCKHOLMS LÄN</t>
        </is>
      </c>
      <c r="E700" t="inlineStr">
        <is>
          <t>NORRTÄLJE</t>
        </is>
      </c>
      <c r="G700" t="n">
        <v>5.1</v>
      </c>
      <c r="H700" t="n">
        <v>0</v>
      </c>
      <c r="I700" t="n">
        <v>0</v>
      </c>
      <c r="J700" t="n">
        <v>0</v>
      </c>
      <c r="K700" t="n">
        <v>0</v>
      </c>
      <c r="L700" t="n">
        <v>0</v>
      </c>
      <c r="M700" t="n">
        <v>0</v>
      </c>
      <c r="N700" t="n">
        <v>0</v>
      </c>
      <c r="O700" t="n">
        <v>0</v>
      </c>
      <c r="P700" t="n">
        <v>0</v>
      </c>
      <c r="Q700" t="n">
        <v>0</v>
      </c>
      <c r="R700" s="2" t="inlineStr"/>
    </row>
    <row r="701" ht="15" customHeight="1">
      <c r="A701" t="inlineStr">
        <is>
          <t>A 72355-2021</t>
        </is>
      </c>
      <c r="B701" s="1" t="n">
        <v>44545</v>
      </c>
      <c r="C701" s="1" t="n">
        <v>45758</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72353-2021</t>
        </is>
      </c>
      <c r="B702" s="1" t="n">
        <v>44545</v>
      </c>
      <c r="C702" s="1" t="n">
        <v>45758</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72747-2021</t>
        </is>
      </c>
      <c r="B703" s="1" t="n">
        <v>44546</v>
      </c>
      <c r="C703" s="1" t="n">
        <v>45758</v>
      </c>
      <c r="D703" t="inlineStr">
        <is>
          <t>STOCKHOLMS LÄN</t>
        </is>
      </c>
      <c r="E703" t="inlineStr">
        <is>
          <t>NORRTÄLJE</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72704-2021</t>
        </is>
      </c>
      <c r="B704" s="1" t="n">
        <v>44546</v>
      </c>
      <c r="C704" s="1" t="n">
        <v>45758</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72890-2021</t>
        </is>
      </c>
      <c r="B705" s="1" t="n">
        <v>44547</v>
      </c>
      <c r="C705" s="1" t="n">
        <v>45758</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73311-2021</t>
        </is>
      </c>
      <c r="B706" s="1" t="n">
        <v>44549</v>
      </c>
      <c r="C706" s="1" t="n">
        <v>45758</v>
      </c>
      <c r="D706" t="inlineStr">
        <is>
          <t>STOCKHOLMS LÄN</t>
        </is>
      </c>
      <c r="E706" t="inlineStr">
        <is>
          <t>NORRTÄLJE</t>
        </is>
      </c>
      <c r="G706" t="n">
        <v>5.2</v>
      </c>
      <c r="H706" t="n">
        <v>0</v>
      </c>
      <c r="I706" t="n">
        <v>0</v>
      </c>
      <c r="J706" t="n">
        <v>0</v>
      </c>
      <c r="K706" t="n">
        <v>0</v>
      </c>
      <c r="L706" t="n">
        <v>0</v>
      </c>
      <c r="M706" t="n">
        <v>0</v>
      </c>
      <c r="N706" t="n">
        <v>0</v>
      </c>
      <c r="O706" t="n">
        <v>0</v>
      </c>
      <c r="P706" t="n">
        <v>0</v>
      </c>
      <c r="Q706" t="n">
        <v>0</v>
      </c>
      <c r="R706" s="2" t="inlineStr"/>
    </row>
    <row r="707" ht="15" customHeight="1">
      <c r="A707" t="inlineStr">
        <is>
          <t>A 73307-2021</t>
        </is>
      </c>
      <c r="B707" s="1" t="n">
        <v>44549</v>
      </c>
      <c r="C707" s="1" t="n">
        <v>45758</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73271-2021</t>
        </is>
      </c>
      <c r="B708" s="1" t="n">
        <v>44550</v>
      </c>
      <c r="C708" s="1" t="n">
        <v>45758</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73504-2021</t>
        </is>
      </c>
      <c r="B709" s="1" t="n">
        <v>44551</v>
      </c>
      <c r="C709" s="1" t="n">
        <v>45758</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73855-2021</t>
        </is>
      </c>
      <c r="B710" s="1" t="n">
        <v>44552</v>
      </c>
      <c r="C710" s="1" t="n">
        <v>45758</v>
      </c>
      <c r="D710" t="inlineStr">
        <is>
          <t>STOCKHOLMS LÄN</t>
        </is>
      </c>
      <c r="E710" t="inlineStr">
        <is>
          <t>NORRTÄLJE</t>
        </is>
      </c>
      <c r="F710" t="inlineStr">
        <is>
          <t>Övriga Aktiebolag</t>
        </is>
      </c>
      <c r="G710" t="n">
        <v>4</v>
      </c>
      <c r="H710" t="n">
        <v>0</v>
      </c>
      <c r="I710" t="n">
        <v>0</v>
      </c>
      <c r="J710" t="n">
        <v>0</v>
      </c>
      <c r="K710" t="n">
        <v>0</v>
      </c>
      <c r="L710" t="n">
        <v>0</v>
      </c>
      <c r="M710" t="n">
        <v>0</v>
      </c>
      <c r="N710" t="n">
        <v>0</v>
      </c>
      <c r="O710" t="n">
        <v>0</v>
      </c>
      <c r="P710" t="n">
        <v>0</v>
      </c>
      <c r="Q710" t="n">
        <v>0</v>
      </c>
      <c r="R710" s="2" t="inlineStr"/>
    </row>
    <row r="711" ht="15" customHeight="1">
      <c r="A711" t="inlineStr">
        <is>
          <t>A 73992-2021</t>
        </is>
      </c>
      <c r="B711" s="1" t="n">
        <v>44556</v>
      </c>
      <c r="C711" s="1" t="n">
        <v>45758</v>
      </c>
      <c r="D711" t="inlineStr">
        <is>
          <t>STOCKHOLMS LÄN</t>
        </is>
      </c>
      <c r="E711" t="inlineStr">
        <is>
          <t>NORRTÄLJE</t>
        </is>
      </c>
      <c r="G711" t="n">
        <v>12.5</v>
      </c>
      <c r="H711" t="n">
        <v>0</v>
      </c>
      <c r="I711" t="n">
        <v>0</v>
      </c>
      <c r="J711" t="n">
        <v>0</v>
      </c>
      <c r="K711" t="n">
        <v>0</v>
      </c>
      <c r="L711" t="n">
        <v>0</v>
      </c>
      <c r="M711" t="n">
        <v>0</v>
      </c>
      <c r="N711" t="n">
        <v>0</v>
      </c>
      <c r="O711" t="n">
        <v>0</v>
      </c>
      <c r="P711" t="n">
        <v>0</v>
      </c>
      <c r="Q711" t="n">
        <v>0</v>
      </c>
      <c r="R711" s="2" t="inlineStr"/>
    </row>
    <row r="712" ht="15" customHeight="1">
      <c r="A712" t="inlineStr">
        <is>
          <t>A 73993-2021</t>
        </is>
      </c>
      <c r="B712" s="1" t="n">
        <v>44556</v>
      </c>
      <c r="C712" s="1" t="n">
        <v>45758</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74468-2021</t>
        </is>
      </c>
      <c r="B713" s="1" t="n">
        <v>44560</v>
      </c>
      <c r="C713" s="1" t="n">
        <v>45758</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185-2022</t>
        </is>
      </c>
      <c r="B714" s="1" t="n">
        <v>44564</v>
      </c>
      <c r="C714" s="1" t="n">
        <v>45758</v>
      </c>
      <c r="D714" t="inlineStr">
        <is>
          <t>STOCKHOLMS LÄN</t>
        </is>
      </c>
      <c r="E714" t="inlineStr">
        <is>
          <t>NORRTÄLJE</t>
        </is>
      </c>
      <c r="G714" t="n">
        <v>3.8</v>
      </c>
      <c r="H714" t="n">
        <v>0</v>
      </c>
      <c r="I714" t="n">
        <v>0</v>
      </c>
      <c r="J714" t="n">
        <v>0</v>
      </c>
      <c r="K714" t="n">
        <v>0</v>
      </c>
      <c r="L714" t="n">
        <v>0</v>
      </c>
      <c r="M714" t="n">
        <v>0</v>
      </c>
      <c r="N714" t="n">
        <v>0</v>
      </c>
      <c r="O714" t="n">
        <v>0</v>
      </c>
      <c r="P714" t="n">
        <v>0</v>
      </c>
      <c r="Q714" t="n">
        <v>0</v>
      </c>
      <c r="R714" s="2" t="inlineStr"/>
    </row>
    <row r="715" ht="15" customHeight="1">
      <c r="A715" t="inlineStr">
        <is>
          <t>A 190-2022</t>
        </is>
      </c>
      <c r="B715" s="1" t="n">
        <v>44564</v>
      </c>
      <c r="C715" s="1" t="n">
        <v>45758</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187-2022</t>
        </is>
      </c>
      <c r="B716" s="1" t="n">
        <v>44564</v>
      </c>
      <c r="C716" s="1" t="n">
        <v>45758</v>
      </c>
      <c r="D716" t="inlineStr">
        <is>
          <t>STOCKHOLMS LÄN</t>
        </is>
      </c>
      <c r="E716" t="inlineStr">
        <is>
          <t>NORRTÄLJE</t>
        </is>
      </c>
      <c r="G716" t="n">
        <v>2.6</v>
      </c>
      <c r="H716" t="n">
        <v>0</v>
      </c>
      <c r="I716" t="n">
        <v>0</v>
      </c>
      <c r="J716" t="n">
        <v>0</v>
      </c>
      <c r="K716" t="n">
        <v>0</v>
      </c>
      <c r="L716" t="n">
        <v>0</v>
      </c>
      <c r="M716" t="n">
        <v>0</v>
      </c>
      <c r="N716" t="n">
        <v>0</v>
      </c>
      <c r="O716" t="n">
        <v>0</v>
      </c>
      <c r="P716" t="n">
        <v>0</v>
      </c>
      <c r="Q716" t="n">
        <v>0</v>
      </c>
      <c r="R716" s="2" t="inlineStr"/>
    </row>
    <row r="717" ht="15" customHeight="1">
      <c r="A717" t="inlineStr">
        <is>
          <t>A 77-2022</t>
        </is>
      </c>
      <c r="B717" s="1" t="n">
        <v>44564</v>
      </c>
      <c r="C717" s="1" t="n">
        <v>45758</v>
      </c>
      <c r="D717" t="inlineStr">
        <is>
          <t>STOCKHOLMS LÄN</t>
        </is>
      </c>
      <c r="E717" t="inlineStr">
        <is>
          <t>NORRTÄLJE</t>
        </is>
      </c>
      <c r="G717" t="n">
        <v>4.1</v>
      </c>
      <c r="H717" t="n">
        <v>0</v>
      </c>
      <c r="I717" t="n">
        <v>0</v>
      </c>
      <c r="J717" t="n">
        <v>0</v>
      </c>
      <c r="K717" t="n">
        <v>0</v>
      </c>
      <c r="L717" t="n">
        <v>0</v>
      </c>
      <c r="M717" t="n">
        <v>0</v>
      </c>
      <c r="N717" t="n">
        <v>0</v>
      </c>
      <c r="O717" t="n">
        <v>0</v>
      </c>
      <c r="P717" t="n">
        <v>0</v>
      </c>
      <c r="Q717" t="n">
        <v>0</v>
      </c>
      <c r="R717" s="2" t="inlineStr"/>
    </row>
    <row r="718" ht="15" customHeight="1">
      <c r="A718" t="inlineStr">
        <is>
          <t>A 1058-2022</t>
        </is>
      </c>
      <c r="B718" s="1" t="n">
        <v>44571</v>
      </c>
      <c r="C718" s="1" t="n">
        <v>45758</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1051-2022</t>
        </is>
      </c>
      <c r="B719" s="1" t="n">
        <v>44571</v>
      </c>
      <c r="C719" s="1" t="n">
        <v>45758</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1054-2022</t>
        </is>
      </c>
      <c r="B720" s="1" t="n">
        <v>44571</v>
      </c>
      <c r="C720" s="1" t="n">
        <v>45758</v>
      </c>
      <c r="D720" t="inlineStr">
        <is>
          <t>STOCKHOLMS LÄN</t>
        </is>
      </c>
      <c r="E720" t="inlineStr">
        <is>
          <t>NORRTÄLJE</t>
        </is>
      </c>
      <c r="G720" t="n">
        <v>5</v>
      </c>
      <c r="H720" t="n">
        <v>0</v>
      </c>
      <c r="I720" t="n">
        <v>0</v>
      </c>
      <c r="J720" t="n">
        <v>0</v>
      </c>
      <c r="K720" t="n">
        <v>0</v>
      </c>
      <c r="L720" t="n">
        <v>0</v>
      </c>
      <c r="M720" t="n">
        <v>0</v>
      </c>
      <c r="N720" t="n">
        <v>0</v>
      </c>
      <c r="O720" t="n">
        <v>0</v>
      </c>
      <c r="P720" t="n">
        <v>0</v>
      </c>
      <c r="Q720" t="n">
        <v>0</v>
      </c>
      <c r="R720" s="2" t="inlineStr"/>
    </row>
    <row r="721" ht="15" customHeight="1">
      <c r="A721" t="inlineStr">
        <is>
          <t>A 1229-2022</t>
        </is>
      </c>
      <c r="B721" s="1" t="n">
        <v>44572</v>
      </c>
      <c r="C721" s="1" t="n">
        <v>45758</v>
      </c>
      <c r="D721" t="inlineStr">
        <is>
          <t>STOCKHOLMS LÄN</t>
        </is>
      </c>
      <c r="E721" t="inlineStr">
        <is>
          <t>NORRTÄLJE</t>
        </is>
      </c>
      <c r="G721" t="n">
        <v>11.5</v>
      </c>
      <c r="H721" t="n">
        <v>0</v>
      </c>
      <c r="I721" t="n">
        <v>0</v>
      </c>
      <c r="J721" t="n">
        <v>0</v>
      </c>
      <c r="K721" t="n">
        <v>0</v>
      </c>
      <c r="L721" t="n">
        <v>0</v>
      </c>
      <c r="M721" t="n">
        <v>0</v>
      </c>
      <c r="N721" t="n">
        <v>0</v>
      </c>
      <c r="O721" t="n">
        <v>0</v>
      </c>
      <c r="P721" t="n">
        <v>0</v>
      </c>
      <c r="Q721" t="n">
        <v>0</v>
      </c>
      <c r="R721" s="2" t="inlineStr"/>
    </row>
    <row r="722" ht="15" customHeight="1">
      <c r="A722" t="inlineStr">
        <is>
          <t>A 1704-2022</t>
        </is>
      </c>
      <c r="B722" s="1" t="n">
        <v>44574</v>
      </c>
      <c r="C722" s="1" t="n">
        <v>45758</v>
      </c>
      <c r="D722" t="inlineStr">
        <is>
          <t>STOCKHOLMS LÄN</t>
        </is>
      </c>
      <c r="E722" t="inlineStr">
        <is>
          <t>NORRTÄLJE</t>
        </is>
      </c>
      <c r="G722" t="n">
        <v>6.2</v>
      </c>
      <c r="H722" t="n">
        <v>0</v>
      </c>
      <c r="I722" t="n">
        <v>0</v>
      </c>
      <c r="J722" t="n">
        <v>0</v>
      </c>
      <c r="K722" t="n">
        <v>0</v>
      </c>
      <c r="L722" t="n">
        <v>0</v>
      </c>
      <c r="M722" t="n">
        <v>0</v>
      </c>
      <c r="N722" t="n">
        <v>0</v>
      </c>
      <c r="O722" t="n">
        <v>0</v>
      </c>
      <c r="P722" t="n">
        <v>0</v>
      </c>
      <c r="Q722" t="n">
        <v>0</v>
      </c>
      <c r="R722" s="2" t="inlineStr"/>
    </row>
    <row r="723" ht="15" customHeight="1">
      <c r="A723" t="inlineStr">
        <is>
          <t>A 1968-2022</t>
        </is>
      </c>
      <c r="B723" s="1" t="n">
        <v>44575</v>
      </c>
      <c r="C723" s="1" t="n">
        <v>45758</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2182-2022</t>
        </is>
      </c>
      <c r="B724" s="1" t="n">
        <v>44578</v>
      </c>
      <c r="C724" s="1" t="n">
        <v>45758</v>
      </c>
      <c r="D724" t="inlineStr">
        <is>
          <t>STOCKHOLMS LÄN</t>
        </is>
      </c>
      <c r="E724" t="inlineStr">
        <is>
          <t>NORRTÄLJE</t>
        </is>
      </c>
      <c r="G724" t="n">
        <v>7.2</v>
      </c>
      <c r="H724" t="n">
        <v>0</v>
      </c>
      <c r="I724" t="n">
        <v>0</v>
      </c>
      <c r="J724" t="n">
        <v>0</v>
      </c>
      <c r="K724" t="n">
        <v>0</v>
      </c>
      <c r="L724" t="n">
        <v>0</v>
      </c>
      <c r="M724" t="n">
        <v>0</v>
      </c>
      <c r="N724" t="n">
        <v>0</v>
      </c>
      <c r="O724" t="n">
        <v>0</v>
      </c>
      <c r="P724" t="n">
        <v>0</v>
      </c>
      <c r="Q724" t="n">
        <v>0</v>
      </c>
      <c r="R724" s="2" t="inlineStr"/>
    </row>
    <row r="725" ht="15" customHeight="1">
      <c r="A725" t="inlineStr">
        <is>
          <t>A 2549-2022</t>
        </is>
      </c>
      <c r="B725" s="1" t="n">
        <v>44580</v>
      </c>
      <c r="C725" s="1" t="n">
        <v>45758</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2732-2022</t>
        </is>
      </c>
      <c r="B726" s="1" t="n">
        <v>44580</v>
      </c>
      <c r="C726" s="1" t="n">
        <v>45758</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2888-2022</t>
        </is>
      </c>
      <c r="B727" s="1" t="n">
        <v>44581</v>
      </c>
      <c r="C727" s="1" t="n">
        <v>45758</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2977-2022</t>
        </is>
      </c>
      <c r="B728" s="1" t="n">
        <v>44581</v>
      </c>
      <c r="C728" s="1" t="n">
        <v>45758</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3300-2022</t>
        </is>
      </c>
      <c r="B729" s="1" t="n">
        <v>44584</v>
      </c>
      <c r="C729" s="1" t="n">
        <v>45758</v>
      </c>
      <c r="D729" t="inlineStr">
        <is>
          <t>STOCKHOLMS LÄN</t>
        </is>
      </c>
      <c r="E729" t="inlineStr">
        <is>
          <t>NORRTÄLJE</t>
        </is>
      </c>
      <c r="G729" t="n">
        <v>0.4</v>
      </c>
      <c r="H729" t="n">
        <v>0</v>
      </c>
      <c r="I729" t="n">
        <v>0</v>
      </c>
      <c r="J729" t="n">
        <v>0</v>
      </c>
      <c r="K729" t="n">
        <v>0</v>
      </c>
      <c r="L729" t="n">
        <v>0</v>
      </c>
      <c r="M729" t="n">
        <v>0</v>
      </c>
      <c r="N729" t="n">
        <v>0</v>
      </c>
      <c r="O729" t="n">
        <v>0</v>
      </c>
      <c r="P729" t="n">
        <v>0</v>
      </c>
      <c r="Q729" t="n">
        <v>0</v>
      </c>
      <c r="R729" s="2" t="inlineStr"/>
    </row>
    <row r="730" ht="15" customHeight="1">
      <c r="A730" t="inlineStr">
        <is>
          <t>A 3310-2022</t>
        </is>
      </c>
      <c r="B730" s="1" t="n">
        <v>44584</v>
      </c>
      <c r="C730" s="1" t="n">
        <v>45758</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3396-2022</t>
        </is>
      </c>
      <c r="B731" s="1" t="n">
        <v>44585</v>
      </c>
      <c r="C731" s="1" t="n">
        <v>45758</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3509-2022</t>
        </is>
      </c>
      <c r="B732" s="1" t="n">
        <v>44585</v>
      </c>
      <c r="C732" s="1" t="n">
        <v>45758</v>
      </c>
      <c r="D732" t="inlineStr">
        <is>
          <t>STOCKHOLMS LÄN</t>
        </is>
      </c>
      <c r="E732" t="inlineStr">
        <is>
          <t>NORRTÄLJE</t>
        </is>
      </c>
      <c r="F732" t="inlineStr">
        <is>
          <t>Kommuner</t>
        </is>
      </c>
      <c r="G732" t="n">
        <v>0.8</v>
      </c>
      <c r="H732" t="n">
        <v>0</v>
      </c>
      <c r="I732" t="n">
        <v>0</v>
      </c>
      <c r="J732" t="n">
        <v>0</v>
      </c>
      <c r="K732" t="n">
        <v>0</v>
      </c>
      <c r="L732" t="n">
        <v>0</v>
      </c>
      <c r="M732" t="n">
        <v>0</v>
      </c>
      <c r="N732" t="n">
        <v>0</v>
      </c>
      <c r="O732" t="n">
        <v>0</v>
      </c>
      <c r="P732" t="n">
        <v>0</v>
      </c>
      <c r="Q732" t="n">
        <v>0</v>
      </c>
      <c r="R732" s="2" t="inlineStr"/>
    </row>
    <row r="733" ht="15" customHeight="1">
      <c r="A733" t="inlineStr">
        <is>
          <t>A 4860-2022</t>
        </is>
      </c>
      <c r="B733" s="1" t="n">
        <v>44592</v>
      </c>
      <c r="C733" s="1" t="n">
        <v>45758</v>
      </c>
      <c r="D733" t="inlineStr">
        <is>
          <t>STOCKHOLMS LÄN</t>
        </is>
      </c>
      <c r="E733" t="inlineStr">
        <is>
          <t>NORRTÄLJE</t>
        </is>
      </c>
      <c r="G733" t="n">
        <v>22.3</v>
      </c>
      <c r="H733" t="n">
        <v>0</v>
      </c>
      <c r="I733" t="n">
        <v>0</v>
      </c>
      <c r="J733" t="n">
        <v>0</v>
      </c>
      <c r="K733" t="n">
        <v>0</v>
      </c>
      <c r="L733" t="n">
        <v>0</v>
      </c>
      <c r="M733" t="n">
        <v>0</v>
      </c>
      <c r="N733" t="n">
        <v>0</v>
      </c>
      <c r="O733" t="n">
        <v>0</v>
      </c>
      <c r="P733" t="n">
        <v>0</v>
      </c>
      <c r="Q733" t="n">
        <v>0</v>
      </c>
      <c r="R733" s="2" t="inlineStr"/>
    </row>
    <row r="734" ht="15" customHeight="1">
      <c r="A734" t="inlineStr">
        <is>
          <t>A 5351-2022</t>
        </is>
      </c>
      <c r="B734" s="1" t="n">
        <v>44594</v>
      </c>
      <c r="C734" s="1" t="n">
        <v>45758</v>
      </c>
      <c r="D734" t="inlineStr">
        <is>
          <t>STOCKHOLMS LÄN</t>
        </is>
      </c>
      <c r="E734" t="inlineStr">
        <is>
          <t>NORRTÄLJE</t>
        </is>
      </c>
      <c r="G734" t="n">
        <v>4</v>
      </c>
      <c r="H734" t="n">
        <v>0</v>
      </c>
      <c r="I734" t="n">
        <v>0</v>
      </c>
      <c r="J734" t="n">
        <v>0</v>
      </c>
      <c r="K734" t="n">
        <v>0</v>
      </c>
      <c r="L734" t="n">
        <v>0</v>
      </c>
      <c r="M734" t="n">
        <v>0</v>
      </c>
      <c r="N734" t="n">
        <v>0</v>
      </c>
      <c r="O734" t="n">
        <v>0</v>
      </c>
      <c r="P734" t="n">
        <v>0</v>
      </c>
      <c r="Q734" t="n">
        <v>0</v>
      </c>
      <c r="R734" s="2" t="inlineStr"/>
    </row>
    <row r="735" ht="15" customHeight="1">
      <c r="A735" t="inlineStr">
        <is>
          <t>A 5513-2022</t>
        </is>
      </c>
      <c r="B735" s="1" t="n">
        <v>44595</v>
      </c>
      <c r="C735" s="1" t="n">
        <v>45758</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5611-2022</t>
        </is>
      </c>
      <c r="B736" s="1" t="n">
        <v>44595</v>
      </c>
      <c r="C736" s="1" t="n">
        <v>45758</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5831-2022</t>
        </is>
      </c>
      <c r="B737" s="1" t="n">
        <v>44596</v>
      </c>
      <c r="C737" s="1" t="n">
        <v>45758</v>
      </c>
      <c r="D737" t="inlineStr">
        <is>
          <t>STOCKHOLMS LÄN</t>
        </is>
      </c>
      <c r="E737" t="inlineStr">
        <is>
          <t>NORRTÄLJE</t>
        </is>
      </c>
      <c r="G737" t="n">
        <v>4.8</v>
      </c>
      <c r="H737" t="n">
        <v>0</v>
      </c>
      <c r="I737" t="n">
        <v>0</v>
      </c>
      <c r="J737" t="n">
        <v>0</v>
      </c>
      <c r="K737" t="n">
        <v>0</v>
      </c>
      <c r="L737" t="n">
        <v>0</v>
      </c>
      <c r="M737" t="n">
        <v>0</v>
      </c>
      <c r="N737" t="n">
        <v>0</v>
      </c>
      <c r="O737" t="n">
        <v>0</v>
      </c>
      <c r="P737" t="n">
        <v>0</v>
      </c>
      <c r="Q737" t="n">
        <v>0</v>
      </c>
      <c r="R737" s="2" t="inlineStr"/>
    </row>
    <row r="738" ht="15" customHeight="1">
      <c r="A738" t="inlineStr">
        <is>
          <t>A 5867-2022</t>
        </is>
      </c>
      <c r="B738" s="1" t="n">
        <v>44596</v>
      </c>
      <c r="C738" s="1" t="n">
        <v>45758</v>
      </c>
      <c r="D738" t="inlineStr">
        <is>
          <t>STOCKHOLMS LÄN</t>
        </is>
      </c>
      <c r="E738" t="inlineStr">
        <is>
          <t>NORRTÄLJE</t>
        </is>
      </c>
      <c r="F738" t="inlineStr">
        <is>
          <t>Naturvårdsverket</t>
        </is>
      </c>
      <c r="G738" t="n">
        <v>1.6</v>
      </c>
      <c r="H738" t="n">
        <v>0</v>
      </c>
      <c r="I738" t="n">
        <v>0</v>
      </c>
      <c r="J738" t="n">
        <v>0</v>
      </c>
      <c r="K738" t="n">
        <v>0</v>
      </c>
      <c r="L738" t="n">
        <v>0</v>
      </c>
      <c r="M738" t="n">
        <v>0</v>
      </c>
      <c r="N738" t="n">
        <v>0</v>
      </c>
      <c r="O738" t="n">
        <v>0</v>
      </c>
      <c r="P738" t="n">
        <v>0</v>
      </c>
      <c r="Q738" t="n">
        <v>0</v>
      </c>
      <c r="R738" s="2" t="inlineStr"/>
    </row>
    <row r="739" ht="15" customHeight="1">
      <c r="A739" t="inlineStr">
        <is>
          <t>A 6070-2022</t>
        </is>
      </c>
      <c r="B739" s="1" t="n">
        <v>44599</v>
      </c>
      <c r="C739" s="1" t="n">
        <v>45758</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6332-2022</t>
        </is>
      </c>
      <c r="B740" s="1" t="n">
        <v>44600</v>
      </c>
      <c r="C740" s="1" t="n">
        <v>45758</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7301-2022</t>
        </is>
      </c>
      <c r="B741" s="1" t="n">
        <v>44606</v>
      </c>
      <c r="C741" s="1" t="n">
        <v>45758</v>
      </c>
      <c r="D741" t="inlineStr">
        <is>
          <t>STOCKHOLMS LÄN</t>
        </is>
      </c>
      <c r="E741" t="inlineStr">
        <is>
          <t>NORRTÄLJE</t>
        </is>
      </c>
      <c r="G741" t="n">
        <v>6.1</v>
      </c>
      <c r="H741" t="n">
        <v>0</v>
      </c>
      <c r="I741" t="n">
        <v>0</v>
      </c>
      <c r="J741" t="n">
        <v>0</v>
      </c>
      <c r="K741" t="n">
        <v>0</v>
      </c>
      <c r="L741" t="n">
        <v>0</v>
      </c>
      <c r="M741" t="n">
        <v>0</v>
      </c>
      <c r="N741" t="n">
        <v>0</v>
      </c>
      <c r="O741" t="n">
        <v>0</v>
      </c>
      <c r="P741" t="n">
        <v>0</v>
      </c>
      <c r="Q741" t="n">
        <v>0</v>
      </c>
      <c r="R741" s="2" t="inlineStr"/>
    </row>
    <row r="742" ht="15" customHeight="1">
      <c r="A742" t="inlineStr">
        <is>
          <t>A 7565-2022</t>
        </is>
      </c>
      <c r="B742" s="1" t="n">
        <v>44607</v>
      </c>
      <c r="C742" s="1" t="n">
        <v>45758</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8049-2022</t>
        </is>
      </c>
      <c r="B743" s="1" t="n">
        <v>44609</v>
      </c>
      <c r="C743" s="1" t="n">
        <v>45758</v>
      </c>
      <c r="D743" t="inlineStr">
        <is>
          <t>STOCKHOLMS LÄN</t>
        </is>
      </c>
      <c r="E743" t="inlineStr">
        <is>
          <t>NORRTÄLJE</t>
        </is>
      </c>
      <c r="F743" t="inlineStr">
        <is>
          <t>Holmen skog AB</t>
        </is>
      </c>
      <c r="G743" t="n">
        <v>3</v>
      </c>
      <c r="H743" t="n">
        <v>0</v>
      </c>
      <c r="I743" t="n">
        <v>0</v>
      </c>
      <c r="J743" t="n">
        <v>0</v>
      </c>
      <c r="K743" t="n">
        <v>0</v>
      </c>
      <c r="L743" t="n">
        <v>0</v>
      </c>
      <c r="M743" t="n">
        <v>0</v>
      </c>
      <c r="N743" t="n">
        <v>0</v>
      </c>
      <c r="O743" t="n">
        <v>0</v>
      </c>
      <c r="P743" t="n">
        <v>0</v>
      </c>
      <c r="Q743" t="n">
        <v>0</v>
      </c>
      <c r="R743" s="2" t="inlineStr"/>
    </row>
    <row r="744" ht="15" customHeight="1">
      <c r="A744" t="inlineStr">
        <is>
          <t>A 8160-2022</t>
        </is>
      </c>
      <c r="B744" s="1" t="n">
        <v>44609</v>
      </c>
      <c r="C744" s="1" t="n">
        <v>45758</v>
      </c>
      <c r="D744" t="inlineStr">
        <is>
          <t>STOCKHOLMS LÄN</t>
        </is>
      </c>
      <c r="E744" t="inlineStr">
        <is>
          <t>NORRTÄLJE</t>
        </is>
      </c>
      <c r="G744" t="n">
        <v>3.9</v>
      </c>
      <c r="H744" t="n">
        <v>0</v>
      </c>
      <c r="I744" t="n">
        <v>0</v>
      </c>
      <c r="J744" t="n">
        <v>0</v>
      </c>
      <c r="K744" t="n">
        <v>0</v>
      </c>
      <c r="L744" t="n">
        <v>0</v>
      </c>
      <c r="M744" t="n">
        <v>0</v>
      </c>
      <c r="N744" t="n">
        <v>0</v>
      </c>
      <c r="O744" t="n">
        <v>0</v>
      </c>
      <c r="P744" t="n">
        <v>0</v>
      </c>
      <c r="Q744" t="n">
        <v>0</v>
      </c>
      <c r="R744" s="2" t="inlineStr"/>
    </row>
    <row r="745" ht="15" customHeight="1">
      <c r="A745" t="inlineStr">
        <is>
          <t>A 8433-2022</t>
        </is>
      </c>
      <c r="B745" s="1" t="n">
        <v>44611</v>
      </c>
      <c r="C745" s="1" t="n">
        <v>45758</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9668-2022</t>
        </is>
      </c>
      <c r="B746" s="1" t="n">
        <v>44617</v>
      </c>
      <c r="C746" s="1" t="n">
        <v>45758</v>
      </c>
      <c r="D746" t="inlineStr">
        <is>
          <t>STOCKHOLMS LÄN</t>
        </is>
      </c>
      <c r="E746" t="inlineStr">
        <is>
          <t>NORRTÄLJE</t>
        </is>
      </c>
      <c r="G746" t="n">
        <v>2.6</v>
      </c>
      <c r="H746" t="n">
        <v>0</v>
      </c>
      <c r="I746" t="n">
        <v>0</v>
      </c>
      <c r="J746" t="n">
        <v>0</v>
      </c>
      <c r="K746" t="n">
        <v>0</v>
      </c>
      <c r="L746" t="n">
        <v>0</v>
      </c>
      <c r="M746" t="n">
        <v>0</v>
      </c>
      <c r="N746" t="n">
        <v>0</v>
      </c>
      <c r="O746" t="n">
        <v>0</v>
      </c>
      <c r="P746" t="n">
        <v>0</v>
      </c>
      <c r="Q746" t="n">
        <v>0</v>
      </c>
      <c r="R746" s="2" t="inlineStr"/>
    </row>
    <row r="747" ht="15" customHeight="1">
      <c r="A747" t="inlineStr">
        <is>
          <t>A 9654-2022</t>
        </is>
      </c>
      <c r="B747" s="1" t="n">
        <v>44617</v>
      </c>
      <c r="C747" s="1" t="n">
        <v>45758</v>
      </c>
      <c r="D747" t="inlineStr">
        <is>
          <t>STOCKHOLMS LÄN</t>
        </is>
      </c>
      <c r="E747" t="inlineStr">
        <is>
          <t>NORRTÄLJE</t>
        </is>
      </c>
      <c r="G747" t="n">
        <v>6.4</v>
      </c>
      <c r="H747" t="n">
        <v>0</v>
      </c>
      <c r="I747" t="n">
        <v>0</v>
      </c>
      <c r="J747" t="n">
        <v>0</v>
      </c>
      <c r="K747" t="n">
        <v>0</v>
      </c>
      <c r="L747" t="n">
        <v>0</v>
      </c>
      <c r="M747" t="n">
        <v>0</v>
      </c>
      <c r="N747" t="n">
        <v>0</v>
      </c>
      <c r="O747" t="n">
        <v>0</v>
      </c>
      <c r="P747" t="n">
        <v>0</v>
      </c>
      <c r="Q747" t="n">
        <v>0</v>
      </c>
      <c r="R747" s="2" t="inlineStr"/>
    </row>
    <row r="748" ht="15" customHeight="1">
      <c r="A748" t="inlineStr">
        <is>
          <t>A 9749-2022</t>
        </is>
      </c>
      <c r="B748" s="1" t="n">
        <v>44618</v>
      </c>
      <c r="C748" s="1" t="n">
        <v>45758</v>
      </c>
      <c r="D748" t="inlineStr">
        <is>
          <t>STOCKHOLMS LÄN</t>
        </is>
      </c>
      <c r="E748" t="inlineStr">
        <is>
          <t>NORRTÄLJE</t>
        </is>
      </c>
      <c r="G748" t="n">
        <v>7.2</v>
      </c>
      <c r="H748" t="n">
        <v>0</v>
      </c>
      <c r="I748" t="n">
        <v>0</v>
      </c>
      <c r="J748" t="n">
        <v>0</v>
      </c>
      <c r="K748" t="n">
        <v>0</v>
      </c>
      <c r="L748" t="n">
        <v>0</v>
      </c>
      <c r="M748" t="n">
        <v>0</v>
      </c>
      <c r="N748" t="n">
        <v>0</v>
      </c>
      <c r="O748" t="n">
        <v>0</v>
      </c>
      <c r="P748" t="n">
        <v>0</v>
      </c>
      <c r="Q748" t="n">
        <v>0</v>
      </c>
      <c r="R748" s="2" t="inlineStr"/>
    </row>
    <row r="749" ht="15" customHeight="1">
      <c r="A749" t="inlineStr">
        <is>
          <t>A 9988-2022</t>
        </is>
      </c>
      <c r="B749" s="1" t="n">
        <v>44621</v>
      </c>
      <c r="C749" s="1" t="n">
        <v>45758</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10090-2022</t>
        </is>
      </c>
      <c r="B750" s="1" t="n">
        <v>44621</v>
      </c>
      <c r="C750" s="1" t="n">
        <v>45758</v>
      </c>
      <c r="D750" t="inlineStr">
        <is>
          <t>STOCKHOLMS LÄN</t>
        </is>
      </c>
      <c r="E750" t="inlineStr">
        <is>
          <t>NORRTÄLJE</t>
        </is>
      </c>
      <c r="G750" t="n">
        <v>5.2</v>
      </c>
      <c r="H750" t="n">
        <v>0</v>
      </c>
      <c r="I750" t="n">
        <v>0</v>
      </c>
      <c r="J750" t="n">
        <v>0</v>
      </c>
      <c r="K750" t="n">
        <v>0</v>
      </c>
      <c r="L750" t="n">
        <v>0</v>
      </c>
      <c r="M750" t="n">
        <v>0</v>
      </c>
      <c r="N750" t="n">
        <v>0</v>
      </c>
      <c r="O750" t="n">
        <v>0</v>
      </c>
      <c r="P750" t="n">
        <v>0</v>
      </c>
      <c r="Q750" t="n">
        <v>0</v>
      </c>
      <c r="R750" s="2" t="inlineStr"/>
    </row>
    <row r="751" ht="15" customHeight="1">
      <c r="A751" t="inlineStr">
        <is>
          <t>A 10098-2022</t>
        </is>
      </c>
      <c r="B751" s="1" t="n">
        <v>44621</v>
      </c>
      <c r="C751" s="1" t="n">
        <v>45758</v>
      </c>
      <c r="D751" t="inlineStr">
        <is>
          <t>STOCKHOLMS LÄN</t>
        </is>
      </c>
      <c r="E751" t="inlineStr">
        <is>
          <t>NORRTÄLJE</t>
        </is>
      </c>
      <c r="G751" t="n">
        <v>2.2</v>
      </c>
      <c r="H751" t="n">
        <v>0</v>
      </c>
      <c r="I751" t="n">
        <v>0</v>
      </c>
      <c r="J751" t="n">
        <v>0</v>
      </c>
      <c r="K751" t="n">
        <v>0</v>
      </c>
      <c r="L751" t="n">
        <v>0</v>
      </c>
      <c r="M751" t="n">
        <v>0</v>
      </c>
      <c r="N751" t="n">
        <v>0</v>
      </c>
      <c r="O751" t="n">
        <v>0</v>
      </c>
      <c r="P751" t="n">
        <v>0</v>
      </c>
      <c r="Q751" t="n">
        <v>0</v>
      </c>
      <c r="R751" s="2" t="inlineStr"/>
    </row>
    <row r="752" ht="15" customHeight="1">
      <c r="A752" t="inlineStr">
        <is>
          <t>A 10521-2022</t>
        </is>
      </c>
      <c r="B752" s="1" t="n">
        <v>44623</v>
      </c>
      <c r="C752" s="1" t="n">
        <v>45758</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10653-2022</t>
        </is>
      </c>
      <c r="B753" s="1" t="n">
        <v>44624</v>
      </c>
      <c r="C753" s="1" t="n">
        <v>45758</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10710-2022</t>
        </is>
      </c>
      <c r="B754" s="1" t="n">
        <v>44626</v>
      </c>
      <c r="C754" s="1" t="n">
        <v>45758</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10711-2022</t>
        </is>
      </c>
      <c r="B755" s="1" t="n">
        <v>44626</v>
      </c>
      <c r="C755" s="1" t="n">
        <v>45758</v>
      </c>
      <c r="D755" t="inlineStr">
        <is>
          <t>STOCKHOLMS LÄN</t>
        </is>
      </c>
      <c r="E755" t="inlineStr">
        <is>
          <t>NORRTÄLJE</t>
        </is>
      </c>
      <c r="G755" t="n">
        <v>0.4</v>
      </c>
      <c r="H755" t="n">
        <v>0</v>
      </c>
      <c r="I755" t="n">
        <v>0</v>
      </c>
      <c r="J755" t="n">
        <v>0</v>
      </c>
      <c r="K755" t="n">
        <v>0</v>
      </c>
      <c r="L755" t="n">
        <v>0</v>
      </c>
      <c r="M755" t="n">
        <v>0</v>
      </c>
      <c r="N755" t="n">
        <v>0</v>
      </c>
      <c r="O755" t="n">
        <v>0</v>
      </c>
      <c r="P755" t="n">
        <v>0</v>
      </c>
      <c r="Q755" t="n">
        <v>0</v>
      </c>
      <c r="R755" s="2" t="inlineStr"/>
    </row>
    <row r="756" ht="15" customHeight="1">
      <c r="A756" t="inlineStr">
        <is>
          <t>A 11150-2022</t>
        </is>
      </c>
      <c r="B756" s="1" t="n">
        <v>44629</v>
      </c>
      <c r="C756" s="1" t="n">
        <v>45758</v>
      </c>
      <c r="D756" t="inlineStr">
        <is>
          <t>STOCKHOLMS LÄN</t>
        </is>
      </c>
      <c r="E756" t="inlineStr">
        <is>
          <t>NORRTÄLJE</t>
        </is>
      </c>
      <c r="F756" t="inlineStr">
        <is>
          <t>Övriga Aktiebolag</t>
        </is>
      </c>
      <c r="G756" t="n">
        <v>6.5</v>
      </c>
      <c r="H756" t="n">
        <v>0</v>
      </c>
      <c r="I756" t="n">
        <v>0</v>
      </c>
      <c r="J756" t="n">
        <v>0</v>
      </c>
      <c r="K756" t="n">
        <v>0</v>
      </c>
      <c r="L756" t="n">
        <v>0</v>
      </c>
      <c r="M756" t="n">
        <v>0</v>
      </c>
      <c r="N756" t="n">
        <v>0</v>
      </c>
      <c r="O756" t="n">
        <v>0</v>
      </c>
      <c r="P756" t="n">
        <v>0</v>
      </c>
      <c r="Q756" t="n">
        <v>0</v>
      </c>
      <c r="R756" s="2" t="inlineStr"/>
    </row>
    <row r="757" ht="15" customHeight="1">
      <c r="A757" t="inlineStr">
        <is>
          <t>A 11229-2022</t>
        </is>
      </c>
      <c r="B757" s="1" t="n">
        <v>44629</v>
      </c>
      <c r="C757" s="1" t="n">
        <v>45758</v>
      </c>
      <c r="D757" t="inlineStr">
        <is>
          <t>STOCKHOLMS LÄN</t>
        </is>
      </c>
      <c r="E757" t="inlineStr">
        <is>
          <t>NORRTÄLJE</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11533-2022</t>
        </is>
      </c>
      <c r="B758" s="1" t="n">
        <v>44631</v>
      </c>
      <c r="C758" s="1" t="n">
        <v>45758</v>
      </c>
      <c r="D758" t="inlineStr">
        <is>
          <t>STOCKHOLMS LÄN</t>
        </is>
      </c>
      <c r="E758" t="inlineStr">
        <is>
          <t>NORRTÄLJE</t>
        </is>
      </c>
      <c r="G758" t="n">
        <v>3.6</v>
      </c>
      <c r="H758" t="n">
        <v>0</v>
      </c>
      <c r="I758" t="n">
        <v>0</v>
      </c>
      <c r="J758" t="n">
        <v>0</v>
      </c>
      <c r="K758" t="n">
        <v>0</v>
      </c>
      <c r="L758" t="n">
        <v>0</v>
      </c>
      <c r="M758" t="n">
        <v>0</v>
      </c>
      <c r="N758" t="n">
        <v>0</v>
      </c>
      <c r="O758" t="n">
        <v>0</v>
      </c>
      <c r="P758" t="n">
        <v>0</v>
      </c>
      <c r="Q758" t="n">
        <v>0</v>
      </c>
      <c r="R758" s="2" t="inlineStr"/>
    </row>
    <row r="759" ht="15" customHeight="1">
      <c r="A759" t="inlineStr">
        <is>
          <t>A 11821-2022</t>
        </is>
      </c>
      <c r="B759" s="1" t="n">
        <v>44634</v>
      </c>
      <c r="C759" s="1" t="n">
        <v>45758</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11900-2022</t>
        </is>
      </c>
      <c r="B760" s="1" t="n">
        <v>44635</v>
      </c>
      <c r="C760" s="1" t="n">
        <v>45758</v>
      </c>
      <c r="D760" t="inlineStr">
        <is>
          <t>STOCKHOLMS LÄN</t>
        </is>
      </c>
      <c r="E760" t="inlineStr">
        <is>
          <t>NORRTÄLJE</t>
        </is>
      </c>
      <c r="G760" t="n">
        <v>2.4</v>
      </c>
      <c r="H760" t="n">
        <v>0</v>
      </c>
      <c r="I760" t="n">
        <v>0</v>
      </c>
      <c r="J760" t="n">
        <v>0</v>
      </c>
      <c r="K760" t="n">
        <v>0</v>
      </c>
      <c r="L760" t="n">
        <v>0</v>
      </c>
      <c r="M760" t="n">
        <v>0</v>
      </c>
      <c r="N760" t="n">
        <v>0</v>
      </c>
      <c r="O760" t="n">
        <v>0</v>
      </c>
      <c r="P760" t="n">
        <v>0</v>
      </c>
      <c r="Q760" t="n">
        <v>0</v>
      </c>
      <c r="R760" s="2" t="inlineStr"/>
    </row>
    <row r="761" ht="15" customHeight="1">
      <c r="A761" t="inlineStr">
        <is>
          <t>A 12355-2022</t>
        </is>
      </c>
      <c r="B761" s="1" t="n">
        <v>44637</v>
      </c>
      <c r="C761" s="1" t="n">
        <v>45758</v>
      </c>
      <c r="D761" t="inlineStr">
        <is>
          <t>STOCKHOLMS LÄN</t>
        </is>
      </c>
      <c r="E761" t="inlineStr">
        <is>
          <t>NORRTÄLJE</t>
        </is>
      </c>
      <c r="G761" t="n">
        <v>10.4</v>
      </c>
      <c r="H761" t="n">
        <v>0</v>
      </c>
      <c r="I761" t="n">
        <v>0</v>
      </c>
      <c r="J761" t="n">
        <v>0</v>
      </c>
      <c r="K761" t="n">
        <v>0</v>
      </c>
      <c r="L761" t="n">
        <v>0</v>
      </c>
      <c r="M761" t="n">
        <v>0</v>
      </c>
      <c r="N761" t="n">
        <v>0</v>
      </c>
      <c r="O761" t="n">
        <v>0</v>
      </c>
      <c r="P761" t="n">
        <v>0</v>
      </c>
      <c r="Q761" t="n">
        <v>0</v>
      </c>
      <c r="R761" s="2" t="inlineStr"/>
    </row>
    <row r="762" ht="15" customHeight="1">
      <c r="A762" t="inlineStr">
        <is>
          <t>A 12270-2022</t>
        </is>
      </c>
      <c r="B762" s="1" t="n">
        <v>44637</v>
      </c>
      <c r="C762" s="1" t="n">
        <v>45758</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12314-2022</t>
        </is>
      </c>
      <c r="B763" s="1" t="n">
        <v>44637</v>
      </c>
      <c r="C763" s="1" t="n">
        <v>45758</v>
      </c>
      <c r="D763" t="inlineStr">
        <is>
          <t>STOCKHOLMS LÄN</t>
        </is>
      </c>
      <c r="E763" t="inlineStr">
        <is>
          <t>NORRTÄLJE</t>
        </is>
      </c>
      <c r="G763" t="n">
        <v>1.8</v>
      </c>
      <c r="H763" t="n">
        <v>0</v>
      </c>
      <c r="I763" t="n">
        <v>0</v>
      </c>
      <c r="J763" t="n">
        <v>0</v>
      </c>
      <c r="K763" t="n">
        <v>0</v>
      </c>
      <c r="L763" t="n">
        <v>0</v>
      </c>
      <c r="M763" t="n">
        <v>0</v>
      </c>
      <c r="N763" t="n">
        <v>0</v>
      </c>
      <c r="O763" t="n">
        <v>0</v>
      </c>
      <c r="P763" t="n">
        <v>0</v>
      </c>
      <c r="Q763" t="n">
        <v>0</v>
      </c>
      <c r="R763" s="2" t="inlineStr"/>
    </row>
    <row r="764" ht="15" customHeight="1">
      <c r="A764" t="inlineStr">
        <is>
          <t>A 12268-2022</t>
        </is>
      </c>
      <c r="B764" s="1" t="n">
        <v>44637</v>
      </c>
      <c r="C764" s="1" t="n">
        <v>45758</v>
      </c>
      <c r="D764" t="inlineStr">
        <is>
          <t>STOCKHOLMS LÄN</t>
        </is>
      </c>
      <c r="E764" t="inlineStr">
        <is>
          <t>NORRTÄLJE</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12357-2022</t>
        </is>
      </c>
      <c r="B765" s="1" t="n">
        <v>44637</v>
      </c>
      <c r="C765" s="1" t="n">
        <v>45758</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62765-2022</t>
        </is>
      </c>
      <c r="B766" s="1" t="n">
        <v>44637</v>
      </c>
      <c r="C766" s="1" t="n">
        <v>45758</v>
      </c>
      <c r="D766" t="inlineStr">
        <is>
          <t>STOCKHOLMS LÄN</t>
        </is>
      </c>
      <c r="E766" t="inlineStr">
        <is>
          <t>NORRTÄLJE</t>
        </is>
      </c>
      <c r="G766" t="n">
        <v>2.7</v>
      </c>
      <c r="H766" t="n">
        <v>0</v>
      </c>
      <c r="I766" t="n">
        <v>0</v>
      </c>
      <c r="J766" t="n">
        <v>0</v>
      </c>
      <c r="K766" t="n">
        <v>0</v>
      </c>
      <c r="L766" t="n">
        <v>0</v>
      </c>
      <c r="M766" t="n">
        <v>0</v>
      </c>
      <c r="N766" t="n">
        <v>0</v>
      </c>
      <c r="O766" t="n">
        <v>0</v>
      </c>
      <c r="P766" t="n">
        <v>0</v>
      </c>
      <c r="Q766" t="n">
        <v>0</v>
      </c>
      <c r="R766" s="2" t="inlineStr"/>
    </row>
    <row r="767" ht="15" customHeight="1">
      <c r="A767" t="inlineStr">
        <is>
          <t>A 12874-2022</t>
        </is>
      </c>
      <c r="B767" s="1" t="n">
        <v>44642</v>
      </c>
      <c r="C767" s="1" t="n">
        <v>45758</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12816-2022</t>
        </is>
      </c>
      <c r="B768" s="1" t="n">
        <v>44642</v>
      </c>
      <c r="C768" s="1" t="n">
        <v>45758</v>
      </c>
      <c r="D768" t="inlineStr">
        <is>
          <t>STOCKHOLMS LÄN</t>
        </is>
      </c>
      <c r="E768" t="inlineStr">
        <is>
          <t>NORRTÄLJE</t>
        </is>
      </c>
      <c r="G768" t="n">
        <v>4.4</v>
      </c>
      <c r="H768" t="n">
        <v>0</v>
      </c>
      <c r="I768" t="n">
        <v>0</v>
      </c>
      <c r="J768" t="n">
        <v>0</v>
      </c>
      <c r="K768" t="n">
        <v>0</v>
      </c>
      <c r="L768" t="n">
        <v>0</v>
      </c>
      <c r="M768" t="n">
        <v>0</v>
      </c>
      <c r="N768" t="n">
        <v>0</v>
      </c>
      <c r="O768" t="n">
        <v>0</v>
      </c>
      <c r="P768" t="n">
        <v>0</v>
      </c>
      <c r="Q768" t="n">
        <v>0</v>
      </c>
      <c r="R768" s="2" t="inlineStr"/>
    </row>
    <row r="769" ht="15" customHeight="1">
      <c r="A769" t="inlineStr">
        <is>
          <t>A 12877-2022</t>
        </is>
      </c>
      <c r="B769" s="1" t="n">
        <v>44642</v>
      </c>
      <c r="C769" s="1" t="n">
        <v>45758</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12875-2022</t>
        </is>
      </c>
      <c r="B770" s="1" t="n">
        <v>44642</v>
      </c>
      <c r="C770" s="1" t="n">
        <v>45758</v>
      </c>
      <c r="D770" t="inlineStr">
        <is>
          <t>STOCKHOLMS LÄN</t>
        </is>
      </c>
      <c r="E770" t="inlineStr">
        <is>
          <t>NORRTÄLJE</t>
        </is>
      </c>
      <c r="G770" t="n">
        <v>1.6</v>
      </c>
      <c r="H770" t="n">
        <v>0</v>
      </c>
      <c r="I770" t="n">
        <v>0</v>
      </c>
      <c r="J770" t="n">
        <v>0</v>
      </c>
      <c r="K770" t="n">
        <v>0</v>
      </c>
      <c r="L770" t="n">
        <v>0</v>
      </c>
      <c r="M770" t="n">
        <v>0</v>
      </c>
      <c r="N770" t="n">
        <v>0</v>
      </c>
      <c r="O770" t="n">
        <v>0</v>
      </c>
      <c r="P770" t="n">
        <v>0</v>
      </c>
      <c r="Q770" t="n">
        <v>0</v>
      </c>
      <c r="R770" s="2" t="inlineStr"/>
    </row>
    <row r="771" ht="15" customHeight="1">
      <c r="A771" t="inlineStr">
        <is>
          <t>A 13077-2022</t>
        </is>
      </c>
      <c r="B771" s="1" t="n">
        <v>44643</v>
      </c>
      <c r="C771" s="1" t="n">
        <v>45758</v>
      </c>
      <c r="D771" t="inlineStr">
        <is>
          <t>STOCKHOLMS LÄN</t>
        </is>
      </c>
      <c r="E771" t="inlineStr">
        <is>
          <t>NORRTÄLJE</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13053-2022</t>
        </is>
      </c>
      <c r="B772" s="1" t="n">
        <v>44643</v>
      </c>
      <c r="C772" s="1" t="n">
        <v>45758</v>
      </c>
      <c r="D772" t="inlineStr">
        <is>
          <t>STOCKHOLMS LÄN</t>
        </is>
      </c>
      <c r="E772" t="inlineStr">
        <is>
          <t>NORRTÄLJE</t>
        </is>
      </c>
      <c r="G772" t="n">
        <v>2.8</v>
      </c>
      <c r="H772" t="n">
        <v>0</v>
      </c>
      <c r="I772" t="n">
        <v>0</v>
      </c>
      <c r="J772" t="n">
        <v>0</v>
      </c>
      <c r="K772" t="n">
        <v>0</v>
      </c>
      <c r="L772" t="n">
        <v>0</v>
      </c>
      <c r="M772" t="n">
        <v>0</v>
      </c>
      <c r="N772" t="n">
        <v>0</v>
      </c>
      <c r="O772" t="n">
        <v>0</v>
      </c>
      <c r="P772" t="n">
        <v>0</v>
      </c>
      <c r="Q772" t="n">
        <v>0</v>
      </c>
      <c r="R772" s="2" t="inlineStr"/>
    </row>
    <row r="773" ht="15" customHeight="1">
      <c r="A773" t="inlineStr">
        <is>
          <t>A 13089-2022</t>
        </is>
      </c>
      <c r="B773" s="1" t="n">
        <v>44643</v>
      </c>
      <c r="C773" s="1" t="n">
        <v>45758</v>
      </c>
      <c r="D773" t="inlineStr">
        <is>
          <t>STOCKHOLMS LÄN</t>
        </is>
      </c>
      <c r="E773" t="inlineStr">
        <is>
          <t>NORRTÄLJE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13106-2022</t>
        </is>
      </c>
      <c r="B774" s="1" t="n">
        <v>44644</v>
      </c>
      <c r="C774" s="1" t="n">
        <v>45758</v>
      </c>
      <c r="D774" t="inlineStr">
        <is>
          <t>STOCKHOLMS LÄN</t>
        </is>
      </c>
      <c r="E774" t="inlineStr">
        <is>
          <t>NORRTÄLJE</t>
        </is>
      </c>
      <c r="G774" t="n">
        <v>2.8</v>
      </c>
      <c r="H774" t="n">
        <v>0</v>
      </c>
      <c r="I774" t="n">
        <v>0</v>
      </c>
      <c r="J774" t="n">
        <v>0</v>
      </c>
      <c r="K774" t="n">
        <v>0</v>
      </c>
      <c r="L774" t="n">
        <v>0</v>
      </c>
      <c r="M774" t="n">
        <v>0</v>
      </c>
      <c r="N774" t="n">
        <v>0</v>
      </c>
      <c r="O774" t="n">
        <v>0</v>
      </c>
      <c r="P774" t="n">
        <v>0</v>
      </c>
      <c r="Q774" t="n">
        <v>0</v>
      </c>
      <c r="R774" s="2" t="inlineStr"/>
    </row>
    <row r="775" ht="15" customHeight="1">
      <c r="A775" t="inlineStr">
        <is>
          <t>A 13278-2022</t>
        </is>
      </c>
      <c r="B775" s="1" t="n">
        <v>44644</v>
      </c>
      <c r="C775" s="1" t="n">
        <v>45758</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13276-2022</t>
        </is>
      </c>
      <c r="B776" s="1" t="n">
        <v>44644</v>
      </c>
      <c r="C776" s="1" t="n">
        <v>45758</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13395-2022</t>
        </is>
      </c>
      <c r="B777" s="1" t="n">
        <v>44645</v>
      </c>
      <c r="C777" s="1" t="n">
        <v>45758</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13696-2022</t>
        </is>
      </c>
      <c r="B778" s="1" t="n">
        <v>44648</v>
      </c>
      <c r="C778" s="1" t="n">
        <v>45758</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13701-2022</t>
        </is>
      </c>
      <c r="B779" s="1" t="n">
        <v>44648</v>
      </c>
      <c r="C779" s="1" t="n">
        <v>45758</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13718-2022</t>
        </is>
      </c>
      <c r="B780" s="1" t="n">
        <v>44649</v>
      </c>
      <c r="C780" s="1" t="n">
        <v>45758</v>
      </c>
      <c r="D780" t="inlineStr">
        <is>
          <t>STOCKHOLMS LÄN</t>
        </is>
      </c>
      <c r="E780" t="inlineStr">
        <is>
          <t>NORRTÄLJE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14036-2022</t>
        </is>
      </c>
      <c r="B781" s="1" t="n">
        <v>44650</v>
      </c>
      <c r="C781" s="1" t="n">
        <v>45758</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14033-2022</t>
        </is>
      </c>
      <c r="B782" s="1" t="n">
        <v>44650</v>
      </c>
      <c r="C782" s="1" t="n">
        <v>45758</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14034-2022</t>
        </is>
      </c>
      <c r="B783" s="1" t="n">
        <v>44650</v>
      </c>
      <c r="C783" s="1" t="n">
        <v>45758</v>
      </c>
      <c r="D783" t="inlineStr">
        <is>
          <t>STOCKHOLMS LÄN</t>
        </is>
      </c>
      <c r="E783" t="inlineStr">
        <is>
          <t>NORRTÄLJE</t>
        </is>
      </c>
      <c r="G783" t="n">
        <v>6.1</v>
      </c>
      <c r="H783" t="n">
        <v>0</v>
      </c>
      <c r="I783" t="n">
        <v>0</v>
      </c>
      <c r="J783" t="n">
        <v>0</v>
      </c>
      <c r="K783" t="n">
        <v>0</v>
      </c>
      <c r="L783" t="n">
        <v>0</v>
      </c>
      <c r="M783" t="n">
        <v>0</v>
      </c>
      <c r="N783" t="n">
        <v>0</v>
      </c>
      <c r="O783" t="n">
        <v>0</v>
      </c>
      <c r="P783" t="n">
        <v>0</v>
      </c>
      <c r="Q783" t="n">
        <v>0</v>
      </c>
      <c r="R783" s="2" t="inlineStr"/>
    </row>
    <row r="784" ht="15" customHeight="1">
      <c r="A784" t="inlineStr">
        <is>
          <t>A 14051-2022</t>
        </is>
      </c>
      <c r="B784" s="1" t="n">
        <v>44651</v>
      </c>
      <c r="C784" s="1" t="n">
        <v>45758</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14166-2022</t>
        </is>
      </c>
      <c r="B785" s="1" t="n">
        <v>44651</v>
      </c>
      <c r="C785" s="1" t="n">
        <v>45758</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14543-2022</t>
        </is>
      </c>
      <c r="B786" s="1" t="n">
        <v>44655</v>
      </c>
      <c r="C786" s="1" t="n">
        <v>45758</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14724-2022</t>
        </is>
      </c>
      <c r="B787" s="1" t="n">
        <v>44656</v>
      </c>
      <c r="C787" s="1" t="n">
        <v>45758</v>
      </c>
      <c r="D787" t="inlineStr">
        <is>
          <t>STOCKHOLMS LÄN</t>
        </is>
      </c>
      <c r="E787" t="inlineStr">
        <is>
          <t>NORRTÄLJE</t>
        </is>
      </c>
      <c r="F787" t="inlineStr">
        <is>
          <t>Sveaskog</t>
        </is>
      </c>
      <c r="G787" t="n">
        <v>9</v>
      </c>
      <c r="H787" t="n">
        <v>0</v>
      </c>
      <c r="I787" t="n">
        <v>0</v>
      </c>
      <c r="J787" t="n">
        <v>0</v>
      </c>
      <c r="K787" t="n">
        <v>0</v>
      </c>
      <c r="L787" t="n">
        <v>0</v>
      </c>
      <c r="M787" t="n">
        <v>0</v>
      </c>
      <c r="N787" t="n">
        <v>0</v>
      </c>
      <c r="O787" t="n">
        <v>0</v>
      </c>
      <c r="P787" t="n">
        <v>0</v>
      </c>
      <c r="Q787" t="n">
        <v>0</v>
      </c>
      <c r="R787" s="2" t="inlineStr"/>
    </row>
    <row r="788" ht="15" customHeight="1">
      <c r="A788" t="inlineStr">
        <is>
          <t>A 14716-2022</t>
        </is>
      </c>
      <c r="B788" s="1" t="n">
        <v>44656</v>
      </c>
      <c r="C788" s="1" t="n">
        <v>45758</v>
      </c>
      <c r="D788" t="inlineStr">
        <is>
          <t>STOCKHOLMS LÄN</t>
        </is>
      </c>
      <c r="E788" t="inlineStr">
        <is>
          <t>NORRTÄLJE</t>
        </is>
      </c>
      <c r="F788" t="inlineStr">
        <is>
          <t>Sveaskog</t>
        </is>
      </c>
      <c r="G788" t="n">
        <v>6.5</v>
      </c>
      <c r="H788" t="n">
        <v>0</v>
      </c>
      <c r="I788" t="n">
        <v>0</v>
      </c>
      <c r="J788" t="n">
        <v>0</v>
      </c>
      <c r="K788" t="n">
        <v>0</v>
      </c>
      <c r="L788" t="n">
        <v>0</v>
      </c>
      <c r="M788" t="n">
        <v>0</v>
      </c>
      <c r="N788" t="n">
        <v>0</v>
      </c>
      <c r="O788" t="n">
        <v>0</v>
      </c>
      <c r="P788" t="n">
        <v>0</v>
      </c>
      <c r="Q788" t="n">
        <v>0</v>
      </c>
      <c r="R788" s="2" t="inlineStr"/>
    </row>
    <row r="789" ht="15" customHeight="1">
      <c r="A789" t="inlineStr">
        <is>
          <t>A 14869-2022</t>
        </is>
      </c>
      <c r="B789" s="1" t="n">
        <v>44656</v>
      </c>
      <c r="C789" s="1" t="n">
        <v>45758</v>
      </c>
      <c r="D789" t="inlineStr">
        <is>
          <t>STOCKHOLMS LÄN</t>
        </is>
      </c>
      <c r="E789" t="inlineStr">
        <is>
          <t>NORRTÄLJE</t>
        </is>
      </c>
      <c r="F789" t="inlineStr">
        <is>
          <t>Holmen skog AB</t>
        </is>
      </c>
      <c r="G789" t="n">
        <v>9.1</v>
      </c>
      <c r="H789" t="n">
        <v>0</v>
      </c>
      <c r="I789" t="n">
        <v>0</v>
      </c>
      <c r="J789" t="n">
        <v>0</v>
      </c>
      <c r="K789" t="n">
        <v>0</v>
      </c>
      <c r="L789" t="n">
        <v>0</v>
      </c>
      <c r="M789" t="n">
        <v>0</v>
      </c>
      <c r="N789" t="n">
        <v>0</v>
      </c>
      <c r="O789" t="n">
        <v>0</v>
      </c>
      <c r="P789" t="n">
        <v>0</v>
      </c>
      <c r="Q789" t="n">
        <v>0</v>
      </c>
      <c r="R789" s="2" t="inlineStr"/>
    </row>
    <row r="790" ht="15" customHeight="1">
      <c r="A790" t="inlineStr">
        <is>
          <t>A 15225-2022</t>
        </is>
      </c>
      <c r="B790" s="1" t="n">
        <v>44658</v>
      </c>
      <c r="C790" s="1" t="n">
        <v>45758</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15226-2022</t>
        </is>
      </c>
      <c r="B791" s="1" t="n">
        <v>44658</v>
      </c>
      <c r="C791" s="1" t="n">
        <v>45758</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15861-2022</t>
        </is>
      </c>
      <c r="B792" s="1" t="n">
        <v>44664</v>
      </c>
      <c r="C792" s="1" t="n">
        <v>45758</v>
      </c>
      <c r="D792" t="inlineStr">
        <is>
          <t>STOCKHOLMS LÄN</t>
        </is>
      </c>
      <c r="E792" t="inlineStr">
        <is>
          <t>NORRTÄLJE</t>
        </is>
      </c>
      <c r="G792" t="n">
        <v>10.2</v>
      </c>
      <c r="H792" t="n">
        <v>0</v>
      </c>
      <c r="I792" t="n">
        <v>0</v>
      </c>
      <c r="J792" t="n">
        <v>0</v>
      </c>
      <c r="K792" t="n">
        <v>0</v>
      </c>
      <c r="L792" t="n">
        <v>0</v>
      </c>
      <c r="M792" t="n">
        <v>0</v>
      </c>
      <c r="N792" t="n">
        <v>0</v>
      </c>
      <c r="O792" t="n">
        <v>0</v>
      </c>
      <c r="P792" t="n">
        <v>0</v>
      </c>
      <c r="Q792" t="n">
        <v>0</v>
      </c>
      <c r="R792" s="2" t="inlineStr"/>
    </row>
    <row r="793" ht="15" customHeight="1">
      <c r="A793" t="inlineStr">
        <is>
          <t>A 16117-2022</t>
        </is>
      </c>
      <c r="B793" s="1" t="n">
        <v>44665</v>
      </c>
      <c r="C793" s="1" t="n">
        <v>45758</v>
      </c>
      <c r="D793" t="inlineStr">
        <is>
          <t>STOCKHOLMS LÄN</t>
        </is>
      </c>
      <c r="E793" t="inlineStr">
        <is>
          <t>NORRTÄLJE</t>
        </is>
      </c>
      <c r="G793" t="n">
        <v>8.1</v>
      </c>
      <c r="H793" t="n">
        <v>0</v>
      </c>
      <c r="I793" t="n">
        <v>0</v>
      </c>
      <c r="J793" t="n">
        <v>0</v>
      </c>
      <c r="K793" t="n">
        <v>0</v>
      </c>
      <c r="L793" t="n">
        <v>0</v>
      </c>
      <c r="M793" t="n">
        <v>0</v>
      </c>
      <c r="N793" t="n">
        <v>0</v>
      </c>
      <c r="O793" t="n">
        <v>0</v>
      </c>
      <c r="P793" t="n">
        <v>0</v>
      </c>
      <c r="Q793" t="n">
        <v>0</v>
      </c>
      <c r="R793" s="2" t="inlineStr"/>
    </row>
    <row r="794" ht="15" customHeight="1">
      <c r="A794" t="inlineStr">
        <is>
          <t>A 16119-2022</t>
        </is>
      </c>
      <c r="B794" s="1" t="n">
        <v>44665</v>
      </c>
      <c r="C794" s="1" t="n">
        <v>45758</v>
      </c>
      <c r="D794" t="inlineStr">
        <is>
          <t>STOCKHOLMS LÄN</t>
        </is>
      </c>
      <c r="E794" t="inlineStr">
        <is>
          <t>NORRTÄLJE</t>
        </is>
      </c>
      <c r="G794" t="n">
        <v>3.9</v>
      </c>
      <c r="H794" t="n">
        <v>0</v>
      </c>
      <c r="I794" t="n">
        <v>0</v>
      </c>
      <c r="J794" t="n">
        <v>0</v>
      </c>
      <c r="K794" t="n">
        <v>0</v>
      </c>
      <c r="L794" t="n">
        <v>0</v>
      </c>
      <c r="M794" t="n">
        <v>0</v>
      </c>
      <c r="N794" t="n">
        <v>0</v>
      </c>
      <c r="O794" t="n">
        <v>0</v>
      </c>
      <c r="P794" t="n">
        <v>0</v>
      </c>
      <c r="Q794" t="n">
        <v>0</v>
      </c>
      <c r="R794" s="2" t="inlineStr"/>
    </row>
    <row r="795" ht="15" customHeight="1">
      <c r="A795" t="inlineStr">
        <is>
          <t>A 16132-2022</t>
        </is>
      </c>
      <c r="B795" s="1" t="n">
        <v>44665</v>
      </c>
      <c r="C795" s="1" t="n">
        <v>45758</v>
      </c>
      <c r="D795" t="inlineStr">
        <is>
          <t>STOCKHOLMS LÄN</t>
        </is>
      </c>
      <c r="E795" t="inlineStr">
        <is>
          <t>NORRTÄLJE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16224-2022</t>
        </is>
      </c>
      <c r="B796" s="1" t="n">
        <v>44670</v>
      </c>
      <c r="C796" s="1" t="n">
        <v>45758</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16202-2022</t>
        </is>
      </c>
      <c r="B797" s="1" t="n">
        <v>44670</v>
      </c>
      <c r="C797" s="1" t="n">
        <v>45758</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16229-2022</t>
        </is>
      </c>
      <c r="B798" s="1" t="n">
        <v>44670</v>
      </c>
      <c r="C798" s="1" t="n">
        <v>45758</v>
      </c>
      <c r="D798" t="inlineStr">
        <is>
          <t>STOCKHOLMS LÄN</t>
        </is>
      </c>
      <c r="E798" t="inlineStr">
        <is>
          <t>NORRTÄLJE</t>
        </is>
      </c>
      <c r="G798" t="n">
        <v>7.4</v>
      </c>
      <c r="H798" t="n">
        <v>0</v>
      </c>
      <c r="I798" t="n">
        <v>0</v>
      </c>
      <c r="J798" t="n">
        <v>0</v>
      </c>
      <c r="K798" t="n">
        <v>0</v>
      </c>
      <c r="L798" t="n">
        <v>0</v>
      </c>
      <c r="M798" t="n">
        <v>0</v>
      </c>
      <c r="N798" t="n">
        <v>0</v>
      </c>
      <c r="O798" t="n">
        <v>0</v>
      </c>
      <c r="P798" t="n">
        <v>0</v>
      </c>
      <c r="Q798" t="n">
        <v>0</v>
      </c>
      <c r="R798" s="2" t="inlineStr"/>
    </row>
    <row r="799" ht="15" customHeight="1">
      <c r="A799" t="inlineStr">
        <is>
          <t>A 16442-2022</t>
        </is>
      </c>
      <c r="B799" s="1" t="n">
        <v>44671</v>
      </c>
      <c r="C799" s="1" t="n">
        <v>45758</v>
      </c>
      <c r="D799" t="inlineStr">
        <is>
          <t>STOCKHOLMS LÄN</t>
        </is>
      </c>
      <c r="E799" t="inlineStr">
        <is>
          <t>NORRTÄLJE</t>
        </is>
      </c>
      <c r="G799" t="n">
        <v>4.8</v>
      </c>
      <c r="H799" t="n">
        <v>0</v>
      </c>
      <c r="I799" t="n">
        <v>0</v>
      </c>
      <c r="J799" t="n">
        <v>0</v>
      </c>
      <c r="K799" t="n">
        <v>0</v>
      </c>
      <c r="L799" t="n">
        <v>0</v>
      </c>
      <c r="M799" t="n">
        <v>0</v>
      </c>
      <c r="N799" t="n">
        <v>0</v>
      </c>
      <c r="O799" t="n">
        <v>0</v>
      </c>
      <c r="P799" t="n">
        <v>0</v>
      </c>
      <c r="Q799" t="n">
        <v>0</v>
      </c>
      <c r="R799" s="2" t="inlineStr"/>
    </row>
    <row r="800" ht="15" customHeight="1">
      <c r="A800" t="inlineStr">
        <is>
          <t>A 16534-2022</t>
        </is>
      </c>
      <c r="B800" s="1" t="n">
        <v>44672</v>
      </c>
      <c r="C800" s="1" t="n">
        <v>45758</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16835-2022</t>
        </is>
      </c>
      <c r="B801" s="1" t="n">
        <v>44673</v>
      </c>
      <c r="C801" s="1" t="n">
        <v>45758</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17391-2022</t>
        </is>
      </c>
      <c r="B802" s="1" t="n">
        <v>44678</v>
      </c>
      <c r="C802" s="1" t="n">
        <v>45758</v>
      </c>
      <c r="D802" t="inlineStr">
        <is>
          <t>STOCKHOLMS LÄN</t>
        </is>
      </c>
      <c r="E802" t="inlineStr">
        <is>
          <t>NORRTÄLJE</t>
        </is>
      </c>
      <c r="G802" t="n">
        <v>2.8</v>
      </c>
      <c r="H802" t="n">
        <v>0</v>
      </c>
      <c r="I802" t="n">
        <v>0</v>
      </c>
      <c r="J802" t="n">
        <v>0</v>
      </c>
      <c r="K802" t="n">
        <v>0</v>
      </c>
      <c r="L802" t="n">
        <v>0</v>
      </c>
      <c r="M802" t="n">
        <v>0</v>
      </c>
      <c r="N802" t="n">
        <v>0</v>
      </c>
      <c r="O802" t="n">
        <v>0</v>
      </c>
      <c r="P802" t="n">
        <v>0</v>
      </c>
      <c r="Q802" t="n">
        <v>0</v>
      </c>
      <c r="R802" s="2" t="inlineStr"/>
    </row>
    <row r="803" ht="15" customHeight="1">
      <c r="A803" t="inlineStr">
        <is>
          <t>A 17388-2022</t>
        </is>
      </c>
      <c r="B803" s="1" t="n">
        <v>44678</v>
      </c>
      <c r="C803" s="1" t="n">
        <v>45758</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17390-2022</t>
        </is>
      </c>
      <c r="B804" s="1" t="n">
        <v>44678</v>
      </c>
      <c r="C804" s="1" t="n">
        <v>45758</v>
      </c>
      <c r="D804" t="inlineStr">
        <is>
          <t>STOCKHOLMS LÄN</t>
        </is>
      </c>
      <c r="E804" t="inlineStr">
        <is>
          <t>NORRTÄLJE</t>
        </is>
      </c>
      <c r="G804" t="n">
        <v>4.9</v>
      </c>
      <c r="H804" t="n">
        <v>0</v>
      </c>
      <c r="I804" t="n">
        <v>0</v>
      </c>
      <c r="J804" t="n">
        <v>0</v>
      </c>
      <c r="K804" t="n">
        <v>0</v>
      </c>
      <c r="L804" t="n">
        <v>0</v>
      </c>
      <c r="M804" t="n">
        <v>0</v>
      </c>
      <c r="N804" t="n">
        <v>0</v>
      </c>
      <c r="O804" t="n">
        <v>0</v>
      </c>
      <c r="P804" t="n">
        <v>0</v>
      </c>
      <c r="Q804" t="n">
        <v>0</v>
      </c>
      <c r="R804" s="2" t="inlineStr"/>
    </row>
    <row r="805" ht="15" customHeight="1">
      <c r="A805" t="inlineStr">
        <is>
          <t>A 17612-2022</t>
        </is>
      </c>
      <c r="B805" s="1" t="n">
        <v>44680</v>
      </c>
      <c r="C805" s="1" t="n">
        <v>45758</v>
      </c>
      <c r="D805" t="inlineStr">
        <is>
          <t>STOCKHOLMS LÄN</t>
        </is>
      </c>
      <c r="E805" t="inlineStr">
        <is>
          <t>NORRTÄLJE</t>
        </is>
      </c>
      <c r="G805" t="n">
        <v>2.6</v>
      </c>
      <c r="H805" t="n">
        <v>0</v>
      </c>
      <c r="I805" t="n">
        <v>0</v>
      </c>
      <c r="J805" t="n">
        <v>0</v>
      </c>
      <c r="K805" t="n">
        <v>0</v>
      </c>
      <c r="L805" t="n">
        <v>0</v>
      </c>
      <c r="M805" t="n">
        <v>0</v>
      </c>
      <c r="N805" t="n">
        <v>0</v>
      </c>
      <c r="O805" t="n">
        <v>0</v>
      </c>
      <c r="P805" t="n">
        <v>0</v>
      </c>
      <c r="Q805" t="n">
        <v>0</v>
      </c>
      <c r="R805" s="2" t="inlineStr"/>
    </row>
    <row r="806" ht="15" customHeight="1">
      <c r="A806" t="inlineStr">
        <is>
          <t>A 17629-2022</t>
        </is>
      </c>
      <c r="B806" s="1" t="n">
        <v>44680</v>
      </c>
      <c r="C806" s="1" t="n">
        <v>45758</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17771-2022</t>
        </is>
      </c>
      <c r="B807" s="1" t="n">
        <v>44682</v>
      </c>
      <c r="C807" s="1" t="n">
        <v>45758</v>
      </c>
      <c r="D807" t="inlineStr">
        <is>
          <t>STOCKHOLMS LÄN</t>
        </is>
      </c>
      <c r="E807" t="inlineStr">
        <is>
          <t>NORRTÄLJE</t>
        </is>
      </c>
      <c r="G807" t="n">
        <v>13.3</v>
      </c>
      <c r="H807" t="n">
        <v>0</v>
      </c>
      <c r="I807" t="n">
        <v>0</v>
      </c>
      <c r="J807" t="n">
        <v>0</v>
      </c>
      <c r="K807" t="n">
        <v>0</v>
      </c>
      <c r="L807" t="n">
        <v>0</v>
      </c>
      <c r="M807" t="n">
        <v>0</v>
      </c>
      <c r="N807" t="n">
        <v>0</v>
      </c>
      <c r="O807" t="n">
        <v>0</v>
      </c>
      <c r="P807" t="n">
        <v>0</v>
      </c>
      <c r="Q807" t="n">
        <v>0</v>
      </c>
      <c r="R807" s="2" t="inlineStr"/>
    </row>
    <row r="808" ht="15" customHeight="1">
      <c r="A808" t="inlineStr">
        <is>
          <t>A 17775-2022</t>
        </is>
      </c>
      <c r="B808" s="1" t="n">
        <v>44682</v>
      </c>
      <c r="C808" s="1" t="n">
        <v>45758</v>
      </c>
      <c r="D808" t="inlineStr">
        <is>
          <t>STOCKHOLMS LÄN</t>
        </is>
      </c>
      <c r="E808" t="inlineStr">
        <is>
          <t>NORRTÄLJE</t>
        </is>
      </c>
      <c r="G808" t="n">
        <v>4.7</v>
      </c>
      <c r="H808" t="n">
        <v>0</v>
      </c>
      <c r="I808" t="n">
        <v>0</v>
      </c>
      <c r="J808" t="n">
        <v>0</v>
      </c>
      <c r="K808" t="n">
        <v>0</v>
      </c>
      <c r="L808" t="n">
        <v>0</v>
      </c>
      <c r="M808" t="n">
        <v>0</v>
      </c>
      <c r="N808" t="n">
        <v>0</v>
      </c>
      <c r="O808" t="n">
        <v>0</v>
      </c>
      <c r="P808" t="n">
        <v>0</v>
      </c>
      <c r="Q808" t="n">
        <v>0</v>
      </c>
      <c r="R808" s="2" t="inlineStr"/>
    </row>
    <row r="809" ht="15" customHeight="1">
      <c r="A809" t="inlineStr">
        <is>
          <t>A 17773-2022</t>
        </is>
      </c>
      <c r="B809" s="1" t="n">
        <v>44682</v>
      </c>
      <c r="C809" s="1" t="n">
        <v>45758</v>
      </c>
      <c r="D809" t="inlineStr">
        <is>
          <t>STOCKHOLMS LÄN</t>
        </is>
      </c>
      <c r="E809" t="inlineStr">
        <is>
          <t>NORRTÄLJE</t>
        </is>
      </c>
      <c r="G809" t="n">
        <v>10.8</v>
      </c>
      <c r="H809" t="n">
        <v>0</v>
      </c>
      <c r="I809" t="n">
        <v>0</v>
      </c>
      <c r="J809" t="n">
        <v>0</v>
      </c>
      <c r="K809" t="n">
        <v>0</v>
      </c>
      <c r="L809" t="n">
        <v>0</v>
      </c>
      <c r="M809" t="n">
        <v>0</v>
      </c>
      <c r="N809" t="n">
        <v>0</v>
      </c>
      <c r="O809" t="n">
        <v>0</v>
      </c>
      <c r="P809" t="n">
        <v>0</v>
      </c>
      <c r="Q809" t="n">
        <v>0</v>
      </c>
      <c r="R809" s="2" t="inlineStr"/>
    </row>
    <row r="810" ht="15" customHeight="1">
      <c r="A810" t="inlineStr">
        <is>
          <t>A 17772-2022</t>
        </is>
      </c>
      <c r="B810" s="1" t="n">
        <v>44682</v>
      </c>
      <c r="C810" s="1" t="n">
        <v>45758</v>
      </c>
      <c r="D810" t="inlineStr">
        <is>
          <t>STOCKHOLMS LÄN</t>
        </is>
      </c>
      <c r="E810" t="inlineStr">
        <is>
          <t>NORRTÄLJE</t>
        </is>
      </c>
      <c r="G810" t="n">
        <v>4</v>
      </c>
      <c r="H810" t="n">
        <v>0</v>
      </c>
      <c r="I810" t="n">
        <v>0</v>
      </c>
      <c r="J810" t="n">
        <v>0</v>
      </c>
      <c r="K810" t="n">
        <v>0</v>
      </c>
      <c r="L810" t="n">
        <v>0</v>
      </c>
      <c r="M810" t="n">
        <v>0</v>
      </c>
      <c r="N810" t="n">
        <v>0</v>
      </c>
      <c r="O810" t="n">
        <v>0</v>
      </c>
      <c r="P810" t="n">
        <v>0</v>
      </c>
      <c r="Q810" t="n">
        <v>0</v>
      </c>
      <c r="R810" s="2" t="inlineStr"/>
    </row>
    <row r="811" ht="15" customHeight="1">
      <c r="A811" t="inlineStr">
        <is>
          <t>A 17777-2022</t>
        </is>
      </c>
      <c r="B811" s="1" t="n">
        <v>44682</v>
      </c>
      <c r="C811" s="1" t="n">
        <v>45758</v>
      </c>
      <c r="D811" t="inlineStr">
        <is>
          <t>STOCKHOLMS LÄN</t>
        </is>
      </c>
      <c r="E811" t="inlineStr">
        <is>
          <t>NORRTÄLJE</t>
        </is>
      </c>
      <c r="G811" t="n">
        <v>3.7</v>
      </c>
      <c r="H811" t="n">
        <v>0</v>
      </c>
      <c r="I811" t="n">
        <v>0</v>
      </c>
      <c r="J811" t="n">
        <v>0</v>
      </c>
      <c r="K811" t="n">
        <v>0</v>
      </c>
      <c r="L811" t="n">
        <v>0</v>
      </c>
      <c r="M811" t="n">
        <v>0</v>
      </c>
      <c r="N811" t="n">
        <v>0</v>
      </c>
      <c r="O811" t="n">
        <v>0</v>
      </c>
      <c r="P811" t="n">
        <v>0</v>
      </c>
      <c r="Q811" t="n">
        <v>0</v>
      </c>
      <c r="R811" s="2" t="inlineStr"/>
    </row>
    <row r="812" ht="15" customHeight="1">
      <c r="A812" t="inlineStr">
        <is>
          <t>A 17803-2022</t>
        </is>
      </c>
      <c r="B812" s="1" t="n">
        <v>44683</v>
      </c>
      <c r="C812" s="1" t="n">
        <v>45758</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17952-2022</t>
        </is>
      </c>
      <c r="B813" s="1" t="n">
        <v>44683</v>
      </c>
      <c r="C813" s="1" t="n">
        <v>45758</v>
      </c>
      <c r="D813" t="inlineStr">
        <is>
          <t>STOCKHOLMS LÄN</t>
        </is>
      </c>
      <c r="E813" t="inlineStr">
        <is>
          <t>NORRTÄLJE</t>
        </is>
      </c>
      <c r="G813" t="n">
        <v>51.1</v>
      </c>
      <c r="H813" t="n">
        <v>0</v>
      </c>
      <c r="I813" t="n">
        <v>0</v>
      </c>
      <c r="J813" t="n">
        <v>0</v>
      </c>
      <c r="K813" t="n">
        <v>0</v>
      </c>
      <c r="L813" t="n">
        <v>0</v>
      </c>
      <c r="M813" t="n">
        <v>0</v>
      </c>
      <c r="N813" t="n">
        <v>0</v>
      </c>
      <c r="O813" t="n">
        <v>0</v>
      </c>
      <c r="P813" t="n">
        <v>0</v>
      </c>
      <c r="Q813" t="n">
        <v>0</v>
      </c>
      <c r="R813" s="2" t="inlineStr"/>
    </row>
    <row r="814" ht="15" customHeight="1">
      <c r="A814" t="inlineStr">
        <is>
          <t>A 18092-2022</t>
        </is>
      </c>
      <c r="B814" s="1" t="n">
        <v>44684</v>
      </c>
      <c r="C814" s="1" t="n">
        <v>45758</v>
      </c>
      <c r="D814" t="inlineStr">
        <is>
          <t>STOCKHOLMS LÄN</t>
        </is>
      </c>
      <c r="E814" t="inlineStr">
        <is>
          <t>NORRTÄLJE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18103-2022</t>
        </is>
      </c>
      <c r="B815" s="1" t="n">
        <v>44684</v>
      </c>
      <c r="C815" s="1" t="n">
        <v>45758</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18350-2022</t>
        </is>
      </c>
      <c r="B816" s="1" t="n">
        <v>44685</v>
      </c>
      <c r="C816" s="1" t="n">
        <v>45758</v>
      </c>
      <c r="D816" t="inlineStr">
        <is>
          <t>STOCKHOLMS LÄN</t>
        </is>
      </c>
      <c r="E816" t="inlineStr">
        <is>
          <t>NORRTÄLJE</t>
        </is>
      </c>
      <c r="F816" t="inlineStr">
        <is>
          <t>Holmen skog AB</t>
        </is>
      </c>
      <c r="G816" t="n">
        <v>7.1</v>
      </c>
      <c r="H816" t="n">
        <v>0</v>
      </c>
      <c r="I816" t="n">
        <v>0</v>
      </c>
      <c r="J816" t="n">
        <v>0</v>
      </c>
      <c r="K816" t="n">
        <v>0</v>
      </c>
      <c r="L816" t="n">
        <v>0</v>
      </c>
      <c r="M816" t="n">
        <v>0</v>
      </c>
      <c r="N816" t="n">
        <v>0</v>
      </c>
      <c r="O816" t="n">
        <v>0</v>
      </c>
      <c r="P816" t="n">
        <v>0</v>
      </c>
      <c r="Q816" t="n">
        <v>0</v>
      </c>
      <c r="R816" s="2" t="inlineStr"/>
    </row>
    <row r="817" ht="15" customHeight="1">
      <c r="A817" t="inlineStr">
        <is>
          <t>A 18546-2022</t>
        </is>
      </c>
      <c r="B817" s="1" t="n">
        <v>44686</v>
      </c>
      <c r="C817" s="1" t="n">
        <v>45758</v>
      </c>
      <c r="D817" t="inlineStr">
        <is>
          <t>STOCKHOLMS LÄN</t>
        </is>
      </c>
      <c r="E817" t="inlineStr">
        <is>
          <t>NORRTÄLJE</t>
        </is>
      </c>
      <c r="G817" t="n">
        <v>15.2</v>
      </c>
      <c r="H817" t="n">
        <v>0</v>
      </c>
      <c r="I817" t="n">
        <v>0</v>
      </c>
      <c r="J817" t="n">
        <v>0</v>
      </c>
      <c r="K817" t="n">
        <v>0</v>
      </c>
      <c r="L817" t="n">
        <v>0</v>
      </c>
      <c r="M817" t="n">
        <v>0</v>
      </c>
      <c r="N817" t="n">
        <v>0</v>
      </c>
      <c r="O817" t="n">
        <v>0</v>
      </c>
      <c r="P817" t="n">
        <v>0</v>
      </c>
      <c r="Q817" t="n">
        <v>0</v>
      </c>
      <c r="R817" s="2" t="inlineStr"/>
    </row>
    <row r="818" ht="15" customHeight="1">
      <c r="A818" t="inlineStr">
        <is>
          <t>A 18665-2022</t>
        </is>
      </c>
      <c r="B818" s="1" t="n">
        <v>44687</v>
      </c>
      <c r="C818" s="1" t="n">
        <v>45758</v>
      </c>
      <c r="D818" t="inlineStr">
        <is>
          <t>STOCKHOLMS LÄN</t>
        </is>
      </c>
      <c r="E818" t="inlineStr">
        <is>
          <t>NORRTÄLJE</t>
        </is>
      </c>
      <c r="F818" t="inlineStr">
        <is>
          <t>Kyrkan</t>
        </is>
      </c>
      <c r="G818" t="n">
        <v>1.1</v>
      </c>
      <c r="H818" t="n">
        <v>0</v>
      </c>
      <c r="I818" t="n">
        <v>0</v>
      </c>
      <c r="J818" t="n">
        <v>0</v>
      </c>
      <c r="K818" t="n">
        <v>0</v>
      </c>
      <c r="L818" t="n">
        <v>0</v>
      </c>
      <c r="M818" t="n">
        <v>0</v>
      </c>
      <c r="N818" t="n">
        <v>0</v>
      </c>
      <c r="O818" t="n">
        <v>0</v>
      </c>
      <c r="P818" t="n">
        <v>0</v>
      </c>
      <c r="Q818" t="n">
        <v>0</v>
      </c>
      <c r="R818" s="2" t="inlineStr"/>
    </row>
    <row r="819" ht="15" customHeight="1">
      <c r="A819" t="inlineStr">
        <is>
          <t>A 18787-2022</t>
        </is>
      </c>
      <c r="B819" s="1" t="n">
        <v>44687</v>
      </c>
      <c r="C819" s="1" t="n">
        <v>45758</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18846-2022</t>
        </is>
      </c>
      <c r="B820" s="1" t="n">
        <v>44690</v>
      </c>
      <c r="C820" s="1" t="n">
        <v>45758</v>
      </c>
      <c r="D820" t="inlineStr">
        <is>
          <t>STOCKHOLMS LÄN</t>
        </is>
      </c>
      <c r="E820" t="inlineStr">
        <is>
          <t>NORRTÄLJE</t>
        </is>
      </c>
      <c r="G820" t="n">
        <v>7</v>
      </c>
      <c r="H820" t="n">
        <v>0</v>
      </c>
      <c r="I820" t="n">
        <v>0</v>
      </c>
      <c r="J820" t="n">
        <v>0</v>
      </c>
      <c r="K820" t="n">
        <v>0</v>
      </c>
      <c r="L820" t="n">
        <v>0</v>
      </c>
      <c r="M820" t="n">
        <v>0</v>
      </c>
      <c r="N820" t="n">
        <v>0</v>
      </c>
      <c r="O820" t="n">
        <v>0</v>
      </c>
      <c r="P820" t="n">
        <v>0</v>
      </c>
      <c r="Q820" t="n">
        <v>0</v>
      </c>
      <c r="R820" s="2" t="inlineStr"/>
    </row>
    <row r="821" ht="15" customHeight="1">
      <c r="A821" t="inlineStr">
        <is>
          <t>A 18905-2022</t>
        </is>
      </c>
      <c r="B821" s="1" t="n">
        <v>44690</v>
      </c>
      <c r="C821" s="1" t="n">
        <v>45758</v>
      </c>
      <c r="D821" t="inlineStr">
        <is>
          <t>STOCKHOLMS LÄN</t>
        </is>
      </c>
      <c r="E821" t="inlineStr">
        <is>
          <t>NORRTÄLJE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18894-2022</t>
        </is>
      </c>
      <c r="B822" s="1" t="n">
        <v>44690</v>
      </c>
      <c r="C822" s="1" t="n">
        <v>45758</v>
      </c>
      <c r="D822" t="inlineStr">
        <is>
          <t>STOCKHOLMS LÄN</t>
        </is>
      </c>
      <c r="E822" t="inlineStr">
        <is>
          <t>NORRTÄLJE</t>
        </is>
      </c>
      <c r="G822" t="n">
        <v>3.6</v>
      </c>
      <c r="H822" t="n">
        <v>0</v>
      </c>
      <c r="I822" t="n">
        <v>0</v>
      </c>
      <c r="J822" t="n">
        <v>0</v>
      </c>
      <c r="K822" t="n">
        <v>0</v>
      </c>
      <c r="L822" t="n">
        <v>0</v>
      </c>
      <c r="M822" t="n">
        <v>0</v>
      </c>
      <c r="N822" t="n">
        <v>0</v>
      </c>
      <c r="O822" t="n">
        <v>0</v>
      </c>
      <c r="P822" t="n">
        <v>0</v>
      </c>
      <c r="Q822" t="n">
        <v>0</v>
      </c>
      <c r="R822" s="2" t="inlineStr"/>
    </row>
    <row r="823" ht="15" customHeight="1">
      <c r="A823" t="inlineStr">
        <is>
          <t>A 19116-2022</t>
        </is>
      </c>
      <c r="B823" s="1" t="n">
        <v>44691</v>
      </c>
      <c r="C823" s="1" t="n">
        <v>45758</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19118-2022</t>
        </is>
      </c>
      <c r="B824" s="1" t="n">
        <v>44691</v>
      </c>
      <c r="C824" s="1" t="n">
        <v>45758</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19580-2022</t>
        </is>
      </c>
      <c r="B825" s="1" t="n">
        <v>44693</v>
      </c>
      <c r="C825" s="1" t="n">
        <v>45758</v>
      </c>
      <c r="D825" t="inlineStr">
        <is>
          <t>STOCKHOLMS LÄN</t>
        </is>
      </c>
      <c r="E825" t="inlineStr">
        <is>
          <t>NORRTÄLJE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19729-2022</t>
        </is>
      </c>
      <c r="B826" s="1" t="n">
        <v>44694</v>
      </c>
      <c r="C826" s="1" t="n">
        <v>45758</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19728-2022</t>
        </is>
      </c>
      <c r="B827" s="1" t="n">
        <v>44694</v>
      </c>
      <c r="C827" s="1" t="n">
        <v>45758</v>
      </c>
      <c r="D827" t="inlineStr">
        <is>
          <t>STOCKHOLMS LÄN</t>
        </is>
      </c>
      <c r="E827" t="inlineStr">
        <is>
          <t>NORRTÄLJE</t>
        </is>
      </c>
      <c r="G827" t="n">
        <v>3.3</v>
      </c>
      <c r="H827" t="n">
        <v>0</v>
      </c>
      <c r="I827" t="n">
        <v>0</v>
      </c>
      <c r="J827" t="n">
        <v>0</v>
      </c>
      <c r="K827" t="n">
        <v>0</v>
      </c>
      <c r="L827" t="n">
        <v>0</v>
      </c>
      <c r="M827" t="n">
        <v>0</v>
      </c>
      <c r="N827" t="n">
        <v>0</v>
      </c>
      <c r="O827" t="n">
        <v>0</v>
      </c>
      <c r="P827" t="n">
        <v>0</v>
      </c>
      <c r="Q827" t="n">
        <v>0</v>
      </c>
      <c r="R827" s="2" t="inlineStr"/>
    </row>
    <row r="828" ht="15" customHeight="1">
      <c r="A828" t="inlineStr">
        <is>
          <t>A 19982-2022</t>
        </is>
      </c>
      <c r="B828" s="1" t="n">
        <v>44697</v>
      </c>
      <c r="C828" s="1" t="n">
        <v>45758</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19983-2022</t>
        </is>
      </c>
      <c r="B829" s="1" t="n">
        <v>44697</v>
      </c>
      <c r="C829" s="1" t="n">
        <v>45758</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20121-2022</t>
        </is>
      </c>
      <c r="B830" s="1" t="n">
        <v>44698</v>
      </c>
      <c r="C830" s="1" t="n">
        <v>45758</v>
      </c>
      <c r="D830" t="inlineStr">
        <is>
          <t>STOCKHOLMS LÄN</t>
        </is>
      </c>
      <c r="E830" t="inlineStr">
        <is>
          <t>NORRTÄLJE</t>
        </is>
      </c>
      <c r="G830" t="n">
        <v>4.2</v>
      </c>
      <c r="H830" t="n">
        <v>0</v>
      </c>
      <c r="I830" t="n">
        <v>0</v>
      </c>
      <c r="J830" t="n">
        <v>0</v>
      </c>
      <c r="K830" t="n">
        <v>0</v>
      </c>
      <c r="L830" t="n">
        <v>0</v>
      </c>
      <c r="M830" t="n">
        <v>0</v>
      </c>
      <c r="N830" t="n">
        <v>0</v>
      </c>
      <c r="O830" t="n">
        <v>0</v>
      </c>
      <c r="P830" t="n">
        <v>0</v>
      </c>
      <c r="Q830" t="n">
        <v>0</v>
      </c>
      <c r="R830" s="2" t="inlineStr"/>
    </row>
    <row r="831" ht="15" customHeight="1">
      <c r="A831" t="inlineStr">
        <is>
          <t>A 20129-2022</t>
        </is>
      </c>
      <c r="B831" s="1" t="n">
        <v>44698</v>
      </c>
      <c r="C831" s="1" t="n">
        <v>45758</v>
      </c>
      <c r="D831" t="inlineStr">
        <is>
          <t>STOCKHOLMS LÄN</t>
        </is>
      </c>
      <c r="E831" t="inlineStr">
        <is>
          <t>NORRTÄLJE</t>
        </is>
      </c>
      <c r="G831" t="n">
        <v>3.7</v>
      </c>
      <c r="H831" t="n">
        <v>0</v>
      </c>
      <c r="I831" t="n">
        <v>0</v>
      </c>
      <c r="J831" t="n">
        <v>0</v>
      </c>
      <c r="K831" t="n">
        <v>0</v>
      </c>
      <c r="L831" t="n">
        <v>0</v>
      </c>
      <c r="M831" t="n">
        <v>0</v>
      </c>
      <c r="N831" t="n">
        <v>0</v>
      </c>
      <c r="O831" t="n">
        <v>0</v>
      </c>
      <c r="P831" t="n">
        <v>0</v>
      </c>
      <c r="Q831" t="n">
        <v>0</v>
      </c>
      <c r="R831" s="2" t="inlineStr"/>
    </row>
    <row r="832" ht="15" customHeight="1">
      <c r="A832" t="inlineStr">
        <is>
          <t>A 20291-2022</t>
        </is>
      </c>
      <c r="B832" s="1" t="n">
        <v>44698</v>
      </c>
      <c r="C832" s="1" t="n">
        <v>45758</v>
      </c>
      <c r="D832" t="inlineStr">
        <is>
          <t>STOCKHOLMS LÄN</t>
        </is>
      </c>
      <c r="E832" t="inlineStr">
        <is>
          <t>NORRTÄLJE</t>
        </is>
      </c>
      <c r="F832" t="inlineStr">
        <is>
          <t>Naturvårdsverket</t>
        </is>
      </c>
      <c r="G832" t="n">
        <v>2</v>
      </c>
      <c r="H832" t="n">
        <v>0</v>
      </c>
      <c r="I832" t="n">
        <v>0</v>
      </c>
      <c r="J832" t="n">
        <v>0</v>
      </c>
      <c r="K832" t="n">
        <v>0</v>
      </c>
      <c r="L832" t="n">
        <v>0</v>
      </c>
      <c r="M832" t="n">
        <v>0</v>
      </c>
      <c r="N832" t="n">
        <v>0</v>
      </c>
      <c r="O832" t="n">
        <v>0</v>
      </c>
      <c r="P832" t="n">
        <v>0</v>
      </c>
      <c r="Q832" t="n">
        <v>0</v>
      </c>
      <c r="R832" s="2" t="inlineStr"/>
    </row>
    <row r="833" ht="15" customHeight="1">
      <c r="A833" t="inlineStr">
        <is>
          <t>A 20294-2022</t>
        </is>
      </c>
      <c r="B833" s="1" t="n">
        <v>44698</v>
      </c>
      <c r="C833" s="1" t="n">
        <v>45758</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20295-2022</t>
        </is>
      </c>
      <c r="B834" s="1" t="n">
        <v>44698</v>
      </c>
      <c r="C834" s="1" t="n">
        <v>45758</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20618-2022</t>
        </is>
      </c>
      <c r="B835" s="1" t="n">
        <v>44700</v>
      </c>
      <c r="C835" s="1" t="n">
        <v>45758</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21102-2022</t>
        </is>
      </c>
      <c r="B836" s="1" t="n">
        <v>44704</v>
      </c>
      <c r="C836" s="1" t="n">
        <v>45758</v>
      </c>
      <c r="D836" t="inlineStr">
        <is>
          <t>STOCKHOLMS LÄN</t>
        </is>
      </c>
      <c r="E836" t="inlineStr">
        <is>
          <t>NORRTÄLJE</t>
        </is>
      </c>
      <c r="G836" t="n">
        <v>0.2</v>
      </c>
      <c r="H836" t="n">
        <v>0</v>
      </c>
      <c r="I836" t="n">
        <v>0</v>
      </c>
      <c r="J836" t="n">
        <v>0</v>
      </c>
      <c r="K836" t="n">
        <v>0</v>
      </c>
      <c r="L836" t="n">
        <v>0</v>
      </c>
      <c r="M836" t="n">
        <v>0</v>
      </c>
      <c r="N836" t="n">
        <v>0</v>
      </c>
      <c r="O836" t="n">
        <v>0</v>
      </c>
      <c r="P836" t="n">
        <v>0</v>
      </c>
      <c r="Q836" t="n">
        <v>0</v>
      </c>
      <c r="R836" s="2" t="inlineStr"/>
    </row>
    <row r="837" ht="15" customHeight="1">
      <c r="A837" t="inlineStr">
        <is>
          <t>A 21158-2022</t>
        </is>
      </c>
      <c r="B837" s="1" t="n">
        <v>44704</v>
      </c>
      <c r="C837" s="1" t="n">
        <v>45758</v>
      </c>
      <c r="D837" t="inlineStr">
        <is>
          <t>STOCKHOLMS LÄN</t>
        </is>
      </c>
      <c r="E837" t="inlineStr">
        <is>
          <t>NORRTÄLJE</t>
        </is>
      </c>
      <c r="G837" t="n">
        <v>17.8</v>
      </c>
      <c r="H837" t="n">
        <v>0</v>
      </c>
      <c r="I837" t="n">
        <v>0</v>
      </c>
      <c r="J837" t="n">
        <v>0</v>
      </c>
      <c r="K837" t="n">
        <v>0</v>
      </c>
      <c r="L837" t="n">
        <v>0</v>
      </c>
      <c r="M837" t="n">
        <v>0</v>
      </c>
      <c r="N837" t="n">
        <v>0</v>
      </c>
      <c r="O837" t="n">
        <v>0</v>
      </c>
      <c r="P837" t="n">
        <v>0</v>
      </c>
      <c r="Q837" t="n">
        <v>0</v>
      </c>
      <c r="R837" s="2" t="inlineStr"/>
    </row>
    <row r="838" ht="15" customHeight="1">
      <c r="A838" t="inlineStr">
        <is>
          <t>A 21174-2022</t>
        </is>
      </c>
      <c r="B838" s="1" t="n">
        <v>44704</v>
      </c>
      <c r="C838" s="1" t="n">
        <v>45758</v>
      </c>
      <c r="D838" t="inlineStr">
        <is>
          <t>STOCKHOLMS LÄN</t>
        </is>
      </c>
      <c r="E838" t="inlineStr">
        <is>
          <t>NORRTÄLJE</t>
        </is>
      </c>
      <c r="G838" t="n">
        <v>5.2</v>
      </c>
      <c r="H838" t="n">
        <v>0</v>
      </c>
      <c r="I838" t="n">
        <v>0</v>
      </c>
      <c r="J838" t="n">
        <v>0</v>
      </c>
      <c r="K838" t="n">
        <v>0</v>
      </c>
      <c r="L838" t="n">
        <v>0</v>
      </c>
      <c r="M838" t="n">
        <v>0</v>
      </c>
      <c r="N838" t="n">
        <v>0</v>
      </c>
      <c r="O838" t="n">
        <v>0</v>
      </c>
      <c r="P838" t="n">
        <v>0</v>
      </c>
      <c r="Q838" t="n">
        <v>0</v>
      </c>
      <c r="R838" s="2" t="inlineStr"/>
    </row>
    <row r="839" ht="15" customHeight="1">
      <c r="A839" t="inlineStr">
        <is>
          <t>A 21480-2022</t>
        </is>
      </c>
      <c r="B839" s="1" t="n">
        <v>44704</v>
      </c>
      <c r="C839" s="1" t="n">
        <v>45758</v>
      </c>
      <c r="D839" t="inlineStr">
        <is>
          <t>STOCKHOLMS LÄN</t>
        </is>
      </c>
      <c r="E839" t="inlineStr">
        <is>
          <t>NORRTÄLJE</t>
        </is>
      </c>
      <c r="G839" t="n">
        <v>2.8</v>
      </c>
      <c r="H839" t="n">
        <v>0</v>
      </c>
      <c r="I839" t="n">
        <v>0</v>
      </c>
      <c r="J839" t="n">
        <v>0</v>
      </c>
      <c r="K839" t="n">
        <v>0</v>
      </c>
      <c r="L839" t="n">
        <v>0</v>
      </c>
      <c r="M839" t="n">
        <v>0</v>
      </c>
      <c r="N839" t="n">
        <v>0</v>
      </c>
      <c r="O839" t="n">
        <v>0</v>
      </c>
      <c r="P839" t="n">
        <v>0</v>
      </c>
      <c r="Q839" t="n">
        <v>0</v>
      </c>
      <c r="R839" s="2" t="inlineStr"/>
    </row>
    <row r="840" ht="15" customHeight="1">
      <c r="A840" t="inlineStr">
        <is>
          <t>A 21178-2022</t>
        </is>
      </c>
      <c r="B840" s="1" t="n">
        <v>44704</v>
      </c>
      <c r="C840" s="1" t="n">
        <v>45758</v>
      </c>
      <c r="D840" t="inlineStr">
        <is>
          <t>STOCKHOLMS LÄN</t>
        </is>
      </c>
      <c r="E840" t="inlineStr">
        <is>
          <t>NORRTÄLJE</t>
        </is>
      </c>
      <c r="G840" t="n">
        <v>6</v>
      </c>
      <c r="H840" t="n">
        <v>0</v>
      </c>
      <c r="I840" t="n">
        <v>0</v>
      </c>
      <c r="J840" t="n">
        <v>0</v>
      </c>
      <c r="K840" t="n">
        <v>0</v>
      </c>
      <c r="L840" t="n">
        <v>0</v>
      </c>
      <c r="M840" t="n">
        <v>0</v>
      </c>
      <c r="N840" t="n">
        <v>0</v>
      </c>
      <c r="O840" t="n">
        <v>0</v>
      </c>
      <c r="P840" t="n">
        <v>0</v>
      </c>
      <c r="Q840" t="n">
        <v>0</v>
      </c>
      <c r="R840" s="2" t="inlineStr"/>
    </row>
    <row r="841" ht="15" customHeight="1">
      <c r="A841" t="inlineStr">
        <is>
          <t>A 21329-2022</t>
        </is>
      </c>
      <c r="B841" s="1" t="n">
        <v>44705</v>
      </c>
      <c r="C841" s="1" t="n">
        <v>45758</v>
      </c>
      <c r="D841" t="inlineStr">
        <is>
          <t>STOCKHOLMS LÄN</t>
        </is>
      </c>
      <c r="E841" t="inlineStr">
        <is>
          <t>NORRTÄLJE</t>
        </is>
      </c>
      <c r="G841" t="n">
        <v>4.1</v>
      </c>
      <c r="H841" t="n">
        <v>0</v>
      </c>
      <c r="I841" t="n">
        <v>0</v>
      </c>
      <c r="J841" t="n">
        <v>0</v>
      </c>
      <c r="K841" t="n">
        <v>0</v>
      </c>
      <c r="L841" t="n">
        <v>0</v>
      </c>
      <c r="M841" t="n">
        <v>0</v>
      </c>
      <c r="N841" t="n">
        <v>0</v>
      </c>
      <c r="O841" t="n">
        <v>0</v>
      </c>
      <c r="P841" t="n">
        <v>0</v>
      </c>
      <c r="Q841" t="n">
        <v>0</v>
      </c>
      <c r="R841" s="2" t="inlineStr"/>
    </row>
    <row r="842" ht="15" customHeight="1">
      <c r="A842" t="inlineStr">
        <is>
          <t>A 21739-2022</t>
        </is>
      </c>
      <c r="B842" s="1" t="n">
        <v>44708</v>
      </c>
      <c r="C842" s="1" t="n">
        <v>45758</v>
      </c>
      <c r="D842" t="inlineStr">
        <is>
          <t>STOCKHOLMS LÄN</t>
        </is>
      </c>
      <c r="E842" t="inlineStr">
        <is>
          <t>NORRTÄLJE</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21723-2022</t>
        </is>
      </c>
      <c r="B843" s="1" t="n">
        <v>44708</v>
      </c>
      <c r="C843" s="1" t="n">
        <v>45758</v>
      </c>
      <c r="D843" t="inlineStr">
        <is>
          <t>STOCKHOLMS LÄN</t>
        </is>
      </c>
      <c r="E843" t="inlineStr">
        <is>
          <t>NORRTÄLJE</t>
        </is>
      </c>
      <c r="G843" t="n">
        <v>0.3</v>
      </c>
      <c r="H843" t="n">
        <v>0</v>
      </c>
      <c r="I843" t="n">
        <v>0</v>
      </c>
      <c r="J843" t="n">
        <v>0</v>
      </c>
      <c r="K843" t="n">
        <v>0</v>
      </c>
      <c r="L843" t="n">
        <v>0</v>
      </c>
      <c r="M843" t="n">
        <v>0</v>
      </c>
      <c r="N843" t="n">
        <v>0</v>
      </c>
      <c r="O843" t="n">
        <v>0</v>
      </c>
      <c r="P843" t="n">
        <v>0</v>
      </c>
      <c r="Q843" t="n">
        <v>0</v>
      </c>
      <c r="R843" s="2" t="inlineStr"/>
    </row>
    <row r="844" ht="15" customHeight="1">
      <c r="A844" t="inlineStr">
        <is>
          <t>A 21726-2022</t>
        </is>
      </c>
      <c r="B844" s="1" t="n">
        <v>44708</v>
      </c>
      <c r="C844" s="1" t="n">
        <v>45758</v>
      </c>
      <c r="D844" t="inlineStr">
        <is>
          <t>STOCKHOLMS LÄN</t>
        </is>
      </c>
      <c r="E844" t="inlineStr">
        <is>
          <t>NORRTÄLJE</t>
        </is>
      </c>
      <c r="G844" t="n">
        <v>0.2</v>
      </c>
      <c r="H844" t="n">
        <v>0</v>
      </c>
      <c r="I844" t="n">
        <v>0</v>
      </c>
      <c r="J844" t="n">
        <v>0</v>
      </c>
      <c r="K844" t="n">
        <v>0</v>
      </c>
      <c r="L844" t="n">
        <v>0</v>
      </c>
      <c r="M844" t="n">
        <v>0</v>
      </c>
      <c r="N844" t="n">
        <v>0</v>
      </c>
      <c r="O844" t="n">
        <v>0</v>
      </c>
      <c r="P844" t="n">
        <v>0</v>
      </c>
      <c r="Q844" t="n">
        <v>0</v>
      </c>
      <c r="R844" s="2" t="inlineStr"/>
    </row>
    <row r="845" ht="15" customHeight="1">
      <c r="A845" t="inlineStr">
        <is>
          <t>A 21803-2022</t>
        </is>
      </c>
      <c r="B845" s="1" t="n">
        <v>44708</v>
      </c>
      <c r="C845" s="1" t="n">
        <v>45758</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21970-2022</t>
        </is>
      </c>
      <c r="B846" s="1" t="n">
        <v>44711</v>
      </c>
      <c r="C846" s="1" t="n">
        <v>45758</v>
      </c>
      <c r="D846" t="inlineStr">
        <is>
          <t>STOCKHOLMS LÄN</t>
        </is>
      </c>
      <c r="E846" t="inlineStr">
        <is>
          <t>NORRTÄLJE</t>
        </is>
      </c>
      <c r="F846" t="inlineStr">
        <is>
          <t>Holmen skog AB</t>
        </is>
      </c>
      <c r="G846" t="n">
        <v>2.8</v>
      </c>
      <c r="H846" t="n">
        <v>0</v>
      </c>
      <c r="I846" t="n">
        <v>0</v>
      </c>
      <c r="J846" t="n">
        <v>0</v>
      </c>
      <c r="K846" t="n">
        <v>0</v>
      </c>
      <c r="L846" t="n">
        <v>0</v>
      </c>
      <c r="M846" t="n">
        <v>0</v>
      </c>
      <c r="N846" t="n">
        <v>0</v>
      </c>
      <c r="O846" t="n">
        <v>0</v>
      </c>
      <c r="P846" t="n">
        <v>0</v>
      </c>
      <c r="Q846" t="n">
        <v>0</v>
      </c>
      <c r="R846" s="2" t="inlineStr"/>
    </row>
    <row r="847" ht="15" customHeight="1">
      <c r="A847" t="inlineStr">
        <is>
          <t>A 22072-2022</t>
        </is>
      </c>
      <c r="B847" s="1" t="n">
        <v>44711</v>
      </c>
      <c r="C847" s="1" t="n">
        <v>45758</v>
      </c>
      <c r="D847" t="inlineStr">
        <is>
          <t>STOCKHOLMS LÄN</t>
        </is>
      </c>
      <c r="E847" t="inlineStr">
        <is>
          <t>NORRTÄLJE</t>
        </is>
      </c>
      <c r="G847" t="n">
        <v>9.6</v>
      </c>
      <c r="H847" t="n">
        <v>0</v>
      </c>
      <c r="I847" t="n">
        <v>0</v>
      </c>
      <c r="J847" t="n">
        <v>0</v>
      </c>
      <c r="K847" t="n">
        <v>0</v>
      </c>
      <c r="L847" t="n">
        <v>0</v>
      </c>
      <c r="M847" t="n">
        <v>0</v>
      </c>
      <c r="N847" t="n">
        <v>0</v>
      </c>
      <c r="O847" t="n">
        <v>0</v>
      </c>
      <c r="P847" t="n">
        <v>0</v>
      </c>
      <c r="Q847" t="n">
        <v>0</v>
      </c>
      <c r="R847" s="2" t="inlineStr"/>
    </row>
    <row r="848" ht="15" customHeight="1">
      <c r="A848" t="inlineStr">
        <is>
          <t>A 22071-2022</t>
        </is>
      </c>
      <c r="B848" s="1" t="n">
        <v>44711</v>
      </c>
      <c r="C848" s="1" t="n">
        <v>45758</v>
      </c>
      <c r="D848" t="inlineStr">
        <is>
          <t>STOCKHOLMS LÄN</t>
        </is>
      </c>
      <c r="E848" t="inlineStr">
        <is>
          <t>NORRTÄLJE</t>
        </is>
      </c>
      <c r="G848" t="n">
        <v>7</v>
      </c>
      <c r="H848" t="n">
        <v>0</v>
      </c>
      <c r="I848" t="n">
        <v>0</v>
      </c>
      <c r="J848" t="n">
        <v>0</v>
      </c>
      <c r="K848" t="n">
        <v>0</v>
      </c>
      <c r="L848" t="n">
        <v>0</v>
      </c>
      <c r="M848" t="n">
        <v>0</v>
      </c>
      <c r="N848" t="n">
        <v>0</v>
      </c>
      <c r="O848" t="n">
        <v>0</v>
      </c>
      <c r="P848" t="n">
        <v>0</v>
      </c>
      <c r="Q848" t="n">
        <v>0</v>
      </c>
      <c r="R848" s="2" t="inlineStr"/>
    </row>
    <row r="849" ht="15" customHeight="1">
      <c r="A849" t="inlineStr">
        <is>
          <t>A 22269-2022</t>
        </is>
      </c>
      <c r="B849" s="1" t="n">
        <v>44712</v>
      </c>
      <c r="C849" s="1" t="n">
        <v>45758</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22316-2022</t>
        </is>
      </c>
      <c r="B850" s="1" t="n">
        <v>44712</v>
      </c>
      <c r="C850" s="1" t="n">
        <v>45758</v>
      </c>
      <c r="D850" t="inlineStr">
        <is>
          <t>STOCKHOLMS LÄN</t>
        </is>
      </c>
      <c r="E850" t="inlineStr">
        <is>
          <t>NORRTÄLJE</t>
        </is>
      </c>
      <c r="G850" t="n">
        <v>6.3</v>
      </c>
      <c r="H850" t="n">
        <v>0</v>
      </c>
      <c r="I850" t="n">
        <v>0</v>
      </c>
      <c r="J850" t="n">
        <v>0</v>
      </c>
      <c r="K850" t="n">
        <v>0</v>
      </c>
      <c r="L850" t="n">
        <v>0</v>
      </c>
      <c r="M850" t="n">
        <v>0</v>
      </c>
      <c r="N850" t="n">
        <v>0</v>
      </c>
      <c r="O850" t="n">
        <v>0</v>
      </c>
      <c r="P850" t="n">
        <v>0</v>
      </c>
      <c r="Q850" t="n">
        <v>0</v>
      </c>
      <c r="R850" s="2" t="inlineStr"/>
    </row>
    <row r="851" ht="15" customHeight="1">
      <c r="A851" t="inlineStr">
        <is>
          <t>A 22503-2022</t>
        </is>
      </c>
      <c r="B851" s="1" t="n">
        <v>44713</v>
      </c>
      <c r="C851" s="1" t="n">
        <v>45758</v>
      </c>
      <c r="D851" t="inlineStr">
        <is>
          <t>STOCKHOLMS LÄN</t>
        </is>
      </c>
      <c r="E851" t="inlineStr">
        <is>
          <t>NORRTÄLJE</t>
        </is>
      </c>
      <c r="G851" t="n">
        <v>5.1</v>
      </c>
      <c r="H851" t="n">
        <v>0</v>
      </c>
      <c r="I851" t="n">
        <v>0</v>
      </c>
      <c r="J851" t="n">
        <v>0</v>
      </c>
      <c r="K851" t="n">
        <v>0</v>
      </c>
      <c r="L851" t="n">
        <v>0</v>
      </c>
      <c r="M851" t="n">
        <v>0</v>
      </c>
      <c r="N851" t="n">
        <v>0</v>
      </c>
      <c r="O851" t="n">
        <v>0</v>
      </c>
      <c r="P851" t="n">
        <v>0</v>
      </c>
      <c r="Q851" t="n">
        <v>0</v>
      </c>
      <c r="R851" s="2" t="inlineStr"/>
    </row>
    <row r="852" ht="15" customHeight="1">
      <c r="A852" t="inlineStr">
        <is>
          <t>A 22697-2022</t>
        </is>
      </c>
      <c r="B852" s="1" t="n">
        <v>44714</v>
      </c>
      <c r="C852" s="1" t="n">
        <v>45758</v>
      </c>
      <c r="D852" t="inlineStr">
        <is>
          <t>STOCKHOLMS LÄN</t>
        </is>
      </c>
      <c r="E852" t="inlineStr">
        <is>
          <t>NORRTÄLJE</t>
        </is>
      </c>
      <c r="G852" t="n">
        <v>5.6</v>
      </c>
      <c r="H852" t="n">
        <v>0</v>
      </c>
      <c r="I852" t="n">
        <v>0</v>
      </c>
      <c r="J852" t="n">
        <v>0</v>
      </c>
      <c r="K852" t="n">
        <v>0</v>
      </c>
      <c r="L852" t="n">
        <v>0</v>
      </c>
      <c r="M852" t="n">
        <v>0</v>
      </c>
      <c r="N852" t="n">
        <v>0</v>
      </c>
      <c r="O852" t="n">
        <v>0</v>
      </c>
      <c r="P852" t="n">
        <v>0</v>
      </c>
      <c r="Q852" t="n">
        <v>0</v>
      </c>
      <c r="R852" s="2" t="inlineStr"/>
    </row>
    <row r="853" ht="15" customHeight="1">
      <c r="A853" t="inlineStr">
        <is>
          <t>A 22628-2022</t>
        </is>
      </c>
      <c r="B853" s="1" t="n">
        <v>44714</v>
      </c>
      <c r="C853" s="1" t="n">
        <v>45758</v>
      </c>
      <c r="D853" t="inlineStr">
        <is>
          <t>STOCKHOLMS LÄN</t>
        </is>
      </c>
      <c r="E853" t="inlineStr">
        <is>
          <t>NORRTÄLJE</t>
        </is>
      </c>
      <c r="G853" t="n">
        <v>11.4</v>
      </c>
      <c r="H853" t="n">
        <v>0</v>
      </c>
      <c r="I853" t="n">
        <v>0</v>
      </c>
      <c r="J853" t="n">
        <v>0</v>
      </c>
      <c r="K853" t="n">
        <v>0</v>
      </c>
      <c r="L853" t="n">
        <v>0</v>
      </c>
      <c r="M853" t="n">
        <v>0</v>
      </c>
      <c r="N853" t="n">
        <v>0</v>
      </c>
      <c r="O853" t="n">
        <v>0</v>
      </c>
      <c r="P853" t="n">
        <v>0</v>
      </c>
      <c r="Q853" t="n">
        <v>0</v>
      </c>
      <c r="R853" s="2" t="inlineStr"/>
    </row>
    <row r="854" ht="15" customHeight="1">
      <c r="A854" t="inlineStr">
        <is>
          <t>A 22636-2022</t>
        </is>
      </c>
      <c r="B854" s="1" t="n">
        <v>44714</v>
      </c>
      <c r="C854" s="1" t="n">
        <v>45758</v>
      </c>
      <c r="D854" t="inlineStr">
        <is>
          <t>STOCKHOLMS LÄN</t>
        </is>
      </c>
      <c r="E854" t="inlineStr">
        <is>
          <t>NORRTÄLJE</t>
        </is>
      </c>
      <c r="G854" t="n">
        <v>16.6</v>
      </c>
      <c r="H854" t="n">
        <v>0</v>
      </c>
      <c r="I854" t="n">
        <v>0</v>
      </c>
      <c r="J854" t="n">
        <v>0</v>
      </c>
      <c r="K854" t="n">
        <v>0</v>
      </c>
      <c r="L854" t="n">
        <v>0</v>
      </c>
      <c r="M854" t="n">
        <v>0</v>
      </c>
      <c r="N854" t="n">
        <v>0</v>
      </c>
      <c r="O854" t="n">
        <v>0</v>
      </c>
      <c r="P854" t="n">
        <v>0</v>
      </c>
      <c r="Q854" t="n">
        <v>0</v>
      </c>
      <c r="R854" s="2" t="inlineStr"/>
    </row>
    <row r="855" ht="15" customHeight="1">
      <c r="A855" t="inlineStr">
        <is>
          <t>A 22716-2022</t>
        </is>
      </c>
      <c r="B855" s="1" t="n">
        <v>44714</v>
      </c>
      <c r="C855" s="1" t="n">
        <v>45758</v>
      </c>
      <c r="D855" t="inlineStr">
        <is>
          <t>STOCKHOLMS LÄN</t>
        </is>
      </c>
      <c r="E855" t="inlineStr">
        <is>
          <t>NORRTÄLJE</t>
        </is>
      </c>
      <c r="G855" t="n">
        <v>13.5</v>
      </c>
      <c r="H855" t="n">
        <v>0</v>
      </c>
      <c r="I855" t="n">
        <v>0</v>
      </c>
      <c r="J855" t="n">
        <v>0</v>
      </c>
      <c r="K855" t="n">
        <v>0</v>
      </c>
      <c r="L855" t="n">
        <v>0</v>
      </c>
      <c r="M855" t="n">
        <v>0</v>
      </c>
      <c r="N855" t="n">
        <v>0</v>
      </c>
      <c r="O855" t="n">
        <v>0</v>
      </c>
      <c r="P855" t="n">
        <v>0</v>
      </c>
      <c r="Q855" t="n">
        <v>0</v>
      </c>
      <c r="R855" s="2" t="inlineStr"/>
    </row>
    <row r="856" ht="15" customHeight="1">
      <c r="A856" t="inlineStr">
        <is>
          <t>A 22756-2022</t>
        </is>
      </c>
      <c r="B856" s="1" t="n">
        <v>44715</v>
      </c>
      <c r="C856" s="1" t="n">
        <v>45758</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23125-2022</t>
        </is>
      </c>
      <c r="B857" s="1" t="n">
        <v>44719</v>
      </c>
      <c r="C857" s="1" t="n">
        <v>45758</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23770-2022</t>
        </is>
      </c>
      <c r="B858" s="1" t="n">
        <v>44722</v>
      </c>
      <c r="C858" s="1" t="n">
        <v>45758</v>
      </c>
      <c r="D858" t="inlineStr">
        <is>
          <t>STOCKHOLMS LÄN</t>
        </is>
      </c>
      <c r="E858" t="inlineStr">
        <is>
          <t>NORRTÄLJE</t>
        </is>
      </c>
      <c r="G858" t="n">
        <v>1.6</v>
      </c>
      <c r="H858" t="n">
        <v>0</v>
      </c>
      <c r="I858" t="n">
        <v>0</v>
      </c>
      <c r="J858" t="n">
        <v>0</v>
      </c>
      <c r="K858" t="n">
        <v>0</v>
      </c>
      <c r="L858" t="n">
        <v>0</v>
      </c>
      <c r="M858" t="n">
        <v>0</v>
      </c>
      <c r="N858" t="n">
        <v>0</v>
      </c>
      <c r="O858" t="n">
        <v>0</v>
      </c>
      <c r="P858" t="n">
        <v>0</v>
      </c>
      <c r="Q858" t="n">
        <v>0</v>
      </c>
      <c r="R858" s="2" t="inlineStr"/>
    </row>
    <row r="859" ht="15" customHeight="1">
      <c r="A859" t="inlineStr">
        <is>
          <t>A 23801-2022</t>
        </is>
      </c>
      <c r="B859" s="1" t="n">
        <v>44722</v>
      </c>
      <c r="C859" s="1" t="n">
        <v>45758</v>
      </c>
      <c r="D859" t="inlineStr">
        <is>
          <t>STOCKHOLMS LÄN</t>
        </is>
      </c>
      <c r="E859" t="inlineStr">
        <is>
          <t>NORRTÄLJE</t>
        </is>
      </c>
      <c r="G859" t="n">
        <v>6.8</v>
      </c>
      <c r="H859" t="n">
        <v>0</v>
      </c>
      <c r="I859" t="n">
        <v>0</v>
      </c>
      <c r="J859" t="n">
        <v>0</v>
      </c>
      <c r="K859" t="n">
        <v>0</v>
      </c>
      <c r="L859" t="n">
        <v>0</v>
      </c>
      <c r="M859" t="n">
        <v>0</v>
      </c>
      <c r="N859" t="n">
        <v>0</v>
      </c>
      <c r="O859" t="n">
        <v>0</v>
      </c>
      <c r="P859" t="n">
        <v>0</v>
      </c>
      <c r="Q859" t="n">
        <v>0</v>
      </c>
      <c r="R859" s="2" t="inlineStr"/>
    </row>
    <row r="860" ht="15" customHeight="1">
      <c r="A860" t="inlineStr">
        <is>
          <t>A 24101-2022</t>
        </is>
      </c>
      <c r="B860" s="1" t="n">
        <v>44725</v>
      </c>
      <c r="C860" s="1" t="n">
        <v>45758</v>
      </c>
      <c r="D860" t="inlineStr">
        <is>
          <t>STOCKHOLMS LÄN</t>
        </is>
      </c>
      <c r="E860" t="inlineStr">
        <is>
          <t>NORRTÄLJE</t>
        </is>
      </c>
      <c r="G860" t="n">
        <v>1.5</v>
      </c>
      <c r="H860" t="n">
        <v>0</v>
      </c>
      <c r="I860" t="n">
        <v>0</v>
      </c>
      <c r="J860" t="n">
        <v>0</v>
      </c>
      <c r="K860" t="n">
        <v>0</v>
      </c>
      <c r="L860" t="n">
        <v>0</v>
      </c>
      <c r="M860" t="n">
        <v>0</v>
      </c>
      <c r="N860" t="n">
        <v>0</v>
      </c>
      <c r="O860" t="n">
        <v>0</v>
      </c>
      <c r="P860" t="n">
        <v>0</v>
      </c>
      <c r="Q860" t="n">
        <v>0</v>
      </c>
      <c r="R860" s="2" t="inlineStr"/>
    </row>
    <row r="861" ht="15" customHeight="1">
      <c r="A861" t="inlineStr">
        <is>
          <t>A 24162-2022</t>
        </is>
      </c>
      <c r="B861" s="1" t="n">
        <v>44725</v>
      </c>
      <c r="C861" s="1" t="n">
        <v>45758</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24167-2022</t>
        </is>
      </c>
      <c r="B862" s="1" t="n">
        <v>44725</v>
      </c>
      <c r="C862" s="1" t="n">
        <v>45758</v>
      </c>
      <c r="D862" t="inlineStr">
        <is>
          <t>STOCKHOLMS LÄN</t>
        </is>
      </c>
      <c r="E862" t="inlineStr">
        <is>
          <t>NORRTÄLJE</t>
        </is>
      </c>
      <c r="G862" t="n">
        <v>3.4</v>
      </c>
      <c r="H862" t="n">
        <v>0</v>
      </c>
      <c r="I862" t="n">
        <v>0</v>
      </c>
      <c r="J862" t="n">
        <v>0</v>
      </c>
      <c r="K862" t="n">
        <v>0</v>
      </c>
      <c r="L862" t="n">
        <v>0</v>
      </c>
      <c r="M862" t="n">
        <v>0</v>
      </c>
      <c r="N862" t="n">
        <v>0</v>
      </c>
      <c r="O862" t="n">
        <v>0</v>
      </c>
      <c r="P862" t="n">
        <v>0</v>
      </c>
      <c r="Q862" t="n">
        <v>0</v>
      </c>
      <c r="R862" s="2" t="inlineStr"/>
    </row>
    <row r="863" ht="15" customHeight="1">
      <c r="A863" t="inlineStr">
        <is>
          <t>A 24152-2022</t>
        </is>
      </c>
      <c r="B863" s="1" t="n">
        <v>44725</v>
      </c>
      <c r="C863" s="1" t="n">
        <v>45758</v>
      </c>
      <c r="D863" t="inlineStr">
        <is>
          <t>STOCKHOLMS LÄN</t>
        </is>
      </c>
      <c r="E863" t="inlineStr">
        <is>
          <t>NORRTÄLJE</t>
        </is>
      </c>
      <c r="G863" t="n">
        <v>3.3</v>
      </c>
      <c r="H863" t="n">
        <v>0</v>
      </c>
      <c r="I863" t="n">
        <v>0</v>
      </c>
      <c r="J863" t="n">
        <v>0</v>
      </c>
      <c r="K863" t="n">
        <v>0</v>
      </c>
      <c r="L863" t="n">
        <v>0</v>
      </c>
      <c r="M863" t="n">
        <v>0</v>
      </c>
      <c r="N863" t="n">
        <v>0</v>
      </c>
      <c r="O863" t="n">
        <v>0</v>
      </c>
      <c r="P863" t="n">
        <v>0</v>
      </c>
      <c r="Q863" t="n">
        <v>0</v>
      </c>
      <c r="R863" s="2" t="inlineStr"/>
    </row>
    <row r="864" ht="15" customHeight="1">
      <c r="A864" t="inlineStr">
        <is>
          <t>A 24534-2022</t>
        </is>
      </c>
      <c r="B864" s="1" t="n">
        <v>44727</v>
      </c>
      <c r="C864" s="1" t="n">
        <v>45758</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24977-2022</t>
        </is>
      </c>
      <c r="B865" s="1" t="n">
        <v>44728</v>
      </c>
      <c r="C865" s="1" t="n">
        <v>45758</v>
      </c>
      <c r="D865" t="inlineStr">
        <is>
          <t>STOCKHOLMS LÄN</t>
        </is>
      </c>
      <c r="E865" t="inlineStr">
        <is>
          <t>NORRTÄLJE</t>
        </is>
      </c>
      <c r="F865" t="inlineStr">
        <is>
          <t>Kyrkan</t>
        </is>
      </c>
      <c r="G865" t="n">
        <v>1</v>
      </c>
      <c r="H865" t="n">
        <v>0</v>
      </c>
      <c r="I865" t="n">
        <v>0</v>
      </c>
      <c r="J865" t="n">
        <v>0</v>
      </c>
      <c r="K865" t="n">
        <v>0</v>
      </c>
      <c r="L865" t="n">
        <v>0</v>
      </c>
      <c r="M865" t="n">
        <v>0</v>
      </c>
      <c r="N865" t="n">
        <v>0</v>
      </c>
      <c r="O865" t="n">
        <v>0</v>
      </c>
      <c r="P865" t="n">
        <v>0</v>
      </c>
      <c r="Q865" t="n">
        <v>0</v>
      </c>
      <c r="R865" s="2" t="inlineStr"/>
    </row>
    <row r="866" ht="15" customHeight="1">
      <c r="A866" t="inlineStr">
        <is>
          <t>A 25525-2022</t>
        </is>
      </c>
      <c r="B866" s="1" t="n">
        <v>44732</v>
      </c>
      <c r="C866" s="1" t="n">
        <v>45758</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25621-2022</t>
        </is>
      </c>
      <c r="B867" s="1" t="n">
        <v>44732</v>
      </c>
      <c r="C867" s="1" t="n">
        <v>45758</v>
      </c>
      <c r="D867" t="inlineStr">
        <is>
          <t>STOCKHOLMS LÄN</t>
        </is>
      </c>
      <c r="E867" t="inlineStr">
        <is>
          <t>NORRTÄLJE</t>
        </is>
      </c>
      <c r="G867" t="n">
        <v>3.1</v>
      </c>
      <c r="H867" t="n">
        <v>0</v>
      </c>
      <c r="I867" t="n">
        <v>0</v>
      </c>
      <c r="J867" t="n">
        <v>0</v>
      </c>
      <c r="K867" t="n">
        <v>0</v>
      </c>
      <c r="L867" t="n">
        <v>0</v>
      </c>
      <c r="M867" t="n">
        <v>0</v>
      </c>
      <c r="N867" t="n">
        <v>0</v>
      </c>
      <c r="O867" t="n">
        <v>0</v>
      </c>
      <c r="P867" t="n">
        <v>0</v>
      </c>
      <c r="Q867" t="n">
        <v>0</v>
      </c>
      <c r="R867" s="2" t="inlineStr"/>
    </row>
    <row r="868" ht="15" customHeight="1">
      <c r="A868" t="inlineStr">
        <is>
          <t>A 25619-2022</t>
        </is>
      </c>
      <c r="B868" s="1" t="n">
        <v>44732</v>
      </c>
      <c r="C868" s="1" t="n">
        <v>45758</v>
      </c>
      <c r="D868" t="inlineStr">
        <is>
          <t>STOCKHOLMS LÄN</t>
        </is>
      </c>
      <c r="E868" t="inlineStr">
        <is>
          <t>NORRTÄLJE</t>
        </is>
      </c>
      <c r="G868" t="n">
        <v>3.9</v>
      </c>
      <c r="H868" t="n">
        <v>0</v>
      </c>
      <c r="I868" t="n">
        <v>0</v>
      </c>
      <c r="J868" t="n">
        <v>0</v>
      </c>
      <c r="K868" t="n">
        <v>0</v>
      </c>
      <c r="L868" t="n">
        <v>0</v>
      </c>
      <c r="M868" t="n">
        <v>0</v>
      </c>
      <c r="N868" t="n">
        <v>0</v>
      </c>
      <c r="O868" t="n">
        <v>0</v>
      </c>
      <c r="P868" t="n">
        <v>0</v>
      </c>
      <c r="Q868" t="n">
        <v>0</v>
      </c>
      <c r="R868" s="2" t="inlineStr"/>
    </row>
    <row r="869" ht="15" customHeight="1">
      <c r="A869" t="inlineStr">
        <is>
          <t>A 26328-2022</t>
        </is>
      </c>
      <c r="B869" s="1" t="n">
        <v>44735</v>
      </c>
      <c r="C869" s="1" t="n">
        <v>45758</v>
      </c>
      <c r="D869" t="inlineStr">
        <is>
          <t>STOCKHOLMS LÄN</t>
        </is>
      </c>
      <c r="E869" t="inlineStr">
        <is>
          <t>NORRTÄLJE</t>
        </is>
      </c>
      <c r="G869" t="n">
        <v>2.8</v>
      </c>
      <c r="H869" t="n">
        <v>0</v>
      </c>
      <c r="I869" t="n">
        <v>0</v>
      </c>
      <c r="J869" t="n">
        <v>0</v>
      </c>
      <c r="K869" t="n">
        <v>0</v>
      </c>
      <c r="L869" t="n">
        <v>0</v>
      </c>
      <c r="M869" t="n">
        <v>0</v>
      </c>
      <c r="N869" t="n">
        <v>0</v>
      </c>
      <c r="O869" t="n">
        <v>0</v>
      </c>
      <c r="P869" t="n">
        <v>0</v>
      </c>
      <c r="Q869" t="n">
        <v>0</v>
      </c>
      <c r="R869" s="2" t="inlineStr"/>
    </row>
    <row r="870" ht="15" customHeight="1">
      <c r="A870" t="inlineStr">
        <is>
          <t>A 26335-2022</t>
        </is>
      </c>
      <c r="B870" s="1" t="n">
        <v>44735</v>
      </c>
      <c r="C870" s="1" t="n">
        <v>45758</v>
      </c>
      <c r="D870" t="inlineStr">
        <is>
          <t>STOCKHOLMS LÄN</t>
        </is>
      </c>
      <c r="E870" t="inlineStr">
        <is>
          <t>NORRTÄLJE</t>
        </is>
      </c>
      <c r="G870" t="n">
        <v>3.3</v>
      </c>
      <c r="H870" t="n">
        <v>0</v>
      </c>
      <c r="I870" t="n">
        <v>0</v>
      </c>
      <c r="J870" t="n">
        <v>0</v>
      </c>
      <c r="K870" t="n">
        <v>0</v>
      </c>
      <c r="L870" t="n">
        <v>0</v>
      </c>
      <c r="M870" t="n">
        <v>0</v>
      </c>
      <c r="N870" t="n">
        <v>0</v>
      </c>
      <c r="O870" t="n">
        <v>0</v>
      </c>
      <c r="P870" t="n">
        <v>0</v>
      </c>
      <c r="Q870" t="n">
        <v>0</v>
      </c>
      <c r="R870" s="2" t="inlineStr"/>
    </row>
    <row r="871" ht="15" customHeight="1">
      <c r="A871" t="inlineStr">
        <is>
          <t>A 27538-2022</t>
        </is>
      </c>
      <c r="B871" s="1" t="n">
        <v>44742</v>
      </c>
      <c r="C871" s="1" t="n">
        <v>45758</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27715-2022</t>
        </is>
      </c>
      <c r="B872" s="1" t="n">
        <v>44743</v>
      </c>
      <c r="C872" s="1" t="n">
        <v>45758</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27827-2022</t>
        </is>
      </c>
      <c r="B873" s="1" t="n">
        <v>44743</v>
      </c>
      <c r="C873" s="1" t="n">
        <v>45758</v>
      </c>
      <c r="D873" t="inlineStr">
        <is>
          <t>STOCKHOLMS LÄN</t>
        </is>
      </c>
      <c r="E873" t="inlineStr">
        <is>
          <t>NORRTÄLJE</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27870-2022</t>
        </is>
      </c>
      <c r="B874" s="1" t="n">
        <v>44743</v>
      </c>
      <c r="C874" s="1" t="n">
        <v>45758</v>
      </c>
      <c r="D874" t="inlineStr">
        <is>
          <t>STOCKHOLMS LÄN</t>
        </is>
      </c>
      <c r="E874" t="inlineStr">
        <is>
          <t>NORRTÄLJE</t>
        </is>
      </c>
      <c r="F874" t="inlineStr">
        <is>
          <t>Holmen skog AB</t>
        </is>
      </c>
      <c r="G874" t="n">
        <v>1.8</v>
      </c>
      <c r="H874" t="n">
        <v>0</v>
      </c>
      <c r="I874" t="n">
        <v>0</v>
      </c>
      <c r="J874" t="n">
        <v>0</v>
      </c>
      <c r="K874" t="n">
        <v>0</v>
      </c>
      <c r="L874" t="n">
        <v>0</v>
      </c>
      <c r="M874" t="n">
        <v>0</v>
      </c>
      <c r="N874" t="n">
        <v>0</v>
      </c>
      <c r="O874" t="n">
        <v>0</v>
      </c>
      <c r="P874" t="n">
        <v>0</v>
      </c>
      <c r="Q874" t="n">
        <v>0</v>
      </c>
      <c r="R874" s="2" t="inlineStr"/>
    </row>
    <row r="875" ht="15" customHeight="1">
      <c r="A875" t="inlineStr">
        <is>
          <t>A 27828-2022</t>
        </is>
      </c>
      <c r="B875" s="1" t="n">
        <v>44743</v>
      </c>
      <c r="C875" s="1" t="n">
        <v>45758</v>
      </c>
      <c r="D875" t="inlineStr">
        <is>
          <t>STOCKHOLMS LÄN</t>
        </is>
      </c>
      <c r="E875" t="inlineStr">
        <is>
          <t>NORRTÄLJE</t>
        </is>
      </c>
      <c r="F875" t="inlineStr">
        <is>
          <t>Kommuner</t>
        </is>
      </c>
      <c r="G875" t="n">
        <v>1.6</v>
      </c>
      <c r="H875" t="n">
        <v>0</v>
      </c>
      <c r="I875" t="n">
        <v>0</v>
      </c>
      <c r="J875" t="n">
        <v>0</v>
      </c>
      <c r="K875" t="n">
        <v>0</v>
      </c>
      <c r="L875" t="n">
        <v>0</v>
      </c>
      <c r="M875" t="n">
        <v>0</v>
      </c>
      <c r="N875" t="n">
        <v>0</v>
      </c>
      <c r="O875" t="n">
        <v>0</v>
      </c>
      <c r="P875" t="n">
        <v>0</v>
      </c>
      <c r="Q875" t="n">
        <v>0</v>
      </c>
      <c r="R875" s="2" t="inlineStr"/>
    </row>
    <row r="876" ht="15" customHeight="1">
      <c r="A876" t="inlineStr">
        <is>
          <t>A 27824-2022</t>
        </is>
      </c>
      <c r="B876" s="1" t="n">
        <v>44743</v>
      </c>
      <c r="C876" s="1" t="n">
        <v>45758</v>
      </c>
      <c r="D876" t="inlineStr">
        <is>
          <t>STOCKHOLMS LÄN</t>
        </is>
      </c>
      <c r="E876" t="inlineStr">
        <is>
          <t>NORRTÄLJE</t>
        </is>
      </c>
      <c r="F876" t="inlineStr">
        <is>
          <t>Kommuner</t>
        </is>
      </c>
      <c r="G876" t="n">
        <v>3.1</v>
      </c>
      <c r="H876" t="n">
        <v>0</v>
      </c>
      <c r="I876" t="n">
        <v>0</v>
      </c>
      <c r="J876" t="n">
        <v>0</v>
      </c>
      <c r="K876" t="n">
        <v>0</v>
      </c>
      <c r="L876" t="n">
        <v>0</v>
      </c>
      <c r="M876" t="n">
        <v>0</v>
      </c>
      <c r="N876" t="n">
        <v>0</v>
      </c>
      <c r="O876" t="n">
        <v>0</v>
      </c>
      <c r="P876" t="n">
        <v>0</v>
      </c>
      <c r="Q876" t="n">
        <v>0</v>
      </c>
      <c r="R876" s="2" t="inlineStr"/>
    </row>
    <row r="877" ht="15" customHeight="1">
      <c r="A877" t="inlineStr">
        <is>
          <t>A 27831-2022</t>
        </is>
      </c>
      <c r="B877" s="1" t="n">
        <v>44743</v>
      </c>
      <c r="C877" s="1" t="n">
        <v>45758</v>
      </c>
      <c r="D877" t="inlineStr">
        <is>
          <t>STOCKHOLMS LÄN</t>
        </is>
      </c>
      <c r="E877" t="inlineStr">
        <is>
          <t>NORRTÄLJE</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27885-2022</t>
        </is>
      </c>
      <c r="B878" s="1" t="n">
        <v>44743</v>
      </c>
      <c r="C878" s="1" t="n">
        <v>45758</v>
      </c>
      <c r="D878" t="inlineStr">
        <is>
          <t>STOCKHOLMS LÄN</t>
        </is>
      </c>
      <c r="E878" t="inlineStr">
        <is>
          <t>NORRTÄLJE</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27867-2022</t>
        </is>
      </c>
      <c r="B879" s="1" t="n">
        <v>44743</v>
      </c>
      <c r="C879" s="1" t="n">
        <v>45758</v>
      </c>
      <c r="D879" t="inlineStr">
        <is>
          <t>STOCKHOLMS LÄN</t>
        </is>
      </c>
      <c r="E879" t="inlineStr">
        <is>
          <t>NORRTÄLJE</t>
        </is>
      </c>
      <c r="F879" t="inlineStr">
        <is>
          <t>Holmen skog AB</t>
        </is>
      </c>
      <c r="G879" t="n">
        <v>1.3</v>
      </c>
      <c r="H879" t="n">
        <v>0</v>
      </c>
      <c r="I879" t="n">
        <v>0</v>
      </c>
      <c r="J879" t="n">
        <v>0</v>
      </c>
      <c r="K879" t="n">
        <v>0</v>
      </c>
      <c r="L879" t="n">
        <v>0</v>
      </c>
      <c r="M879" t="n">
        <v>0</v>
      </c>
      <c r="N879" t="n">
        <v>0</v>
      </c>
      <c r="O879" t="n">
        <v>0</v>
      </c>
      <c r="P879" t="n">
        <v>0</v>
      </c>
      <c r="Q879" t="n">
        <v>0</v>
      </c>
      <c r="R879" s="2" t="inlineStr"/>
    </row>
    <row r="880" ht="15" customHeight="1">
      <c r="A880" t="inlineStr">
        <is>
          <t>A 28042-2022</t>
        </is>
      </c>
      <c r="B880" s="1" t="n">
        <v>44744</v>
      </c>
      <c r="C880" s="1" t="n">
        <v>45758</v>
      </c>
      <c r="D880" t="inlineStr">
        <is>
          <t>STOCKHOLMS LÄN</t>
        </is>
      </c>
      <c r="E880" t="inlineStr">
        <is>
          <t>NORRTÄLJE</t>
        </is>
      </c>
      <c r="G880" t="n">
        <v>0.2</v>
      </c>
      <c r="H880" t="n">
        <v>0</v>
      </c>
      <c r="I880" t="n">
        <v>0</v>
      </c>
      <c r="J880" t="n">
        <v>0</v>
      </c>
      <c r="K880" t="n">
        <v>0</v>
      </c>
      <c r="L880" t="n">
        <v>0</v>
      </c>
      <c r="M880" t="n">
        <v>0</v>
      </c>
      <c r="N880" t="n">
        <v>0</v>
      </c>
      <c r="O880" t="n">
        <v>0</v>
      </c>
      <c r="P880" t="n">
        <v>0</v>
      </c>
      <c r="Q880" t="n">
        <v>0</v>
      </c>
      <c r="R880" s="2" t="inlineStr"/>
    </row>
    <row r="881" ht="15" customHeight="1">
      <c r="A881" t="inlineStr">
        <is>
          <t>A 28100-2022</t>
        </is>
      </c>
      <c r="B881" s="1" t="n">
        <v>44746</v>
      </c>
      <c r="C881" s="1" t="n">
        <v>45758</v>
      </c>
      <c r="D881" t="inlineStr">
        <is>
          <t>STOCKHOLMS LÄN</t>
        </is>
      </c>
      <c r="E881" t="inlineStr">
        <is>
          <t>NORRTÄLJE</t>
        </is>
      </c>
      <c r="F881" t="inlineStr">
        <is>
          <t>Holmen skog AB</t>
        </is>
      </c>
      <c r="G881" t="n">
        <v>5.8</v>
      </c>
      <c r="H881" t="n">
        <v>0</v>
      </c>
      <c r="I881" t="n">
        <v>0</v>
      </c>
      <c r="J881" t="n">
        <v>0</v>
      </c>
      <c r="K881" t="n">
        <v>0</v>
      </c>
      <c r="L881" t="n">
        <v>0</v>
      </c>
      <c r="M881" t="n">
        <v>0</v>
      </c>
      <c r="N881" t="n">
        <v>0</v>
      </c>
      <c r="O881" t="n">
        <v>0</v>
      </c>
      <c r="P881" t="n">
        <v>0</v>
      </c>
      <c r="Q881" t="n">
        <v>0</v>
      </c>
      <c r="R881" s="2" t="inlineStr"/>
    </row>
    <row r="882" ht="15" customHeight="1">
      <c r="A882" t="inlineStr">
        <is>
          <t>A 28182-2022</t>
        </is>
      </c>
      <c r="B882" s="1" t="n">
        <v>44746</v>
      </c>
      <c r="C882" s="1" t="n">
        <v>45758</v>
      </c>
      <c r="D882" t="inlineStr">
        <is>
          <t>STOCKHOLMS LÄN</t>
        </is>
      </c>
      <c r="E882" t="inlineStr">
        <is>
          <t>NORRTÄLJE</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28209-2022</t>
        </is>
      </c>
      <c r="B883" s="1" t="n">
        <v>44746</v>
      </c>
      <c r="C883" s="1" t="n">
        <v>45758</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28365-2022</t>
        </is>
      </c>
      <c r="B884" s="1" t="n">
        <v>44747</v>
      </c>
      <c r="C884" s="1" t="n">
        <v>45758</v>
      </c>
      <c r="D884" t="inlineStr">
        <is>
          <t>STOCKHOLMS LÄN</t>
        </is>
      </c>
      <c r="E884" t="inlineStr">
        <is>
          <t>NORRTÄLJE</t>
        </is>
      </c>
      <c r="G884" t="n">
        <v>5.1</v>
      </c>
      <c r="H884" t="n">
        <v>0</v>
      </c>
      <c r="I884" t="n">
        <v>0</v>
      </c>
      <c r="J884" t="n">
        <v>0</v>
      </c>
      <c r="K884" t="n">
        <v>0</v>
      </c>
      <c r="L884" t="n">
        <v>0</v>
      </c>
      <c r="M884" t="n">
        <v>0</v>
      </c>
      <c r="N884" t="n">
        <v>0</v>
      </c>
      <c r="O884" t="n">
        <v>0</v>
      </c>
      <c r="P884" t="n">
        <v>0</v>
      </c>
      <c r="Q884" t="n">
        <v>0</v>
      </c>
      <c r="R884" s="2" t="inlineStr"/>
    </row>
    <row r="885" ht="15" customHeight="1">
      <c r="A885" t="inlineStr">
        <is>
          <t>A 28900-2022</t>
        </is>
      </c>
      <c r="B885" s="1" t="n">
        <v>44749</v>
      </c>
      <c r="C885" s="1" t="n">
        <v>45758</v>
      </c>
      <c r="D885" t="inlineStr">
        <is>
          <t>STOCKHOLMS LÄN</t>
        </is>
      </c>
      <c r="E885" t="inlineStr">
        <is>
          <t>NORRTÄLJE</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28959-2022</t>
        </is>
      </c>
      <c r="B886" s="1" t="n">
        <v>44749</v>
      </c>
      <c r="C886" s="1" t="n">
        <v>45758</v>
      </c>
      <c r="D886" t="inlineStr">
        <is>
          <t>STOCKHOLMS LÄN</t>
        </is>
      </c>
      <c r="E886" t="inlineStr">
        <is>
          <t>NORRTÄLJE</t>
        </is>
      </c>
      <c r="G886" t="n">
        <v>5.2</v>
      </c>
      <c r="H886" t="n">
        <v>0</v>
      </c>
      <c r="I886" t="n">
        <v>0</v>
      </c>
      <c r="J886" t="n">
        <v>0</v>
      </c>
      <c r="K886" t="n">
        <v>0</v>
      </c>
      <c r="L886" t="n">
        <v>0</v>
      </c>
      <c r="M886" t="n">
        <v>0</v>
      </c>
      <c r="N886" t="n">
        <v>0</v>
      </c>
      <c r="O886" t="n">
        <v>0</v>
      </c>
      <c r="P886" t="n">
        <v>0</v>
      </c>
      <c r="Q886" t="n">
        <v>0</v>
      </c>
      <c r="R886" s="2" t="inlineStr"/>
    </row>
    <row r="887" ht="15" customHeight="1">
      <c r="A887" t="inlineStr">
        <is>
          <t>A 29070-2022</t>
        </is>
      </c>
      <c r="B887" s="1" t="n">
        <v>44750</v>
      </c>
      <c r="C887" s="1" t="n">
        <v>45758</v>
      </c>
      <c r="D887" t="inlineStr">
        <is>
          <t>STOCKHOLMS LÄN</t>
        </is>
      </c>
      <c r="E887" t="inlineStr">
        <is>
          <t>NORRTÄLJE</t>
        </is>
      </c>
      <c r="G887" t="n">
        <v>3.4</v>
      </c>
      <c r="H887" t="n">
        <v>0</v>
      </c>
      <c r="I887" t="n">
        <v>0</v>
      </c>
      <c r="J887" t="n">
        <v>0</v>
      </c>
      <c r="K887" t="n">
        <v>0</v>
      </c>
      <c r="L887" t="n">
        <v>0</v>
      </c>
      <c r="M887" t="n">
        <v>0</v>
      </c>
      <c r="N887" t="n">
        <v>0</v>
      </c>
      <c r="O887" t="n">
        <v>0</v>
      </c>
      <c r="P887" t="n">
        <v>0</v>
      </c>
      <c r="Q887" t="n">
        <v>0</v>
      </c>
      <c r="R887" s="2" t="inlineStr"/>
    </row>
    <row r="888" ht="15" customHeight="1">
      <c r="A888" t="inlineStr">
        <is>
          <t>A 29266-2022</t>
        </is>
      </c>
      <c r="B888" s="1" t="n">
        <v>44750</v>
      </c>
      <c r="C888" s="1" t="n">
        <v>45758</v>
      </c>
      <c r="D888" t="inlineStr">
        <is>
          <t>STOCKHOLMS LÄN</t>
        </is>
      </c>
      <c r="E888" t="inlineStr">
        <is>
          <t>NORRTÄLJE</t>
        </is>
      </c>
      <c r="G888" t="n">
        <v>1.8</v>
      </c>
      <c r="H888" t="n">
        <v>0</v>
      </c>
      <c r="I888" t="n">
        <v>0</v>
      </c>
      <c r="J888" t="n">
        <v>0</v>
      </c>
      <c r="K888" t="n">
        <v>0</v>
      </c>
      <c r="L888" t="n">
        <v>0</v>
      </c>
      <c r="M888" t="n">
        <v>0</v>
      </c>
      <c r="N888" t="n">
        <v>0</v>
      </c>
      <c r="O888" t="n">
        <v>0</v>
      </c>
      <c r="P888" t="n">
        <v>0</v>
      </c>
      <c r="Q888" t="n">
        <v>0</v>
      </c>
      <c r="R888" s="2" t="inlineStr"/>
    </row>
    <row r="889" ht="15" customHeight="1">
      <c r="A889" t="inlineStr">
        <is>
          <t>A 29278-2022</t>
        </is>
      </c>
      <c r="B889" s="1" t="n">
        <v>44750</v>
      </c>
      <c r="C889" s="1" t="n">
        <v>45758</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29362-2022</t>
        </is>
      </c>
      <c r="B890" s="1" t="n">
        <v>44753</v>
      </c>
      <c r="C890" s="1" t="n">
        <v>45758</v>
      </c>
      <c r="D890" t="inlineStr">
        <is>
          <t>STOCKHOLMS LÄN</t>
        </is>
      </c>
      <c r="E890" t="inlineStr">
        <is>
          <t>NORRTÄLJE</t>
        </is>
      </c>
      <c r="G890" t="n">
        <v>3.8</v>
      </c>
      <c r="H890" t="n">
        <v>0</v>
      </c>
      <c r="I890" t="n">
        <v>0</v>
      </c>
      <c r="J890" t="n">
        <v>0</v>
      </c>
      <c r="K890" t="n">
        <v>0</v>
      </c>
      <c r="L890" t="n">
        <v>0</v>
      </c>
      <c r="M890" t="n">
        <v>0</v>
      </c>
      <c r="N890" t="n">
        <v>0</v>
      </c>
      <c r="O890" t="n">
        <v>0</v>
      </c>
      <c r="P890" t="n">
        <v>0</v>
      </c>
      <c r="Q890" t="n">
        <v>0</v>
      </c>
      <c r="R890" s="2" t="inlineStr"/>
    </row>
    <row r="891" ht="15" customHeight="1">
      <c r="A891" t="inlineStr">
        <is>
          <t>A 29395-2022</t>
        </is>
      </c>
      <c r="B891" s="1" t="n">
        <v>44753</v>
      </c>
      <c r="C891" s="1" t="n">
        <v>45758</v>
      </c>
      <c r="D891" t="inlineStr">
        <is>
          <t>STOCKHOLMS LÄN</t>
        </is>
      </c>
      <c r="E891" t="inlineStr">
        <is>
          <t>NORRTÄLJE</t>
        </is>
      </c>
      <c r="F891" t="inlineStr">
        <is>
          <t>Holmen skog AB</t>
        </is>
      </c>
      <c r="G891" t="n">
        <v>4.1</v>
      </c>
      <c r="H891" t="n">
        <v>0</v>
      </c>
      <c r="I891" t="n">
        <v>0</v>
      </c>
      <c r="J891" t="n">
        <v>0</v>
      </c>
      <c r="K891" t="n">
        <v>0</v>
      </c>
      <c r="L891" t="n">
        <v>0</v>
      </c>
      <c r="M891" t="n">
        <v>0</v>
      </c>
      <c r="N891" t="n">
        <v>0</v>
      </c>
      <c r="O891" t="n">
        <v>0</v>
      </c>
      <c r="P891" t="n">
        <v>0</v>
      </c>
      <c r="Q891" t="n">
        <v>0</v>
      </c>
      <c r="R891" s="2" t="inlineStr"/>
    </row>
    <row r="892" ht="15" customHeight="1">
      <c r="A892" t="inlineStr">
        <is>
          <t>A 29868-2022</t>
        </is>
      </c>
      <c r="B892" s="1" t="n">
        <v>44756</v>
      </c>
      <c r="C892" s="1" t="n">
        <v>45758</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30151-2022</t>
        </is>
      </c>
      <c r="B893" s="1" t="n">
        <v>44757</v>
      </c>
      <c r="C893" s="1" t="n">
        <v>45758</v>
      </c>
      <c r="D893" t="inlineStr">
        <is>
          <t>STOCKHOLMS LÄN</t>
        </is>
      </c>
      <c r="E893" t="inlineStr">
        <is>
          <t>NORRTÄLJE</t>
        </is>
      </c>
      <c r="G893" t="n">
        <v>12.6</v>
      </c>
      <c r="H893" t="n">
        <v>0</v>
      </c>
      <c r="I893" t="n">
        <v>0</v>
      </c>
      <c r="J893" t="n">
        <v>0</v>
      </c>
      <c r="K893" t="n">
        <v>0</v>
      </c>
      <c r="L893" t="n">
        <v>0</v>
      </c>
      <c r="M893" t="n">
        <v>0</v>
      </c>
      <c r="N893" t="n">
        <v>0</v>
      </c>
      <c r="O893" t="n">
        <v>0</v>
      </c>
      <c r="P893" t="n">
        <v>0</v>
      </c>
      <c r="Q893" t="n">
        <v>0</v>
      </c>
      <c r="R893" s="2" t="inlineStr"/>
    </row>
    <row r="894" ht="15" customHeight="1">
      <c r="A894" t="inlineStr">
        <is>
          <t>A 30164-2022</t>
        </is>
      </c>
      <c r="B894" s="1" t="n">
        <v>44757</v>
      </c>
      <c r="C894" s="1" t="n">
        <v>45758</v>
      </c>
      <c r="D894" t="inlineStr">
        <is>
          <t>STOCKHOLMS LÄN</t>
        </is>
      </c>
      <c r="E894" t="inlineStr">
        <is>
          <t>NORRTÄLJE</t>
        </is>
      </c>
      <c r="F894" t="inlineStr">
        <is>
          <t>Holmen skog AB</t>
        </is>
      </c>
      <c r="G894" t="n">
        <v>0.6</v>
      </c>
      <c r="H894" t="n">
        <v>0</v>
      </c>
      <c r="I894" t="n">
        <v>0</v>
      </c>
      <c r="J894" t="n">
        <v>0</v>
      </c>
      <c r="K894" t="n">
        <v>0</v>
      </c>
      <c r="L894" t="n">
        <v>0</v>
      </c>
      <c r="M894" t="n">
        <v>0</v>
      </c>
      <c r="N894" t="n">
        <v>0</v>
      </c>
      <c r="O894" t="n">
        <v>0</v>
      </c>
      <c r="P894" t="n">
        <v>0</v>
      </c>
      <c r="Q894" t="n">
        <v>0</v>
      </c>
      <c r="R894" s="2" t="inlineStr"/>
    </row>
    <row r="895" ht="15" customHeight="1">
      <c r="A895" t="inlineStr">
        <is>
          <t>A 30171-2022</t>
        </is>
      </c>
      <c r="B895" s="1" t="n">
        <v>44757</v>
      </c>
      <c r="C895" s="1" t="n">
        <v>45758</v>
      </c>
      <c r="D895" t="inlineStr">
        <is>
          <t>STOCKHOLMS LÄN</t>
        </is>
      </c>
      <c r="E895" t="inlineStr">
        <is>
          <t>NORRTÄLJE</t>
        </is>
      </c>
      <c r="F895" t="inlineStr">
        <is>
          <t>Holmen skog AB</t>
        </is>
      </c>
      <c r="G895" t="n">
        <v>6.3</v>
      </c>
      <c r="H895" t="n">
        <v>0</v>
      </c>
      <c r="I895" t="n">
        <v>0</v>
      </c>
      <c r="J895" t="n">
        <v>0</v>
      </c>
      <c r="K895" t="n">
        <v>0</v>
      </c>
      <c r="L895" t="n">
        <v>0</v>
      </c>
      <c r="M895" t="n">
        <v>0</v>
      </c>
      <c r="N895" t="n">
        <v>0</v>
      </c>
      <c r="O895" t="n">
        <v>0</v>
      </c>
      <c r="P895" t="n">
        <v>0</v>
      </c>
      <c r="Q895" t="n">
        <v>0</v>
      </c>
      <c r="R895" s="2" t="inlineStr"/>
    </row>
    <row r="896" ht="15" customHeight="1">
      <c r="A896" t="inlineStr">
        <is>
          <t>A 30283-2022</t>
        </is>
      </c>
      <c r="B896" s="1" t="n">
        <v>44760</v>
      </c>
      <c r="C896" s="1" t="n">
        <v>45758</v>
      </c>
      <c r="D896" t="inlineStr">
        <is>
          <t>STOCKHOLMS LÄN</t>
        </is>
      </c>
      <c r="E896" t="inlineStr">
        <is>
          <t>NORRTÄLJE</t>
        </is>
      </c>
      <c r="G896" t="n">
        <v>6.2</v>
      </c>
      <c r="H896" t="n">
        <v>0</v>
      </c>
      <c r="I896" t="n">
        <v>0</v>
      </c>
      <c r="J896" t="n">
        <v>0</v>
      </c>
      <c r="K896" t="n">
        <v>0</v>
      </c>
      <c r="L896" t="n">
        <v>0</v>
      </c>
      <c r="M896" t="n">
        <v>0</v>
      </c>
      <c r="N896" t="n">
        <v>0</v>
      </c>
      <c r="O896" t="n">
        <v>0</v>
      </c>
      <c r="P896" t="n">
        <v>0</v>
      </c>
      <c r="Q896" t="n">
        <v>0</v>
      </c>
      <c r="R896" s="2" t="inlineStr"/>
    </row>
    <row r="897" ht="15" customHeight="1">
      <c r="A897" t="inlineStr">
        <is>
          <t>A 30338-2022</t>
        </is>
      </c>
      <c r="B897" s="1" t="n">
        <v>44760</v>
      </c>
      <c r="C897" s="1" t="n">
        <v>45758</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30286-2022</t>
        </is>
      </c>
      <c r="B898" s="1" t="n">
        <v>44760</v>
      </c>
      <c r="C898" s="1" t="n">
        <v>45758</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30290-2022</t>
        </is>
      </c>
      <c r="B899" s="1" t="n">
        <v>44760</v>
      </c>
      <c r="C899" s="1" t="n">
        <v>45758</v>
      </c>
      <c r="D899" t="inlineStr">
        <is>
          <t>STOCKHOLMS LÄN</t>
        </is>
      </c>
      <c r="E899" t="inlineStr">
        <is>
          <t>NORRTÄLJE</t>
        </is>
      </c>
      <c r="G899" t="n">
        <v>4.8</v>
      </c>
      <c r="H899" t="n">
        <v>0</v>
      </c>
      <c r="I899" t="n">
        <v>0</v>
      </c>
      <c r="J899" t="n">
        <v>0</v>
      </c>
      <c r="K899" t="n">
        <v>0</v>
      </c>
      <c r="L899" t="n">
        <v>0</v>
      </c>
      <c r="M899" t="n">
        <v>0</v>
      </c>
      <c r="N899" t="n">
        <v>0</v>
      </c>
      <c r="O899" t="n">
        <v>0</v>
      </c>
      <c r="P899" t="n">
        <v>0</v>
      </c>
      <c r="Q899" t="n">
        <v>0</v>
      </c>
      <c r="R899" s="2" t="inlineStr"/>
    </row>
    <row r="900" ht="15" customHeight="1">
      <c r="A900" t="inlineStr">
        <is>
          <t>A 30620-2022</t>
        </is>
      </c>
      <c r="B900" s="1" t="n">
        <v>44763</v>
      </c>
      <c r="C900" s="1" t="n">
        <v>45758</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30624-2022</t>
        </is>
      </c>
      <c r="B901" s="1" t="n">
        <v>44763</v>
      </c>
      <c r="C901" s="1" t="n">
        <v>45758</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30758-2022</t>
        </is>
      </c>
      <c r="B902" s="1" t="n">
        <v>44764</v>
      </c>
      <c r="C902" s="1" t="n">
        <v>45758</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30740-2022</t>
        </is>
      </c>
      <c r="B903" s="1" t="n">
        <v>44764</v>
      </c>
      <c r="C903" s="1" t="n">
        <v>45758</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30750-2022</t>
        </is>
      </c>
      <c r="B904" s="1" t="n">
        <v>44764</v>
      </c>
      <c r="C904" s="1" t="n">
        <v>45758</v>
      </c>
      <c r="D904" t="inlineStr">
        <is>
          <t>STOCKHOLMS LÄN</t>
        </is>
      </c>
      <c r="E904" t="inlineStr">
        <is>
          <t>NORRTÄLJE</t>
        </is>
      </c>
      <c r="G904" t="n">
        <v>3.7</v>
      </c>
      <c r="H904" t="n">
        <v>0</v>
      </c>
      <c r="I904" t="n">
        <v>0</v>
      </c>
      <c r="J904" t="n">
        <v>0</v>
      </c>
      <c r="K904" t="n">
        <v>0</v>
      </c>
      <c r="L904" t="n">
        <v>0</v>
      </c>
      <c r="M904" t="n">
        <v>0</v>
      </c>
      <c r="N904" t="n">
        <v>0</v>
      </c>
      <c r="O904" t="n">
        <v>0</v>
      </c>
      <c r="P904" t="n">
        <v>0</v>
      </c>
      <c r="Q904" t="n">
        <v>0</v>
      </c>
      <c r="R904" s="2" t="inlineStr"/>
    </row>
    <row r="905" ht="15" customHeight="1">
      <c r="A905" t="inlineStr">
        <is>
          <t>A 30802-2022</t>
        </is>
      </c>
      <c r="B905" s="1" t="n">
        <v>44764</v>
      </c>
      <c r="C905" s="1" t="n">
        <v>45758</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30886-2022</t>
        </is>
      </c>
      <c r="B906" s="1" t="n">
        <v>44767</v>
      </c>
      <c r="C906" s="1" t="n">
        <v>45758</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31102-2022</t>
        </is>
      </c>
      <c r="B907" s="1" t="n">
        <v>44769</v>
      </c>
      <c r="C907" s="1" t="n">
        <v>45758</v>
      </c>
      <c r="D907" t="inlineStr">
        <is>
          <t>STOCKHOLMS LÄN</t>
        </is>
      </c>
      <c r="E907" t="inlineStr">
        <is>
          <t>NORRTÄLJE</t>
        </is>
      </c>
      <c r="G907" t="n">
        <v>3.7</v>
      </c>
      <c r="H907" t="n">
        <v>0</v>
      </c>
      <c r="I907" t="n">
        <v>0</v>
      </c>
      <c r="J907" t="n">
        <v>0</v>
      </c>
      <c r="K907" t="n">
        <v>0</v>
      </c>
      <c r="L907" t="n">
        <v>0</v>
      </c>
      <c r="M907" t="n">
        <v>0</v>
      </c>
      <c r="N907" t="n">
        <v>0</v>
      </c>
      <c r="O907" t="n">
        <v>0</v>
      </c>
      <c r="P907" t="n">
        <v>0</v>
      </c>
      <c r="Q907" t="n">
        <v>0</v>
      </c>
      <c r="R907" s="2" t="inlineStr"/>
    </row>
    <row r="908" ht="15" customHeight="1">
      <c r="A908" t="inlineStr">
        <is>
          <t>A 31092-2022</t>
        </is>
      </c>
      <c r="B908" s="1" t="n">
        <v>44769</v>
      </c>
      <c r="C908" s="1" t="n">
        <v>45758</v>
      </c>
      <c r="D908" t="inlineStr">
        <is>
          <t>STOCKHOLMS LÄN</t>
        </is>
      </c>
      <c r="E908" t="inlineStr">
        <is>
          <t>NORRTÄLJE</t>
        </is>
      </c>
      <c r="G908" t="n">
        <v>1.6</v>
      </c>
      <c r="H908" t="n">
        <v>0</v>
      </c>
      <c r="I908" t="n">
        <v>0</v>
      </c>
      <c r="J908" t="n">
        <v>0</v>
      </c>
      <c r="K908" t="n">
        <v>0</v>
      </c>
      <c r="L908" t="n">
        <v>0</v>
      </c>
      <c r="M908" t="n">
        <v>0</v>
      </c>
      <c r="N908" t="n">
        <v>0</v>
      </c>
      <c r="O908" t="n">
        <v>0</v>
      </c>
      <c r="P908" t="n">
        <v>0</v>
      </c>
      <c r="Q908" t="n">
        <v>0</v>
      </c>
      <c r="R908" s="2" t="inlineStr"/>
    </row>
    <row r="909" ht="15" customHeight="1">
      <c r="A909" t="inlineStr">
        <is>
          <t>A 31052-2022</t>
        </is>
      </c>
      <c r="B909" s="1" t="n">
        <v>44769</v>
      </c>
      <c r="C909" s="1" t="n">
        <v>45758</v>
      </c>
      <c r="D909" t="inlineStr">
        <is>
          <t>STOCKHOLMS LÄN</t>
        </is>
      </c>
      <c r="E909" t="inlineStr">
        <is>
          <t>NORRTÄLJE</t>
        </is>
      </c>
      <c r="G909" t="n">
        <v>6</v>
      </c>
      <c r="H909" t="n">
        <v>0</v>
      </c>
      <c r="I909" t="n">
        <v>0</v>
      </c>
      <c r="J909" t="n">
        <v>0</v>
      </c>
      <c r="K909" t="n">
        <v>0</v>
      </c>
      <c r="L909" t="n">
        <v>0</v>
      </c>
      <c r="M909" t="n">
        <v>0</v>
      </c>
      <c r="N909" t="n">
        <v>0</v>
      </c>
      <c r="O909" t="n">
        <v>0</v>
      </c>
      <c r="P909" t="n">
        <v>0</v>
      </c>
      <c r="Q909" t="n">
        <v>0</v>
      </c>
      <c r="R909" s="2" t="inlineStr"/>
    </row>
    <row r="910" ht="15" customHeight="1">
      <c r="A910" t="inlineStr">
        <is>
          <t>A 31105-2022</t>
        </is>
      </c>
      <c r="B910" s="1" t="n">
        <v>44769</v>
      </c>
      <c r="C910" s="1" t="n">
        <v>45758</v>
      </c>
      <c r="D910" t="inlineStr">
        <is>
          <t>STOCKHOLMS LÄN</t>
        </is>
      </c>
      <c r="E910" t="inlineStr">
        <is>
          <t>NORRTÄLJE</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31107-2022</t>
        </is>
      </c>
      <c r="B911" s="1" t="n">
        <v>44769</v>
      </c>
      <c r="C911" s="1" t="n">
        <v>45758</v>
      </c>
      <c r="D911" t="inlineStr">
        <is>
          <t>STOCKHOLMS LÄN</t>
        </is>
      </c>
      <c r="E911" t="inlineStr">
        <is>
          <t>NORRTÄLJE</t>
        </is>
      </c>
      <c r="G911" t="n">
        <v>3.8</v>
      </c>
      <c r="H911" t="n">
        <v>0</v>
      </c>
      <c r="I911" t="n">
        <v>0</v>
      </c>
      <c r="J911" t="n">
        <v>0</v>
      </c>
      <c r="K911" t="n">
        <v>0</v>
      </c>
      <c r="L911" t="n">
        <v>0</v>
      </c>
      <c r="M911" t="n">
        <v>0</v>
      </c>
      <c r="N911" t="n">
        <v>0</v>
      </c>
      <c r="O911" t="n">
        <v>0</v>
      </c>
      <c r="P911" t="n">
        <v>0</v>
      </c>
      <c r="Q911" t="n">
        <v>0</v>
      </c>
      <c r="R911" s="2" t="inlineStr"/>
    </row>
    <row r="912" ht="15" customHeight="1">
      <c r="A912" t="inlineStr">
        <is>
          <t>A 31057-2022</t>
        </is>
      </c>
      <c r="B912" s="1" t="n">
        <v>44769</v>
      </c>
      <c r="C912" s="1" t="n">
        <v>45758</v>
      </c>
      <c r="D912" t="inlineStr">
        <is>
          <t>STOCKHOLMS LÄN</t>
        </is>
      </c>
      <c r="E912" t="inlineStr">
        <is>
          <t>NORRTÄLJE</t>
        </is>
      </c>
      <c r="G912" t="n">
        <v>6.5</v>
      </c>
      <c r="H912" t="n">
        <v>0</v>
      </c>
      <c r="I912" t="n">
        <v>0</v>
      </c>
      <c r="J912" t="n">
        <v>0</v>
      </c>
      <c r="K912" t="n">
        <v>0</v>
      </c>
      <c r="L912" t="n">
        <v>0</v>
      </c>
      <c r="M912" t="n">
        <v>0</v>
      </c>
      <c r="N912" t="n">
        <v>0</v>
      </c>
      <c r="O912" t="n">
        <v>0</v>
      </c>
      <c r="P912" t="n">
        <v>0</v>
      </c>
      <c r="Q912" t="n">
        <v>0</v>
      </c>
      <c r="R912" s="2" t="inlineStr"/>
    </row>
    <row r="913" ht="15" customHeight="1">
      <c r="A913" t="inlineStr">
        <is>
          <t>A 31236-2022</t>
        </is>
      </c>
      <c r="B913" s="1" t="n">
        <v>44771</v>
      </c>
      <c r="C913" s="1" t="n">
        <v>45758</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31281-2022</t>
        </is>
      </c>
      <c r="B914" s="1" t="n">
        <v>44771</v>
      </c>
      <c r="C914" s="1" t="n">
        <v>45758</v>
      </c>
      <c r="D914" t="inlineStr">
        <is>
          <t>STOCKHOLMS LÄN</t>
        </is>
      </c>
      <c r="E914" t="inlineStr">
        <is>
          <t>NORRTÄLJE</t>
        </is>
      </c>
      <c r="F914" t="inlineStr">
        <is>
          <t>Holmen skog AB</t>
        </is>
      </c>
      <c r="G914" t="n">
        <v>5.2</v>
      </c>
      <c r="H914" t="n">
        <v>0</v>
      </c>
      <c r="I914" t="n">
        <v>0</v>
      </c>
      <c r="J914" t="n">
        <v>0</v>
      </c>
      <c r="K914" t="n">
        <v>0</v>
      </c>
      <c r="L914" t="n">
        <v>0</v>
      </c>
      <c r="M914" t="n">
        <v>0</v>
      </c>
      <c r="N914" t="n">
        <v>0</v>
      </c>
      <c r="O914" t="n">
        <v>0</v>
      </c>
      <c r="P914" t="n">
        <v>0</v>
      </c>
      <c r="Q914" t="n">
        <v>0</v>
      </c>
      <c r="R914" s="2" t="inlineStr"/>
    </row>
    <row r="915" ht="15" customHeight="1">
      <c r="A915" t="inlineStr">
        <is>
          <t>A 31283-2022</t>
        </is>
      </c>
      <c r="B915" s="1" t="n">
        <v>44771</v>
      </c>
      <c r="C915" s="1" t="n">
        <v>45758</v>
      </c>
      <c r="D915" t="inlineStr">
        <is>
          <t>STOCKHOLMS LÄN</t>
        </is>
      </c>
      <c r="E915" t="inlineStr">
        <is>
          <t>NORRTÄLJE</t>
        </is>
      </c>
      <c r="G915" t="n">
        <v>0.5</v>
      </c>
      <c r="H915" t="n">
        <v>0</v>
      </c>
      <c r="I915" t="n">
        <v>0</v>
      </c>
      <c r="J915" t="n">
        <v>0</v>
      </c>
      <c r="K915" t="n">
        <v>0</v>
      </c>
      <c r="L915" t="n">
        <v>0</v>
      </c>
      <c r="M915" t="n">
        <v>0</v>
      </c>
      <c r="N915" t="n">
        <v>0</v>
      </c>
      <c r="O915" t="n">
        <v>0</v>
      </c>
      <c r="P915" t="n">
        <v>0</v>
      </c>
      <c r="Q915" t="n">
        <v>0</v>
      </c>
      <c r="R915" s="2" t="inlineStr"/>
    </row>
    <row r="916" ht="15" customHeight="1">
      <c r="A916" t="inlineStr">
        <is>
          <t>A 31559-2022</t>
        </is>
      </c>
      <c r="B916" s="1" t="n">
        <v>44775</v>
      </c>
      <c r="C916" s="1" t="n">
        <v>45758</v>
      </c>
      <c r="D916" t="inlineStr">
        <is>
          <t>STOCKHOLMS LÄN</t>
        </is>
      </c>
      <c r="E916" t="inlineStr">
        <is>
          <t>NORRTÄLJE</t>
        </is>
      </c>
      <c r="G916" t="n">
        <v>5.6</v>
      </c>
      <c r="H916" t="n">
        <v>0</v>
      </c>
      <c r="I916" t="n">
        <v>0</v>
      </c>
      <c r="J916" t="n">
        <v>0</v>
      </c>
      <c r="K916" t="n">
        <v>0</v>
      </c>
      <c r="L916" t="n">
        <v>0</v>
      </c>
      <c r="M916" t="n">
        <v>0</v>
      </c>
      <c r="N916" t="n">
        <v>0</v>
      </c>
      <c r="O916" t="n">
        <v>0</v>
      </c>
      <c r="P916" t="n">
        <v>0</v>
      </c>
      <c r="Q916" t="n">
        <v>0</v>
      </c>
      <c r="R916" s="2" t="inlineStr"/>
    </row>
    <row r="917" ht="15" customHeight="1">
      <c r="A917" t="inlineStr">
        <is>
          <t>A 31807-2022</t>
        </is>
      </c>
      <c r="B917" s="1" t="n">
        <v>44776</v>
      </c>
      <c r="C917" s="1" t="n">
        <v>45758</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31938-2022</t>
        </is>
      </c>
      <c r="B918" s="1" t="n">
        <v>44777</v>
      </c>
      <c r="C918" s="1" t="n">
        <v>45758</v>
      </c>
      <c r="D918" t="inlineStr">
        <is>
          <t>STOCKHOLMS LÄN</t>
        </is>
      </c>
      <c r="E918" t="inlineStr">
        <is>
          <t>NORRTÄLJE</t>
        </is>
      </c>
      <c r="G918" t="n">
        <v>7.8</v>
      </c>
      <c r="H918" t="n">
        <v>0</v>
      </c>
      <c r="I918" t="n">
        <v>0</v>
      </c>
      <c r="J918" t="n">
        <v>0</v>
      </c>
      <c r="K918" t="n">
        <v>0</v>
      </c>
      <c r="L918" t="n">
        <v>0</v>
      </c>
      <c r="M918" t="n">
        <v>0</v>
      </c>
      <c r="N918" t="n">
        <v>0</v>
      </c>
      <c r="O918" t="n">
        <v>0</v>
      </c>
      <c r="P918" t="n">
        <v>0</v>
      </c>
      <c r="Q918" t="n">
        <v>0</v>
      </c>
      <c r="R918" s="2" t="inlineStr"/>
    </row>
    <row r="919" ht="15" customHeight="1">
      <c r="A919" t="inlineStr">
        <is>
          <t>A 31936-2022</t>
        </is>
      </c>
      <c r="B919" s="1" t="n">
        <v>44777</v>
      </c>
      <c r="C919" s="1" t="n">
        <v>45758</v>
      </c>
      <c r="D919" t="inlineStr">
        <is>
          <t>STOCKHOLMS LÄN</t>
        </is>
      </c>
      <c r="E919" t="inlineStr">
        <is>
          <t>NORRTÄLJE</t>
        </is>
      </c>
      <c r="G919" t="n">
        <v>5.2</v>
      </c>
      <c r="H919" t="n">
        <v>0</v>
      </c>
      <c r="I919" t="n">
        <v>0</v>
      </c>
      <c r="J919" t="n">
        <v>0</v>
      </c>
      <c r="K919" t="n">
        <v>0</v>
      </c>
      <c r="L919" t="n">
        <v>0</v>
      </c>
      <c r="M919" t="n">
        <v>0</v>
      </c>
      <c r="N919" t="n">
        <v>0</v>
      </c>
      <c r="O919" t="n">
        <v>0</v>
      </c>
      <c r="P919" t="n">
        <v>0</v>
      </c>
      <c r="Q919" t="n">
        <v>0</v>
      </c>
      <c r="R919" s="2" t="inlineStr"/>
    </row>
    <row r="920" ht="15" customHeight="1">
      <c r="A920" t="inlineStr">
        <is>
          <t>A 31924-2022</t>
        </is>
      </c>
      <c r="B920" s="1" t="n">
        <v>44777</v>
      </c>
      <c r="C920" s="1" t="n">
        <v>45758</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31939-2022</t>
        </is>
      </c>
      <c r="B921" s="1" t="n">
        <v>44777</v>
      </c>
      <c r="C921" s="1" t="n">
        <v>45758</v>
      </c>
      <c r="D921" t="inlineStr">
        <is>
          <t>STOCKHOLMS LÄN</t>
        </is>
      </c>
      <c r="E921" t="inlineStr">
        <is>
          <t>NORRTÄLJE</t>
        </is>
      </c>
      <c r="G921" t="n">
        <v>13.5</v>
      </c>
      <c r="H921" t="n">
        <v>0</v>
      </c>
      <c r="I921" t="n">
        <v>0</v>
      </c>
      <c r="J921" t="n">
        <v>0</v>
      </c>
      <c r="K921" t="n">
        <v>0</v>
      </c>
      <c r="L921" t="n">
        <v>0</v>
      </c>
      <c r="M921" t="n">
        <v>0</v>
      </c>
      <c r="N921" t="n">
        <v>0</v>
      </c>
      <c r="O921" t="n">
        <v>0</v>
      </c>
      <c r="P921" t="n">
        <v>0</v>
      </c>
      <c r="Q921" t="n">
        <v>0</v>
      </c>
      <c r="R921" s="2" t="inlineStr"/>
    </row>
    <row r="922" ht="15" customHeight="1">
      <c r="A922" t="inlineStr">
        <is>
          <t>A 31926-2022</t>
        </is>
      </c>
      <c r="B922" s="1" t="n">
        <v>44777</v>
      </c>
      <c r="C922" s="1" t="n">
        <v>45758</v>
      </c>
      <c r="D922" t="inlineStr">
        <is>
          <t>STOCKHOLMS LÄN</t>
        </is>
      </c>
      <c r="E922" t="inlineStr">
        <is>
          <t>NORRTÄLJE</t>
        </is>
      </c>
      <c r="G922" t="n">
        <v>5.2</v>
      </c>
      <c r="H922" t="n">
        <v>0</v>
      </c>
      <c r="I922" t="n">
        <v>0</v>
      </c>
      <c r="J922" t="n">
        <v>0</v>
      </c>
      <c r="K922" t="n">
        <v>0</v>
      </c>
      <c r="L922" t="n">
        <v>0</v>
      </c>
      <c r="M922" t="n">
        <v>0</v>
      </c>
      <c r="N922" t="n">
        <v>0</v>
      </c>
      <c r="O922" t="n">
        <v>0</v>
      </c>
      <c r="P922" t="n">
        <v>0</v>
      </c>
      <c r="Q922" t="n">
        <v>0</v>
      </c>
      <c r="R922" s="2" t="inlineStr"/>
    </row>
    <row r="923" ht="15" customHeight="1">
      <c r="A923" t="inlineStr">
        <is>
          <t>A 31934-2022</t>
        </is>
      </c>
      <c r="B923" s="1" t="n">
        <v>44777</v>
      </c>
      <c r="C923" s="1" t="n">
        <v>45758</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32103-2022</t>
        </is>
      </c>
      <c r="B924" s="1" t="n">
        <v>44778</v>
      </c>
      <c r="C924" s="1" t="n">
        <v>45758</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32111-2022</t>
        </is>
      </c>
      <c r="B925" s="1" t="n">
        <v>44779</v>
      </c>
      <c r="C925" s="1" t="n">
        <v>45758</v>
      </c>
      <c r="D925" t="inlineStr">
        <is>
          <t>STOCKHOLMS LÄN</t>
        </is>
      </c>
      <c r="E925" t="inlineStr">
        <is>
          <t>NORRTÄLJE</t>
        </is>
      </c>
      <c r="G925" t="n">
        <v>3.1</v>
      </c>
      <c r="H925" t="n">
        <v>0</v>
      </c>
      <c r="I925" t="n">
        <v>0</v>
      </c>
      <c r="J925" t="n">
        <v>0</v>
      </c>
      <c r="K925" t="n">
        <v>0</v>
      </c>
      <c r="L925" t="n">
        <v>0</v>
      </c>
      <c r="M925" t="n">
        <v>0</v>
      </c>
      <c r="N925" t="n">
        <v>0</v>
      </c>
      <c r="O925" t="n">
        <v>0</v>
      </c>
      <c r="P925" t="n">
        <v>0</v>
      </c>
      <c r="Q925" t="n">
        <v>0</v>
      </c>
      <c r="R925" s="2" t="inlineStr"/>
    </row>
    <row r="926" ht="15" customHeight="1">
      <c r="A926" t="inlineStr">
        <is>
          <t>A 32101-2022</t>
        </is>
      </c>
      <c r="B926" s="1" t="n">
        <v>44778</v>
      </c>
      <c r="C926" s="1" t="n">
        <v>45758</v>
      </c>
      <c r="D926" t="inlineStr">
        <is>
          <t>STOCKHOLMS LÄN</t>
        </is>
      </c>
      <c r="E926" t="inlineStr">
        <is>
          <t>NORRTÄLJE</t>
        </is>
      </c>
      <c r="G926" t="n">
        <v>4.4</v>
      </c>
      <c r="H926" t="n">
        <v>0</v>
      </c>
      <c r="I926" t="n">
        <v>0</v>
      </c>
      <c r="J926" t="n">
        <v>0</v>
      </c>
      <c r="K926" t="n">
        <v>0</v>
      </c>
      <c r="L926" t="n">
        <v>0</v>
      </c>
      <c r="M926" t="n">
        <v>0</v>
      </c>
      <c r="N926" t="n">
        <v>0</v>
      </c>
      <c r="O926" t="n">
        <v>0</v>
      </c>
      <c r="P926" t="n">
        <v>0</v>
      </c>
      <c r="Q926" t="n">
        <v>0</v>
      </c>
      <c r="R926" s="2" t="inlineStr"/>
    </row>
    <row r="927" ht="15" customHeight="1">
      <c r="A927" t="inlineStr">
        <is>
          <t>A 32100-2022</t>
        </is>
      </c>
      <c r="B927" s="1" t="n">
        <v>44778</v>
      </c>
      <c r="C927" s="1" t="n">
        <v>45758</v>
      </c>
      <c r="D927" t="inlineStr">
        <is>
          <t>STOCKHOLMS LÄN</t>
        </is>
      </c>
      <c r="E927" t="inlineStr">
        <is>
          <t>NORRTÄLJE</t>
        </is>
      </c>
      <c r="G927" t="n">
        <v>3.3</v>
      </c>
      <c r="H927" t="n">
        <v>0</v>
      </c>
      <c r="I927" t="n">
        <v>0</v>
      </c>
      <c r="J927" t="n">
        <v>0</v>
      </c>
      <c r="K927" t="n">
        <v>0</v>
      </c>
      <c r="L927" t="n">
        <v>0</v>
      </c>
      <c r="M927" t="n">
        <v>0</v>
      </c>
      <c r="N927" t="n">
        <v>0</v>
      </c>
      <c r="O927" t="n">
        <v>0</v>
      </c>
      <c r="P927" t="n">
        <v>0</v>
      </c>
      <c r="Q927" t="n">
        <v>0</v>
      </c>
      <c r="R927" s="2" t="inlineStr"/>
    </row>
    <row r="928" ht="15" customHeight="1">
      <c r="A928" t="inlineStr">
        <is>
          <t>A 32102-2022</t>
        </is>
      </c>
      <c r="B928" s="1" t="n">
        <v>44778</v>
      </c>
      <c r="C928" s="1" t="n">
        <v>45758</v>
      </c>
      <c r="D928" t="inlineStr">
        <is>
          <t>STOCKHOLMS LÄN</t>
        </is>
      </c>
      <c r="E928" t="inlineStr">
        <is>
          <t>NORRTÄLJE</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32514-2022</t>
        </is>
      </c>
      <c r="B929" s="1" t="n">
        <v>44782</v>
      </c>
      <c r="C929" s="1" t="n">
        <v>45758</v>
      </c>
      <c r="D929" t="inlineStr">
        <is>
          <t>STOCKHOLMS LÄN</t>
        </is>
      </c>
      <c r="E929" t="inlineStr">
        <is>
          <t>NORRTÄLJE</t>
        </is>
      </c>
      <c r="G929" t="n">
        <v>5.1</v>
      </c>
      <c r="H929" t="n">
        <v>0</v>
      </c>
      <c r="I929" t="n">
        <v>0</v>
      </c>
      <c r="J929" t="n">
        <v>0</v>
      </c>
      <c r="K929" t="n">
        <v>0</v>
      </c>
      <c r="L929" t="n">
        <v>0</v>
      </c>
      <c r="M929" t="n">
        <v>0</v>
      </c>
      <c r="N929" t="n">
        <v>0</v>
      </c>
      <c r="O929" t="n">
        <v>0</v>
      </c>
      <c r="P929" t="n">
        <v>0</v>
      </c>
      <c r="Q929" t="n">
        <v>0</v>
      </c>
      <c r="R929" s="2" t="inlineStr"/>
    </row>
    <row r="930" ht="15" customHeight="1">
      <c r="A930" t="inlineStr">
        <is>
          <t>A 32705-2022</t>
        </is>
      </c>
      <c r="B930" s="1" t="n">
        <v>44783</v>
      </c>
      <c r="C930" s="1" t="n">
        <v>45758</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33055-2022</t>
        </is>
      </c>
      <c r="B931" s="1" t="n">
        <v>44785</v>
      </c>
      <c r="C931" s="1" t="n">
        <v>45758</v>
      </c>
      <c r="D931" t="inlineStr">
        <is>
          <t>STOCKHOLMS LÄN</t>
        </is>
      </c>
      <c r="E931" t="inlineStr">
        <is>
          <t>NORRTÄLJE</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33149-2022</t>
        </is>
      </c>
      <c r="B932" s="1" t="n">
        <v>44785</v>
      </c>
      <c r="C932" s="1" t="n">
        <v>45758</v>
      </c>
      <c r="D932" t="inlineStr">
        <is>
          <t>STOCKHOLMS LÄN</t>
        </is>
      </c>
      <c r="E932" t="inlineStr">
        <is>
          <t>NORRTÄLJE</t>
        </is>
      </c>
      <c r="F932" t="inlineStr">
        <is>
          <t>Holmen skog AB</t>
        </is>
      </c>
      <c r="G932" t="n">
        <v>4.4</v>
      </c>
      <c r="H932" t="n">
        <v>0</v>
      </c>
      <c r="I932" t="n">
        <v>0</v>
      </c>
      <c r="J932" t="n">
        <v>0</v>
      </c>
      <c r="K932" t="n">
        <v>0</v>
      </c>
      <c r="L932" t="n">
        <v>0</v>
      </c>
      <c r="M932" t="n">
        <v>0</v>
      </c>
      <c r="N932" t="n">
        <v>0</v>
      </c>
      <c r="O932" t="n">
        <v>0</v>
      </c>
      <c r="P932" t="n">
        <v>0</v>
      </c>
      <c r="Q932" t="n">
        <v>0</v>
      </c>
      <c r="R932" s="2" t="inlineStr"/>
    </row>
    <row r="933" ht="15" customHeight="1">
      <c r="A933" t="inlineStr">
        <is>
          <t>A 33445-2022</t>
        </is>
      </c>
      <c r="B933" s="1" t="n">
        <v>44788</v>
      </c>
      <c r="C933" s="1" t="n">
        <v>45758</v>
      </c>
      <c r="D933" t="inlineStr">
        <is>
          <t>STOCKHOLMS LÄN</t>
        </is>
      </c>
      <c r="E933" t="inlineStr">
        <is>
          <t>NORRTÄLJE</t>
        </is>
      </c>
      <c r="G933" t="n">
        <v>2.9</v>
      </c>
      <c r="H933" t="n">
        <v>0</v>
      </c>
      <c r="I933" t="n">
        <v>0</v>
      </c>
      <c r="J933" t="n">
        <v>0</v>
      </c>
      <c r="K933" t="n">
        <v>0</v>
      </c>
      <c r="L933" t="n">
        <v>0</v>
      </c>
      <c r="M933" t="n">
        <v>0</v>
      </c>
      <c r="N933" t="n">
        <v>0</v>
      </c>
      <c r="O933" t="n">
        <v>0</v>
      </c>
      <c r="P933" t="n">
        <v>0</v>
      </c>
      <c r="Q933" t="n">
        <v>0</v>
      </c>
      <c r="R933" s="2" t="inlineStr"/>
    </row>
    <row r="934" ht="15" customHeight="1">
      <c r="A934" t="inlineStr">
        <is>
          <t>A 33793-2022</t>
        </is>
      </c>
      <c r="B934" s="1" t="n">
        <v>44790</v>
      </c>
      <c r="C934" s="1" t="n">
        <v>45758</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33895-2022</t>
        </is>
      </c>
      <c r="B935" s="1" t="n">
        <v>44790</v>
      </c>
      <c r="C935" s="1" t="n">
        <v>45758</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34773-2022</t>
        </is>
      </c>
      <c r="B936" s="1" t="n">
        <v>44795</v>
      </c>
      <c r="C936" s="1" t="n">
        <v>45758</v>
      </c>
      <c r="D936" t="inlineStr">
        <is>
          <t>STOCKHOLMS LÄN</t>
        </is>
      </c>
      <c r="E936" t="inlineStr">
        <is>
          <t>NORRTÄLJE</t>
        </is>
      </c>
      <c r="G936" t="n">
        <v>3.9</v>
      </c>
      <c r="H936" t="n">
        <v>0</v>
      </c>
      <c r="I936" t="n">
        <v>0</v>
      </c>
      <c r="J936" t="n">
        <v>0</v>
      </c>
      <c r="K936" t="n">
        <v>0</v>
      </c>
      <c r="L936" t="n">
        <v>0</v>
      </c>
      <c r="M936" t="n">
        <v>0</v>
      </c>
      <c r="N936" t="n">
        <v>0</v>
      </c>
      <c r="O936" t="n">
        <v>0</v>
      </c>
      <c r="P936" t="n">
        <v>0</v>
      </c>
      <c r="Q936" t="n">
        <v>0</v>
      </c>
      <c r="R936" s="2" t="inlineStr"/>
    </row>
    <row r="937" ht="15" customHeight="1">
      <c r="A937" t="inlineStr">
        <is>
          <t>A 35121-2022</t>
        </is>
      </c>
      <c r="B937" s="1" t="n">
        <v>44797</v>
      </c>
      <c r="C937" s="1" t="n">
        <v>45758</v>
      </c>
      <c r="D937" t="inlineStr">
        <is>
          <t>STOCKHOLMS LÄN</t>
        </is>
      </c>
      <c r="E937" t="inlineStr">
        <is>
          <t>NORRTÄLJE</t>
        </is>
      </c>
      <c r="G937" t="n">
        <v>3.4</v>
      </c>
      <c r="H937" t="n">
        <v>0</v>
      </c>
      <c r="I937" t="n">
        <v>0</v>
      </c>
      <c r="J937" t="n">
        <v>0</v>
      </c>
      <c r="K937" t="n">
        <v>0</v>
      </c>
      <c r="L937" t="n">
        <v>0</v>
      </c>
      <c r="M937" t="n">
        <v>0</v>
      </c>
      <c r="N937" t="n">
        <v>0</v>
      </c>
      <c r="O937" t="n">
        <v>0</v>
      </c>
      <c r="P937" t="n">
        <v>0</v>
      </c>
      <c r="Q937" t="n">
        <v>0</v>
      </c>
      <c r="R937" s="2" t="inlineStr"/>
    </row>
    <row r="938" ht="15" customHeight="1">
      <c r="A938" t="inlineStr">
        <is>
          <t>A 35161-2022</t>
        </is>
      </c>
      <c r="B938" s="1" t="n">
        <v>44797</v>
      </c>
      <c r="C938" s="1" t="n">
        <v>45758</v>
      </c>
      <c r="D938" t="inlineStr">
        <is>
          <t>STOCKHOLMS LÄN</t>
        </is>
      </c>
      <c r="E938" t="inlineStr">
        <is>
          <t>NORRTÄLJE</t>
        </is>
      </c>
      <c r="G938" t="n">
        <v>6</v>
      </c>
      <c r="H938" t="n">
        <v>0</v>
      </c>
      <c r="I938" t="n">
        <v>0</v>
      </c>
      <c r="J938" t="n">
        <v>0</v>
      </c>
      <c r="K938" t="n">
        <v>0</v>
      </c>
      <c r="L938" t="n">
        <v>0</v>
      </c>
      <c r="M938" t="n">
        <v>0</v>
      </c>
      <c r="N938" t="n">
        <v>0</v>
      </c>
      <c r="O938" t="n">
        <v>0</v>
      </c>
      <c r="P938" t="n">
        <v>0</v>
      </c>
      <c r="Q938" t="n">
        <v>0</v>
      </c>
      <c r="R938" s="2" t="inlineStr"/>
    </row>
    <row r="939" ht="15" customHeight="1">
      <c r="A939" t="inlineStr">
        <is>
          <t>A 35156-2022</t>
        </is>
      </c>
      <c r="B939" s="1" t="n">
        <v>44797</v>
      </c>
      <c r="C939" s="1" t="n">
        <v>45758</v>
      </c>
      <c r="D939" t="inlineStr">
        <is>
          <t>STOCKHOLMS LÄN</t>
        </is>
      </c>
      <c r="E939" t="inlineStr">
        <is>
          <t>NORRTÄLJE</t>
        </is>
      </c>
      <c r="G939" t="n">
        <v>3.6</v>
      </c>
      <c r="H939" t="n">
        <v>0</v>
      </c>
      <c r="I939" t="n">
        <v>0</v>
      </c>
      <c r="J939" t="n">
        <v>0</v>
      </c>
      <c r="K939" t="n">
        <v>0</v>
      </c>
      <c r="L939" t="n">
        <v>0</v>
      </c>
      <c r="M939" t="n">
        <v>0</v>
      </c>
      <c r="N939" t="n">
        <v>0</v>
      </c>
      <c r="O939" t="n">
        <v>0</v>
      </c>
      <c r="P939" t="n">
        <v>0</v>
      </c>
      <c r="Q939" t="n">
        <v>0</v>
      </c>
      <c r="R939" s="2" t="inlineStr"/>
    </row>
    <row r="940" ht="15" customHeight="1">
      <c r="A940" t="inlineStr">
        <is>
          <t>A 35708-2022</t>
        </is>
      </c>
      <c r="B940" s="1" t="n">
        <v>44799</v>
      </c>
      <c r="C940" s="1" t="n">
        <v>45758</v>
      </c>
      <c r="D940" t="inlineStr">
        <is>
          <t>STOCKHOLMS LÄN</t>
        </is>
      </c>
      <c r="E940" t="inlineStr">
        <is>
          <t>NORRTÄLJE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36269-2022</t>
        </is>
      </c>
      <c r="B941" s="1" t="n">
        <v>44803</v>
      </c>
      <c r="C941" s="1" t="n">
        <v>45758</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36308-2022</t>
        </is>
      </c>
      <c r="B942" s="1" t="n">
        <v>44803</v>
      </c>
      <c r="C942" s="1" t="n">
        <v>45758</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36975-2022</t>
        </is>
      </c>
      <c r="B943" s="1" t="n">
        <v>44806</v>
      </c>
      <c r="C943" s="1" t="n">
        <v>45758</v>
      </c>
      <c r="D943" t="inlineStr">
        <is>
          <t>STOCKHOLMS LÄN</t>
        </is>
      </c>
      <c r="E943" t="inlineStr">
        <is>
          <t>NORRTÄLJE</t>
        </is>
      </c>
      <c r="G943" t="n">
        <v>4.7</v>
      </c>
      <c r="H943" t="n">
        <v>0</v>
      </c>
      <c r="I943" t="n">
        <v>0</v>
      </c>
      <c r="J943" t="n">
        <v>0</v>
      </c>
      <c r="K943" t="n">
        <v>0</v>
      </c>
      <c r="L943" t="n">
        <v>0</v>
      </c>
      <c r="M943" t="n">
        <v>0</v>
      </c>
      <c r="N943" t="n">
        <v>0</v>
      </c>
      <c r="O943" t="n">
        <v>0</v>
      </c>
      <c r="P943" t="n">
        <v>0</v>
      </c>
      <c r="Q943" t="n">
        <v>0</v>
      </c>
      <c r="R943" s="2" t="inlineStr"/>
    </row>
    <row r="944" ht="15" customHeight="1">
      <c r="A944" t="inlineStr">
        <is>
          <t>A 37550-2022</t>
        </is>
      </c>
      <c r="B944" s="1" t="n">
        <v>44809</v>
      </c>
      <c r="C944" s="1" t="n">
        <v>45758</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37679-2022</t>
        </is>
      </c>
      <c r="B945" s="1" t="n">
        <v>44810</v>
      </c>
      <c r="C945" s="1" t="n">
        <v>45758</v>
      </c>
      <c r="D945" t="inlineStr">
        <is>
          <t>STOCKHOLMS LÄN</t>
        </is>
      </c>
      <c r="E945" t="inlineStr">
        <is>
          <t>NORRTÄLJE</t>
        </is>
      </c>
      <c r="G945" t="n">
        <v>3.1</v>
      </c>
      <c r="H945" t="n">
        <v>0</v>
      </c>
      <c r="I945" t="n">
        <v>0</v>
      </c>
      <c r="J945" t="n">
        <v>0</v>
      </c>
      <c r="K945" t="n">
        <v>0</v>
      </c>
      <c r="L945" t="n">
        <v>0</v>
      </c>
      <c r="M945" t="n">
        <v>0</v>
      </c>
      <c r="N945" t="n">
        <v>0</v>
      </c>
      <c r="O945" t="n">
        <v>0</v>
      </c>
      <c r="P945" t="n">
        <v>0</v>
      </c>
      <c r="Q945" t="n">
        <v>0</v>
      </c>
      <c r="R945" s="2" t="inlineStr"/>
    </row>
    <row r="946" ht="15" customHeight="1">
      <c r="A946" t="inlineStr">
        <is>
          <t>A 37815-2022</t>
        </is>
      </c>
      <c r="B946" s="1" t="n">
        <v>44810</v>
      </c>
      <c r="C946" s="1" t="n">
        <v>45758</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38449-2022</t>
        </is>
      </c>
      <c r="B947" s="1" t="n">
        <v>44813</v>
      </c>
      <c r="C947" s="1" t="n">
        <v>45758</v>
      </c>
      <c r="D947" t="inlineStr">
        <is>
          <t>STOCKHOLMS LÄN</t>
        </is>
      </c>
      <c r="E947" t="inlineStr">
        <is>
          <t>NORRTÄLJE</t>
        </is>
      </c>
      <c r="G947" t="n">
        <v>4.2</v>
      </c>
      <c r="H947" t="n">
        <v>0</v>
      </c>
      <c r="I947" t="n">
        <v>0</v>
      </c>
      <c r="J947" t="n">
        <v>0</v>
      </c>
      <c r="K947" t="n">
        <v>0</v>
      </c>
      <c r="L947" t="n">
        <v>0</v>
      </c>
      <c r="M947" t="n">
        <v>0</v>
      </c>
      <c r="N947" t="n">
        <v>0</v>
      </c>
      <c r="O947" t="n">
        <v>0</v>
      </c>
      <c r="P947" t="n">
        <v>0</v>
      </c>
      <c r="Q947" t="n">
        <v>0</v>
      </c>
      <c r="R947" s="2" t="inlineStr"/>
    </row>
    <row r="948" ht="15" customHeight="1">
      <c r="A948" t="inlineStr">
        <is>
          <t>A 38612-2022</t>
        </is>
      </c>
      <c r="B948" s="1" t="n">
        <v>44813</v>
      </c>
      <c r="C948" s="1" t="n">
        <v>45758</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38590-2022</t>
        </is>
      </c>
      <c r="B949" s="1" t="n">
        <v>44813</v>
      </c>
      <c r="C949" s="1" t="n">
        <v>45758</v>
      </c>
      <c r="D949" t="inlineStr">
        <is>
          <t>STOCKHOLMS LÄN</t>
        </is>
      </c>
      <c r="E949" t="inlineStr">
        <is>
          <t>NORRTÄLJE</t>
        </is>
      </c>
      <c r="G949" t="n">
        <v>5.9</v>
      </c>
      <c r="H949" t="n">
        <v>0</v>
      </c>
      <c r="I949" t="n">
        <v>0</v>
      </c>
      <c r="J949" t="n">
        <v>0</v>
      </c>
      <c r="K949" t="n">
        <v>0</v>
      </c>
      <c r="L949" t="n">
        <v>0</v>
      </c>
      <c r="M949" t="n">
        <v>0</v>
      </c>
      <c r="N949" t="n">
        <v>0</v>
      </c>
      <c r="O949" t="n">
        <v>0</v>
      </c>
      <c r="P949" t="n">
        <v>0</v>
      </c>
      <c r="Q949" t="n">
        <v>0</v>
      </c>
      <c r="R949" s="2" t="inlineStr"/>
    </row>
    <row r="950" ht="15" customHeight="1">
      <c r="A950" t="inlineStr">
        <is>
          <t>A 38610-2022</t>
        </is>
      </c>
      <c r="B950" s="1" t="n">
        <v>44813</v>
      </c>
      <c r="C950" s="1" t="n">
        <v>45758</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38720-2022</t>
        </is>
      </c>
      <c r="B951" s="1" t="n">
        <v>44815</v>
      </c>
      <c r="C951" s="1" t="n">
        <v>45758</v>
      </c>
      <c r="D951" t="inlineStr">
        <is>
          <t>STOCKHOLMS LÄN</t>
        </is>
      </c>
      <c r="E951" t="inlineStr">
        <is>
          <t>NORRTÄLJE</t>
        </is>
      </c>
      <c r="G951" t="n">
        <v>2.5</v>
      </c>
      <c r="H951" t="n">
        <v>0</v>
      </c>
      <c r="I951" t="n">
        <v>0</v>
      </c>
      <c r="J951" t="n">
        <v>0</v>
      </c>
      <c r="K951" t="n">
        <v>0</v>
      </c>
      <c r="L951" t="n">
        <v>0</v>
      </c>
      <c r="M951" t="n">
        <v>0</v>
      </c>
      <c r="N951" t="n">
        <v>0</v>
      </c>
      <c r="O951" t="n">
        <v>0</v>
      </c>
      <c r="P951" t="n">
        <v>0</v>
      </c>
      <c r="Q951" t="n">
        <v>0</v>
      </c>
      <c r="R951" s="2" t="inlineStr"/>
    </row>
    <row r="952" ht="15" customHeight="1">
      <c r="A952" t="inlineStr">
        <is>
          <t>A 38721-2022</t>
        </is>
      </c>
      <c r="B952" s="1" t="n">
        <v>44815</v>
      </c>
      <c r="C952" s="1" t="n">
        <v>45758</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38927-2022</t>
        </is>
      </c>
      <c r="B953" s="1" t="n">
        <v>44816</v>
      </c>
      <c r="C953" s="1" t="n">
        <v>45758</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38759-2022</t>
        </is>
      </c>
      <c r="B954" s="1" t="n">
        <v>44816</v>
      </c>
      <c r="C954" s="1" t="n">
        <v>45758</v>
      </c>
      <c r="D954" t="inlineStr">
        <is>
          <t>STOCKHOLMS LÄN</t>
        </is>
      </c>
      <c r="E954" t="inlineStr">
        <is>
          <t>NORRTÄLJE</t>
        </is>
      </c>
      <c r="G954" t="n">
        <v>2.8</v>
      </c>
      <c r="H954" t="n">
        <v>0</v>
      </c>
      <c r="I954" t="n">
        <v>0</v>
      </c>
      <c r="J954" t="n">
        <v>0</v>
      </c>
      <c r="K954" t="n">
        <v>0</v>
      </c>
      <c r="L954" t="n">
        <v>0</v>
      </c>
      <c r="M954" t="n">
        <v>0</v>
      </c>
      <c r="N954" t="n">
        <v>0</v>
      </c>
      <c r="O954" t="n">
        <v>0</v>
      </c>
      <c r="P954" t="n">
        <v>0</v>
      </c>
      <c r="Q954" t="n">
        <v>0</v>
      </c>
      <c r="R954" s="2" t="inlineStr"/>
    </row>
    <row r="955" ht="15" customHeight="1">
      <c r="A955" t="inlineStr">
        <is>
          <t>A 38990-2022</t>
        </is>
      </c>
      <c r="B955" s="1" t="n">
        <v>44816</v>
      </c>
      <c r="C955" s="1" t="n">
        <v>45758</v>
      </c>
      <c r="D955" t="inlineStr">
        <is>
          <t>STOCKHOLMS LÄN</t>
        </is>
      </c>
      <c r="E955" t="inlineStr">
        <is>
          <t>NORRTÄLJE</t>
        </is>
      </c>
      <c r="G955" t="n">
        <v>5.7</v>
      </c>
      <c r="H955" t="n">
        <v>0</v>
      </c>
      <c r="I955" t="n">
        <v>0</v>
      </c>
      <c r="J955" t="n">
        <v>0</v>
      </c>
      <c r="K955" t="n">
        <v>0</v>
      </c>
      <c r="L955" t="n">
        <v>0</v>
      </c>
      <c r="M955" t="n">
        <v>0</v>
      </c>
      <c r="N955" t="n">
        <v>0</v>
      </c>
      <c r="O955" t="n">
        <v>0</v>
      </c>
      <c r="P955" t="n">
        <v>0</v>
      </c>
      <c r="Q955" t="n">
        <v>0</v>
      </c>
      <c r="R955" s="2" t="inlineStr"/>
    </row>
    <row r="956" ht="15" customHeight="1">
      <c r="A956" t="inlineStr">
        <is>
          <t>A 38991-2022</t>
        </is>
      </c>
      <c r="B956" s="1" t="n">
        <v>44816</v>
      </c>
      <c r="C956" s="1" t="n">
        <v>45758</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38985-2022</t>
        </is>
      </c>
      <c r="B957" s="1" t="n">
        <v>44816</v>
      </c>
      <c r="C957" s="1" t="n">
        <v>45758</v>
      </c>
      <c r="D957" t="inlineStr">
        <is>
          <t>STOCKHOLMS LÄN</t>
        </is>
      </c>
      <c r="E957" t="inlineStr">
        <is>
          <t>NORRTÄLJE</t>
        </is>
      </c>
      <c r="G957" t="n">
        <v>10.1</v>
      </c>
      <c r="H957" t="n">
        <v>0</v>
      </c>
      <c r="I957" t="n">
        <v>0</v>
      </c>
      <c r="J957" t="n">
        <v>0</v>
      </c>
      <c r="K957" t="n">
        <v>0</v>
      </c>
      <c r="L957" t="n">
        <v>0</v>
      </c>
      <c r="M957" t="n">
        <v>0</v>
      </c>
      <c r="N957" t="n">
        <v>0</v>
      </c>
      <c r="O957" t="n">
        <v>0</v>
      </c>
      <c r="P957" t="n">
        <v>0</v>
      </c>
      <c r="Q957" t="n">
        <v>0</v>
      </c>
      <c r="R957" s="2" t="inlineStr"/>
    </row>
    <row r="958" ht="15" customHeight="1">
      <c r="A958" t="inlineStr">
        <is>
          <t>A 38992-2022</t>
        </is>
      </c>
      <c r="B958" s="1" t="n">
        <v>44817</v>
      </c>
      <c r="C958" s="1" t="n">
        <v>45758</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39213-2022</t>
        </is>
      </c>
      <c r="B959" s="1" t="n">
        <v>44817</v>
      </c>
      <c r="C959" s="1" t="n">
        <v>45758</v>
      </c>
      <c r="D959" t="inlineStr">
        <is>
          <t>STOCKHOLMS LÄN</t>
        </is>
      </c>
      <c r="E959" t="inlineStr">
        <is>
          <t>NORRTÄLJE</t>
        </is>
      </c>
      <c r="G959" t="n">
        <v>3.4</v>
      </c>
      <c r="H959" t="n">
        <v>0</v>
      </c>
      <c r="I959" t="n">
        <v>0</v>
      </c>
      <c r="J959" t="n">
        <v>0</v>
      </c>
      <c r="K959" t="n">
        <v>0</v>
      </c>
      <c r="L959" t="n">
        <v>0</v>
      </c>
      <c r="M959" t="n">
        <v>0</v>
      </c>
      <c r="N959" t="n">
        <v>0</v>
      </c>
      <c r="O959" t="n">
        <v>0</v>
      </c>
      <c r="P959" t="n">
        <v>0</v>
      </c>
      <c r="Q959" t="n">
        <v>0</v>
      </c>
      <c r="R959" s="2" t="inlineStr"/>
    </row>
    <row r="960" ht="15" customHeight="1">
      <c r="A960" t="inlineStr">
        <is>
          <t>A 39319-2022</t>
        </is>
      </c>
      <c r="B960" s="1" t="n">
        <v>44817</v>
      </c>
      <c r="C960" s="1" t="n">
        <v>45758</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39854-2022</t>
        </is>
      </c>
      <c r="B961" s="1" t="n">
        <v>44819</v>
      </c>
      <c r="C961" s="1" t="n">
        <v>45758</v>
      </c>
      <c r="D961" t="inlineStr">
        <is>
          <t>STOCKHOLMS LÄN</t>
        </is>
      </c>
      <c r="E961" t="inlineStr">
        <is>
          <t>NORRTÄLJE</t>
        </is>
      </c>
      <c r="G961" t="n">
        <v>4.4</v>
      </c>
      <c r="H961" t="n">
        <v>0</v>
      </c>
      <c r="I961" t="n">
        <v>0</v>
      </c>
      <c r="J961" t="n">
        <v>0</v>
      </c>
      <c r="K961" t="n">
        <v>0</v>
      </c>
      <c r="L961" t="n">
        <v>0</v>
      </c>
      <c r="M961" t="n">
        <v>0</v>
      </c>
      <c r="N961" t="n">
        <v>0</v>
      </c>
      <c r="O961" t="n">
        <v>0</v>
      </c>
      <c r="P961" t="n">
        <v>0</v>
      </c>
      <c r="Q961" t="n">
        <v>0</v>
      </c>
      <c r="R961" s="2" t="inlineStr"/>
    </row>
    <row r="962" ht="15" customHeight="1">
      <c r="A962" t="inlineStr">
        <is>
          <t>A 39869-2022</t>
        </is>
      </c>
      <c r="B962" s="1" t="n">
        <v>44819</v>
      </c>
      <c r="C962" s="1" t="n">
        <v>45758</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39867-2022</t>
        </is>
      </c>
      <c r="B963" s="1" t="n">
        <v>44819</v>
      </c>
      <c r="C963" s="1" t="n">
        <v>45758</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40504-2022</t>
        </is>
      </c>
      <c r="B964" s="1" t="n">
        <v>44823</v>
      </c>
      <c r="C964" s="1" t="n">
        <v>45758</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40503-2022</t>
        </is>
      </c>
      <c r="B965" s="1" t="n">
        <v>44823</v>
      </c>
      <c r="C965" s="1" t="n">
        <v>45758</v>
      </c>
      <c r="D965" t="inlineStr">
        <is>
          <t>STOCKHOLMS LÄN</t>
        </is>
      </c>
      <c r="E965" t="inlineStr">
        <is>
          <t>NORRTÄLJE</t>
        </is>
      </c>
      <c r="G965" t="n">
        <v>5.1</v>
      </c>
      <c r="H965" t="n">
        <v>0</v>
      </c>
      <c r="I965" t="n">
        <v>0</v>
      </c>
      <c r="J965" t="n">
        <v>0</v>
      </c>
      <c r="K965" t="n">
        <v>0</v>
      </c>
      <c r="L965" t="n">
        <v>0</v>
      </c>
      <c r="M965" t="n">
        <v>0</v>
      </c>
      <c r="N965" t="n">
        <v>0</v>
      </c>
      <c r="O965" t="n">
        <v>0</v>
      </c>
      <c r="P965" t="n">
        <v>0</v>
      </c>
      <c r="Q965" t="n">
        <v>0</v>
      </c>
      <c r="R965" s="2" t="inlineStr"/>
    </row>
    <row r="966" ht="15" customHeight="1">
      <c r="A966" t="inlineStr">
        <is>
          <t>A 40656-2022</t>
        </is>
      </c>
      <c r="B966" s="1" t="n">
        <v>44824</v>
      </c>
      <c r="C966" s="1" t="n">
        <v>45758</v>
      </c>
      <c r="D966" t="inlineStr">
        <is>
          <t>STOCKHOLMS LÄN</t>
        </is>
      </c>
      <c r="E966" t="inlineStr">
        <is>
          <t>NORRTÄLJE</t>
        </is>
      </c>
      <c r="G966" t="n">
        <v>2.7</v>
      </c>
      <c r="H966" t="n">
        <v>0</v>
      </c>
      <c r="I966" t="n">
        <v>0</v>
      </c>
      <c r="J966" t="n">
        <v>0</v>
      </c>
      <c r="K966" t="n">
        <v>0</v>
      </c>
      <c r="L966" t="n">
        <v>0</v>
      </c>
      <c r="M966" t="n">
        <v>0</v>
      </c>
      <c r="N966" t="n">
        <v>0</v>
      </c>
      <c r="O966" t="n">
        <v>0</v>
      </c>
      <c r="P966" t="n">
        <v>0</v>
      </c>
      <c r="Q966" t="n">
        <v>0</v>
      </c>
      <c r="R966" s="2" t="inlineStr"/>
    </row>
    <row r="967" ht="15" customHeight="1">
      <c r="A967" t="inlineStr">
        <is>
          <t>A 40751-2022</t>
        </is>
      </c>
      <c r="B967" s="1" t="n">
        <v>44824</v>
      </c>
      <c r="C967" s="1" t="n">
        <v>45758</v>
      </c>
      <c r="D967" t="inlineStr">
        <is>
          <t>STOCKHOLMS LÄN</t>
        </is>
      </c>
      <c r="E967" t="inlineStr">
        <is>
          <t>NORRTÄLJE</t>
        </is>
      </c>
      <c r="G967" t="n">
        <v>6.1</v>
      </c>
      <c r="H967" t="n">
        <v>0</v>
      </c>
      <c r="I967" t="n">
        <v>0</v>
      </c>
      <c r="J967" t="n">
        <v>0</v>
      </c>
      <c r="K967" t="n">
        <v>0</v>
      </c>
      <c r="L967" t="n">
        <v>0</v>
      </c>
      <c r="M967" t="n">
        <v>0</v>
      </c>
      <c r="N967" t="n">
        <v>0</v>
      </c>
      <c r="O967" t="n">
        <v>0</v>
      </c>
      <c r="P967" t="n">
        <v>0</v>
      </c>
      <c r="Q967" t="n">
        <v>0</v>
      </c>
      <c r="R967" s="2" t="inlineStr"/>
    </row>
    <row r="968" ht="15" customHeight="1">
      <c r="A968" t="inlineStr">
        <is>
          <t>A 41398-2022</t>
        </is>
      </c>
      <c r="B968" s="1" t="n">
        <v>44826</v>
      </c>
      <c r="C968" s="1" t="n">
        <v>45758</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41320-2022</t>
        </is>
      </c>
      <c r="B969" s="1" t="n">
        <v>44826</v>
      </c>
      <c r="C969" s="1" t="n">
        <v>45758</v>
      </c>
      <c r="D969" t="inlineStr">
        <is>
          <t>STOCKHOLMS LÄN</t>
        </is>
      </c>
      <c r="E969" t="inlineStr">
        <is>
          <t>NORRTÄLJE</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42087-2022</t>
        </is>
      </c>
      <c r="B970" s="1" t="n">
        <v>44830</v>
      </c>
      <c r="C970" s="1" t="n">
        <v>45758</v>
      </c>
      <c r="D970" t="inlineStr">
        <is>
          <t>STOCKHOLMS LÄN</t>
        </is>
      </c>
      <c r="E970" t="inlineStr">
        <is>
          <t>NORRTÄLJE</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42112-2022</t>
        </is>
      </c>
      <c r="B971" s="1" t="n">
        <v>44830</v>
      </c>
      <c r="C971" s="1" t="n">
        <v>45758</v>
      </c>
      <c r="D971" t="inlineStr">
        <is>
          <t>STOCKHOLMS LÄN</t>
        </is>
      </c>
      <c r="E971" t="inlineStr">
        <is>
          <t>NORRTÄLJE</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42126-2022</t>
        </is>
      </c>
      <c r="B972" s="1" t="n">
        <v>44830</v>
      </c>
      <c r="C972" s="1" t="n">
        <v>45758</v>
      </c>
      <c r="D972" t="inlineStr">
        <is>
          <t>STOCKHOLMS LÄN</t>
        </is>
      </c>
      <c r="E972" t="inlineStr">
        <is>
          <t>NORRTÄLJE</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42867-2022</t>
        </is>
      </c>
      <c r="B973" s="1" t="n">
        <v>44832</v>
      </c>
      <c r="C973" s="1" t="n">
        <v>45758</v>
      </c>
      <c r="D973" t="inlineStr">
        <is>
          <t>STOCKHOLMS LÄN</t>
        </is>
      </c>
      <c r="E973" t="inlineStr">
        <is>
          <t>NORRTÄLJE</t>
        </is>
      </c>
      <c r="G973" t="n">
        <v>6.4</v>
      </c>
      <c r="H973" t="n">
        <v>0</v>
      </c>
      <c r="I973" t="n">
        <v>0</v>
      </c>
      <c r="J973" t="n">
        <v>0</v>
      </c>
      <c r="K973" t="n">
        <v>0</v>
      </c>
      <c r="L973" t="n">
        <v>0</v>
      </c>
      <c r="M973" t="n">
        <v>0</v>
      </c>
      <c r="N973" t="n">
        <v>0</v>
      </c>
      <c r="O973" t="n">
        <v>0</v>
      </c>
      <c r="P973" t="n">
        <v>0</v>
      </c>
      <c r="Q973" t="n">
        <v>0</v>
      </c>
      <c r="R973" s="2" t="inlineStr"/>
    </row>
    <row r="974" ht="15" customHeight="1">
      <c r="A974" t="inlineStr">
        <is>
          <t>A 42955-2022</t>
        </is>
      </c>
      <c r="B974" s="1" t="n">
        <v>44833</v>
      </c>
      <c r="C974" s="1" t="n">
        <v>45758</v>
      </c>
      <c r="D974" t="inlineStr">
        <is>
          <t>STOCKHOLMS LÄN</t>
        </is>
      </c>
      <c r="E974" t="inlineStr">
        <is>
          <t>NORRTÄLJE</t>
        </is>
      </c>
      <c r="G974" t="n">
        <v>13.1</v>
      </c>
      <c r="H974" t="n">
        <v>0</v>
      </c>
      <c r="I974" t="n">
        <v>0</v>
      </c>
      <c r="J974" t="n">
        <v>0</v>
      </c>
      <c r="K974" t="n">
        <v>0</v>
      </c>
      <c r="L974" t="n">
        <v>0</v>
      </c>
      <c r="M974" t="n">
        <v>0</v>
      </c>
      <c r="N974" t="n">
        <v>0</v>
      </c>
      <c r="O974" t="n">
        <v>0</v>
      </c>
      <c r="P974" t="n">
        <v>0</v>
      </c>
      <c r="Q974" t="n">
        <v>0</v>
      </c>
      <c r="R974" s="2" t="inlineStr"/>
    </row>
    <row r="975" ht="15" customHeight="1">
      <c r="A975" t="inlineStr">
        <is>
          <t>A 43036-2022</t>
        </is>
      </c>
      <c r="B975" s="1" t="n">
        <v>44833</v>
      </c>
      <c r="C975" s="1" t="n">
        <v>45758</v>
      </c>
      <c r="D975" t="inlineStr">
        <is>
          <t>STOCKHOLMS LÄN</t>
        </is>
      </c>
      <c r="E975" t="inlineStr">
        <is>
          <t>NORRTÄLJE</t>
        </is>
      </c>
      <c r="F975" t="inlineStr">
        <is>
          <t>Kyrkan</t>
        </is>
      </c>
      <c r="G975" t="n">
        <v>1.7</v>
      </c>
      <c r="H975" t="n">
        <v>0</v>
      </c>
      <c r="I975" t="n">
        <v>0</v>
      </c>
      <c r="J975" t="n">
        <v>0</v>
      </c>
      <c r="K975" t="n">
        <v>0</v>
      </c>
      <c r="L975" t="n">
        <v>0</v>
      </c>
      <c r="M975" t="n">
        <v>0</v>
      </c>
      <c r="N975" t="n">
        <v>0</v>
      </c>
      <c r="O975" t="n">
        <v>0</v>
      </c>
      <c r="P975" t="n">
        <v>0</v>
      </c>
      <c r="Q975" t="n">
        <v>0</v>
      </c>
      <c r="R975" s="2" t="inlineStr"/>
    </row>
    <row r="976" ht="15" customHeight="1">
      <c r="A976" t="inlineStr">
        <is>
          <t>A 43212-2022</t>
        </is>
      </c>
      <c r="B976" s="1" t="n">
        <v>44834</v>
      </c>
      <c r="C976" s="1" t="n">
        <v>45758</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43374-2022</t>
        </is>
      </c>
      <c r="B977" s="1" t="n">
        <v>44834</v>
      </c>
      <c r="C977" s="1" t="n">
        <v>45758</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43972-2022</t>
        </is>
      </c>
      <c r="B978" s="1" t="n">
        <v>44838</v>
      </c>
      <c r="C978" s="1" t="n">
        <v>45758</v>
      </c>
      <c r="D978" t="inlineStr">
        <is>
          <t>STOCKHOLMS LÄN</t>
        </is>
      </c>
      <c r="E978" t="inlineStr">
        <is>
          <t>NORRTÄLJE</t>
        </is>
      </c>
      <c r="F978" t="inlineStr">
        <is>
          <t>Holmen skog AB</t>
        </is>
      </c>
      <c r="G978" t="n">
        <v>8.6</v>
      </c>
      <c r="H978" t="n">
        <v>0</v>
      </c>
      <c r="I978" t="n">
        <v>0</v>
      </c>
      <c r="J978" t="n">
        <v>0</v>
      </c>
      <c r="K978" t="n">
        <v>0</v>
      </c>
      <c r="L978" t="n">
        <v>0</v>
      </c>
      <c r="M978" t="n">
        <v>0</v>
      </c>
      <c r="N978" t="n">
        <v>0</v>
      </c>
      <c r="O978" t="n">
        <v>0</v>
      </c>
      <c r="P978" t="n">
        <v>0</v>
      </c>
      <c r="Q978" t="n">
        <v>0</v>
      </c>
      <c r="R978" s="2" t="inlineStr"/>
    </row>
    <row r="979" ht="15" customHeight="1">
      <c r="A979" t="inlineStr">
        <is>
          <t>A 44349-2022</t>
        </is>
      </c>
      <c r="B979" s="1" t="n">
        <v>44839</v>
      </c>
      <c r="C979" s="1" t="n">
        <v>45758</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45255-2022</t>
        </is>
      </c>
      <c r="B980" s="1" t="n">
        <v>44840</v>
      </c>
      <c r="C980" s="1" t="n">
        <v>45758</v>
      </c>
      <c r="D980" t="inlineStr">
        <is>
          <t>STOCKHOLMS LÄN</t>
        </is>
      </c>
      <c r="E980" t="inlineStr">
        <is>
          <t>NORRTÄLJE</t>
        </is>
      </c>
      <c r="G980" t="n">
        <v>4.1</v>
      </c>
      <c r="H980" t="n">
        <v>0</v>
      </c>
      <c r="I980" t="n">
        <v>0</v>
      </c>
      <c r="J980" t="n">
        <v>0</v>
      </c>
      <c r="K980" t="n">
        <v>0</v>
      </c>
      <c r="L980" t="n">
        <v>0</v>
      </c>
      <c r="M980" t="n">
        <v>0</v>
      </c>
      <c r="N980" t="n">
        <v>0</v>
      </c>
      <c r="O980" t="n">
        <v>0</v>
      </c>
      <c r="P980" t="n">
        <v>0</v>
      </c>
      <c r="Q980" t="n">
        <v>0</v>
      </c>
      <c r="R980" s="2" t="inlineStr"/>
    </row>
    <row r="981" ht="15" customHeight="1">
      <c r="A981" t="inlineStr">
        <is>
          <t>A 44917-2022</t>
        </is>
      </c>
      <c r="B981" s="1" t="n">
        <v>44841</v>
      </c>
      <c r="C981" s="1" t="n">
        <v>45758</v>
      </c>
      <c r="D981" t="inlineStr">
        <is>
          <t>STOCKHOLMS LÄN</t>
        </is>
      </c>
      <c r="E981" t="inlineStr">
        <is>
          <t>NORRTÄLJE</t>
        </is>
      </c>
      <c r="F981" t="inlineStr">
        <is>
          <t>Holmen skog AB</t>
        </is>
      </c>
      <c r="G981" t="n">
        <v>3.3</v>
      </c>
      <c r="H981" t="n">
        <v>0</v>
      </c>
      <c r="I981" t="n">
        <v>0</v>
      </c>
      <c r="J981" t="n">
        <v>0</v>
      </c>
      <c r="K981" t="n">
        <v>0</v>
      </c>
      <c r="L981" t="n">
        <v>0</v>
      </c>
      <c r="M981" t="n">
        <v>0</v>
      </c>
      <c r="N981" t="n">
        <v>0</v>
      </c>
      <c r="O981" t="n">
        <v>0</v>
      </c>
      <c r="P981" t="n">
        <v>0</v>
      </c>
      <c r="Q981" t="n">
        <v>0</v>
      </c>
      <c r="R981" s="2" t="inlineStr"/>
    </row>
    <row r="982" ht="15" customHeight="1">
      <c r="A982" t="inlineStr">
        <is>
          <t>A 45541-2022</t>
        </is>
      </c>
      <c r="B982" s="1" t="n">
        <v>44845</v>
      </c>
      <c r="C982" s="1" t="n">
        <v>45758</v>
      </c>
      <c r="D982" t="inlineStr">
        <is>
          <t>STOCKHOLMS LÄN</t>
        </is>
      </c>
      <c r="E982" t="inlineStr">
        <is>
          <t>NORRTÄLJE</t>
        </is>
      </c>
      <c r="G982" t="n">
        <v>0.4</v>
      </c>
      <c r="H982" t="n">
        <v>0</v>
      </c>
      <c r="I982" t="n">
        <v>0</v>
      </c>
      <c r="J982" t="n">
        <v>0</v>
      </c>
      <c r="K982" t="n">
        <v>0</v>
      </c>
      <c r="L982" t="n">
        <v>0</v>
      </c>
      <c r="M982" t="n">
        <v>0</v>
      </c>
      <c r="N982" t="n">
        <v>0</v>
      </c>
      <c r="O982" t="n">
        <v>0</v>
      </c>
      <c r="P982" t="n">
        <v>0</v>
      </c>
      <c r="Q982" t="n">
        <v>0</v>
      </c>
      <c r="R982" s="2" t="inlineStr"/>
    </row>
    <row r="983" ht="15" customHeight="1">
      <c r="A983" t="inlineStr">
        <is>
          <t>A 45539-2022</t>
        </is>
      </c>
      <c r="B983" s="1" t="n">
        <v>44845</v>
      </c>
      <c r="C983" s="1" t="n">
        <v>45758</v>
      </c>
      <c r="D983" t="inlineStr">
        <is>
          <t>STOCKHOLMS LÄN</t>
        </is>
      </c>
      <c r="E983" t="inlineStr">
        <is>
          <t>NORRTÄLJE</t>
        </is>
      </c>
      <c r="G983" t="n">
        <v>0.3</v>
      </c>
      <c r="H983" t="n">
        <v>0</v>
      </c>
      <c r="I983" t="n">
        <v>0</v>
      </c>
      <c r="J983" t="n">
        <v>0</v>
      </c>
      <c r="K983" t="n">
        <v>0</v>
      </c>
      <c r="L983" t="n">
        <v>0</v>
      </c>
      <c r="M983" t="n">
        <v>0</v>
      </c>
      <c r="N983" t="n">
        <v>0</v>
      </c>
      <c r="O983" t="n">
        <v>0</v>
      </c>
      <c r="P983" t="n">
        <v>0</v>
      </c>
      <c r="Q983" t="n">
        <v>0</v>
      </c>
      <c r="R983" s="2" t="inlineStr"/>
    </row>
    <row r="984" ht="15" customHeight="1">
      <c r="A984" t="inlineStr">
        <is>
          <t>A 45549-2022</t>
        </is>
      </c>
      <c r="B984" s="1" t="n">
        <v>44845</v>
      </c>
      <c r="C984" s="1" t="n">
        <v>45758</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46914-2022</t>
        </is>
      </c>
      <c r="B985" s="1" t="n">
        <v>44851</v>
      </c>
      <c r="C985" s="1" t="n">
        <v>45758</v>
      </c>
      <c r="D985" t="inlineStr">
        <is>
          <t>STOCKHOLMS LÄN</t>
        </is>
      </c>
      <c r="E985" t="inlineStr">
        <is>
          <t>NORRTÄLJE</t>
        </is>
      </c>
      <c r="G985" t="n">
        <v>2.4</v>
      </c>
      <c r="H985" t="n">
        <v>0</v>
      </c>
      <c r="I985" t="n">
        <v>0</v>
      </c>
      <c r="J985" t="n">
        <v>0</v>
      </c>
      <c r="K985" t="n">
        <v>0</v>
      </c>
      <c r="L985" t="n">
        <v>0</v>
      </c>
      <c r="M985" t="n">
        <v>0</v>
      </c>
      <c r="N985" t="n">
        <v>0</v>
      </c>
      <c r="O985" t="n">
        <v>0</v>
      </c>
      <c r="P985" t="n">
        <v>0</v>
      </c>
      <c r="Q985" t="n">
        <v>0</v>
      </c>
      <c r="R985" s="2" t="inlineStr"/>
    </row>
    <row r="986" ht="15" customHeight="1">
      <c r="A986" t="inlineStr">
        <is>
          <t>A 47076-2022</t>
        </is>
      </c>
      <c r="B986" s="1" t="n">
        <v>44852</v>
      </c>
      <c r="C986" s="1" t="n">
        <v>45758</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47079-2022</t>
        </is>
      </c>
      <c r="B987" s="1" t="n">
        <v>44852</v>
      </c>
      <c r="C987" s="1" t="n">
        <v>45758</v>
      </c>
      <c r="D987" t="inlineStr">
        <is>
          <t>STOCKHOLMS LÄN</t>
        </is>
      </c>
      <c r="E987" t="inlineStr">
        <is>
          <t>NORRTÄLJE</t>
        </is>
      </c>
      <c r="G987" t="n">
        <v>4.5</v>
      </c>
      <c r="H987" t="n">
        <v>0</v>
      </c>
      <c r="I987" t="n">
        <v>0</v>
      </c>
      <c r="J987" t="n">
        <v>0</v>
      </c>
      <c r="K987" t="n">
        <v>0</v>
      </c>
      <c r="L987" t="n">
        <v>0</v>
      </c>
      <c r="M987" t="n">
        <v>0</v>
      </c>
      <c r="N987" t="n">
        <v>0</v>
      </c>
      <c r="O987" t="n">
        <v>0</v>
      </c>
      <c r="P987" t="n">
        <v>0</v>
      </c>
      <c r="Q987" t="n">
        <v>0</v>
      </c>
      <c r="R987" s="2" t="inlineStr"/>
    </row>
    <row r="988" ht="15" customHeight="1">
      <c r="A988" t="inlineStr">
        <is>
          <t>A 47626-2022</t>
        </is>
      </c>
      <c r="B988" s="1" t="n">
        <v>44854</v>
      </c>
      <c r="C988" s="1" t="n">
        <v>45758</v>
      </c>
      <c r="D988" t="inlineStr">
        <is>
          <t>STOCKHOLMS LÄN</t>
        </is>
      </c>
      <c r="E988" t="inlineStr">
        <is>
          <t>NORRTÄLJE</t>
        </is>
      </c>
      <c r="G988" t="n">
        <v>2</v>
      </c>
      <c r="H988" t="n">
        <v>0</v>
      </c>
      <c r="I988" t="n">
        <v>0</v>
      </c>
      <c r="J988" t="n">
        <v>0</v>
      </c>
      <c r="K988" t="n">
        <v>0</v>
      </c>
      <c r="L988" t="n">
        <v>0</v>
      </c>
      <c r="M988" t="n">
        <v>0</v>
      </c>
      <c r="N988" t="n">
        <v>0</v>
      </c>
      <c r="O988" t="n">
        <v>0</v>
      </c>
      <c r="P988" t="n">
        <v>0</v>
      </c>
      <c r="Q988" t="n">
        <v>0</v>
      </c>
      <c r="R988" s="2" t="inlineStr"/>
    </row>
    <row r="989" ht="15" customHeight="1">
      <c r="A989" t="inlineStr">
        <is>
          <t>A 48316-2022</t>
        </is>
      </c>
      <c r="B989" s="1" t="n">
        <v>44854</v>
      </c>
      <c r="C989" s="1" t="n">
        <v>45758</v>
      </c>
      <c r="D989" t="inlineStr">
        <is>
          <t>STOCKHOLMS LÄN</t>
        </is>
      </c>
      <c r="E989" t="inlineStr">
        <is>
          <t>NORRTÄLJE</t>
        </is>
      </c>
      <c r="G989" t="n">
        <v>4.5</v>
      </c>
      <c r="H989" t="n">
        <v>0</v>
      </c>
      <c r="I989" t="n">
        <v>0</v>
      </c>
      <c r="J989" t="n">
        <v>0</v>
      </c>
      <c r="K989" t="n">
        <v>0</v>
      </c>
      <c r="L989" t="n">
        <v>0</v>
      </c>
      <c r="M989" t="n">
        <v>0</v>
      </c>
      <c r="N989" t="n">
        <v>0</v>
      </c>
      <c r="O989" t="n">
        <v>0</v>
      </c>
      <c r="P989" t="n">
        <v>0</v>
      </c>
      <c r="Q989" t="n">
        <v>0</v>
      </c>
      <c r="R989" s="2" t="inlineStr"/>
    </row>
    <row r="990" ht="15" customHeight="1">
      <c r="A990" t="inlineStr">
        <is>
          <t>A 47929-2022</t>
        </is>
      </c>
      <c r="B990" s="1" t="n">
        <v>44855</v>
      </c>
      <c r="C990" s="1" t="n">
        <v>45758</v>
      </c>
      <c r="D990" t="inlineStr">
        <is>
          <t>STOCKHOLMS LÄN</t>
        </is>
      </c>
      <c r="E990" t="inlineStr">
        <is>
          <t>NORRTÄLJE</t>
        </is>
      </c>
      <c r="G990" t="n">
        <v>3.5</v>
      </c>
      <c r="H990" t="n">
        <v>0</v>
      </c>
      <c r="I990" t="n">
        <v>0</v>
      </c>
      <c r="J990" t="n">
        <v>0</v>
      </c>
      <c r="K990" t="n">
        <v>0</v>
      </c>
      <c r="L990" t="n">
        <v>0</v>
      </c>
      <c r="M990" t="n">
        <v>0</v>
      </c>
      <c r="N990" t="n">
        <v>0</v>
      </c>
      <c r="O990" t="n">
        <v>0</v>
      </c>
      <c r="P990" t="n">
        <v>0</v>
      </c>
      <c r="Q990" t="n">
        <v>0</v>
      </c>
      <c r="R990" s="2" t="inlineStr"/>
    </row>
    <row r="991" ht="15" customHeight="1">
      <c r="A991" t="inlineStr">
        <is>
          <t>A 48161-2022</t>
        </is>
      </c>
      <c r="B991" s="1" t="n">
        <v>44858</v>
      </c>
      <c r="C991" s="1" t="n">
        <v>45758</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48453-2022</t>
        </is>
      </c>
      <c r="B992" s="1" t="n">
        <v>44858</v>
      </c>
      <c r="C992" s="1" t="n">
        <v>45758</v>
      </c>
      <c r="D992" t="inlineStr">
        <is>
          <t>STOCKHOLMS LÄN</t>
        </is>
      </c>
      <c r="E992" t="inlineStr">
        <is>
          <t>NORRTÄLJE</t>
        </is>
      </c>
      <c r="G992" t="n">
        <v>4.3</v>
      </c>
      <c r="H992" t="n">
        <v>0</v>
      </c>
      <c r="I992" t="n">
        <v>0</v>
      </c>
      <c r="J992" t="n">
        <v>0</v>
      </c>
      <c r="K992" t="n">
        <v>0</v>
      </c>
      <c r="L992" t="n">
        <v>0</v>
      </c>
      <c r="M992" t="n">
        <v>0</v>
      </c>
      <c r="N992" t="n">
        <v>0</v>
      </c>
      <c r="O992" t="n">
        <v>0</v>
      </c>
      <c r="P992" t="n">
        <v>0</v>
      </c>
      <c r="Q992" t="n">
        <v>0</v>
      </c>
      <c r="R992" s="2" t="inlineStr"/>
    </row>
    <row r="993" ht="15" customHeight="1">
      <c r="A993" t="inlineStr">
        <is>
          <t>A 48492-2022</t>
        </is>
      </c>
      <c r="B993" s="1" t="n">
        <v>44858</v>
      </c>
      <c r="C993" s="1" t="n">
        <v>45758</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50065-2022</t>
        </is>
      </c>
      <c r="B994" s="1" t="n">
        <v>44865</v>
      </c>
      <c r="C994" s="1" t="n">
        <v>45758</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50469-2022</t>
        </is>
      </c>
      <c r="B995" s="1" t="n">
        <v>44866</v>
      </c>
      <c r="C995" s="1" t="n">
        <v>45758</v>
      </c>
      <c r="D995" t="inlineStr">
        <is>
          <t>STOCKHOLMS LÄN</t>
        </is>
      </c>
      <c r="E995" t="inlineStr">
        <is>
          <t>NORRTÄLJE</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50481-2022</t>
        </is>
      </c>
      <c r="B996" s="1" t="n">
        <v>44866</v>
      </c>
      <c r="C996" s="1" t="n">
        <v>45758</v>
      </c>
      <c r="D996" t="inlineStr">
        <is>
          <t>STOCKHOLMS LÄN</t>
        </is>
      </c>
      <c r="E996" t="inlineStr">
        <is>
          <t>NORRTÄLJE</t>
        </is>
      </c>
      <c r="G996" t="n">
        <v>3</v>
      </c>
      <c r="H996" t="n">
        <v>0</v>
      </c>
      <c r="I996" t="n">
        <v>0</v>
      </c>
      <c r="J996" t="n">
        <v>0</v>
      </c>
      <c r="K996" t="n">
        <v>0</v>
      </c>
      <c r="L996" t="n">
        <v>0</v>
      </c>
      <c r="M996" t="n">
        <v>0</v>
      </c>
      <c r="N996" t="n">
        <v>0</v>
      </c>
      <c r="O996" t="n">
        <v>0</v>
      </c>
      <c r="P996" t="n">
        <v>0</v>
      </c>
      <c r="Q996" t="n">
        <v>0</v>
      </c>
      <c r="R996" s="2" t="inlineStr"/>
    </row>
    <row r="997" ht="15" customHeight="1">
      <c r="A997" t="inlineStr">
        <is>
          <t>A 50465-2022</t>
        </is>
      </c>
      <c r="B997" s="1" t="n">
        <v>44866</v>
      </c>
      <c r="C997" s="1" t="n">
        <v>45758</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50488-2022</t>
        </is>
      </c>
      <c r="B998" s="1" t="n">
        <v>44866</v>
      </c>
      <c r="C998" s="1" t="n">
        <v>45758</v>
      </c>
      <c r="D998" t="inlineStr">
        <is>
          <t>STOCKHOLMS LÄN</t>
        </is>
      </c>
      <c r="E998" t="inlineStr">
        <is>
          <t>NORRTÄLJE</t>
        </is>
      </c>
      <c r="G998" t="n">
        <v>1.8</v>
      </c>
      <c r="H998" t="n">
        <v>0</v>
      </c>
      <c r="I998" t="n">
        <v>0</v>
      </c>
      <c r="J998" t="n">
        <v>0</v>
      </c>
      <c r="K998" t="n">
        <v>0</v>
      </c>
      <c r="L998" t="n">
        <v>0</v>
      </c>
      <c r="M998" t="n">
        <v>0</v>
      </c>
      <c r="N998" t="n">
        <v>0</v>
      </c>
      <c r="O998" t="n">
        <v>0</v>
      </c>
      <c r="P998" t="n">
        <v>0</v>
      </c>
      <c r="Q998" t="n">
        <v>0</v>
      </c>
      <c r="R998" s="2" t="inlineStr"/>
    </row>
    <row r="999" ht="15" customHeight="1">
      <c r="A999" t="inlineStr">
        <is>
          <t>A 50563-2022</t>
        </is>
      </c>
      <c r="B999" s="1" t="n">
        <v>44866</v>
      </c>
      <c r="C999" s="1" t="n">
        <v>45758</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50569-2022</t>
        </is>
      </c>
      <c r="B1000" s="1" t="n">
        <v>44866</v>
      </c>
      <c r="C1000" s="1" t="n">
        <v>45758</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50484-2022</t>
        </is>
      </c>
      <c r="B1001" s="1" t="n">
        <v>44866</v>
      </c>
      <c r="C1001" s="1" t="n">
        <v>45758</v>
      </c>
      <c r="D1001" t="inlineStr">
        <is>
          <t>STOCKHOLMS LÄN</t>
        </is>
      </c>
      <c r="E1001" t="inlineStr">
        <is>
          <t>NORRTÄLJE</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50970-2022</t>
        </is>
      </c>
      <c r="B1002" s="1" t="n">
        <v>44867</v>
      </c>
      <c r="C1002" s="1" t="n">
        <v>45758</v>
      </c>
      <c r="D1002" t="inlineStr">
        <is>
          <t>STOCKHOLMS LÄN</t>
        </is>
      </c>
      <c r="E1002" t="inlineStr">
        <is>
          <t>NORRTÄLJE</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50983-2022</t>
        </is>
      </c>
      <c r="B1003" s="1" t="n">
        <v>44867</v>
      </c>
      <c r="C1003" s="1" t="n">
        <v>45758</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50907-2022</t>
        </is>
      </c>
      <c r="B1004" s="1" t="n">
        <v>44867</v>
      </c>
      <c r="C1004" s="1" t="n">
        <v>45758</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51653-2022</t>
        </is>
      </c>
      <c r="B1005" s="1" t="n">
        <v>44867</v>
      </c>
      <c r="C1005" s="1" t="n">
        <v>45758</v>
      </c>
      <c r="D1005" t="inlineStr">
        <is>
          <t>STOCKHOLMS LÄN</t>
        </is>
      </c>
      <c r="E1005" t="inlineStr">
        <is>
          <t>NORRTÄLJE</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51116-2022</t>
        </is>
      </c>
      <c r="B1006" s="1" t="n">
        <v>44868</v>
      </c>
      <c r="C1006" s="1" t="n">
        <v>45758</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51265-2022</t>
        </is>
      </c>
      <c r="B1007" s="1" t="n">
        <v>44868</v>
      </c>
      <c r="C1007" s="1" t="n">
        <v>45758</v>
      </c>
      <c r="D1007" t="inlineStr">
        <is>
          <t>STOCKHOLMS LÄN</t>
        </is>
      </c>
      <c r="E1007" t="inlineStr">
        <is>
          <t>NORRTÄLJE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52139-2022</t>
        </is>
      </c>
      <c r="B1008" s="1" t="n">
        <v>44868</v>
      </c>
      <c r="C1008" s="1" t="n">
        <v>45758</v>
      </c>
      <c r="D1008" t="inlineStr">
        <is>
          <t>STOCKHOLMS LÄN</t>
        </is>
      </c>
      <c r="E1008" t="inlineStr">
        <is>
          <t>NORRTÄLJE</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52133-2022</t>
        </is>
      </c>
      <c r="B1009" s="1" t="n">
        <v>44868</v>
      </c>
      <c r="C1009" s="1" t="n">
        <v>45758</v>
      </c>
      <c r="D1009" t="inlineStr">
        <is>
          <t>STOCKHOLMS LÄN</t>
        </is>
      </c>
      <c r="E1009" t="inlineStr">
        <is>
          <t>NORRTÄLJE</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52260-2022</t>
        </is>
      </c>
      <c r="B1010" s="1" t="n">
        <v>44869</v>
      </c>
      <c r="C1010" s="1" t="n">
        <v>45758</v>
      </c>
      <c r="D1010" t="inlineStr">
        <is>
          <t>STOCKHOLMS LÄN</t>
        </is>
      </c>
      <c r="E1010" t="inlineStr">
        <is>
          <t>NORRTÄLJE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51984-2022</t>
        </is>
      </c>
      <c r="B1011" s="1" t="n">
        <v>44872</v>
      </c>
      <c r="C1011" s="1" t="n">
        <v>45758</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52322-2022</t>
        </is>
      </c>
      <c r="B1012" s="1" t="n">
        <v>44873</v>
      </c>
      <c r="C1012" s="1" t="n">
        <v>45758</v>
      </c>
      <c r="D1012" t="inlineStr">
        <is>
          <t>STOCKHOLMS LÄN</t>
        </is>
      </c>
      <c r="E1012" t="inlineStr">
        <is>
          <t>NORRTÄLJE</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53461-2022</t>
        </is>
      </c>
      <c r="B1013" s="1" t="n">
        <v>44879</v>
      </c>
      <c r="C1013" s="1" t="n">
        <v>45758</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53600-2022</t>
        </is>
      </c>
      <c r="B1014" s="1" t="n">
        <v>44879</v>
      </c>
      <c r="C1014" s="1" t="n">
        <v>45758</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53459-2022</t>
        </is>
      </c>
      <c r="B1015" s="1" t="n">
        <v>44879</v>
      </c>
      <c r="C1015" s="1" t="n">
        <v>45758</v>
      </c>
      <c r="D1015" t="inlineStr">
        <is>
          <t>STOCKHOLMS LÄN</t>
        </is>
      </c>
      <c r="E1015" t="inlineStr">
        <is>
          <t>NORRTÄLJE</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53884-2022</t>
        </is>
      </c>
      <c r="B1016" s="1" t="n">
        <v>44880</v>
      </c>
      <c r="C1016" s="1" t="n">
        <v>45758</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54169-2022</t>
        </is>
      </c>
      <c r="B1017" s="1" t="n">
        <v>44881</v>
      </c>
      <c r="C1017" s="1" t="n">
        <v>45758</v>
      </c>
      <c r="D1017" t="inlineStr">
        <is>
          <t>STOCKHOLMS LÄN</t>
        </is>
      </c>
      <c r="E1017" t="inlineStr">
        <is>
          <t>NORRTÄLJE</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54175-2022</t>
        </is>
      </c>
      <c r="B1018" s="1" t="n">
        <v>44881</v>
      </c>
      <c r="C1018" s="1" t="n">
        <v>45758</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54355-2022</t>
        </is>
      </c>
      <c r="B1019" s="1" t="n">
        <v>44882</v>
      </c>
      <c r="C1019" s="1" t="n">
        <v>45758</v>
      </c>
      <c r="D1019" t="inlineStr">
        <is>
          <t>STOCKHOLMS LÄN</t>
        </is>
      </c>
      <c r="E1019" t="inlineStr">
        <is>
          <t>NORRTÄLJE</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54427-2022</t>
        </is>
      </c>
      <c r="B1020" s="1" t="n">
        <v>44882</v>
      </c>
      <c r="C1020" s="1" t="n">
        <v>45758</v>
      </c>
      <c r="D1020" t="inlineStr">
        <is>
          <t>STOCKHOLMS LÄN</t>
        </is>
      </c>
      <c r="E1020" t="inlineStr">
        <is>
          <t>NORRTÄLJE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54340-2022</t>
        </is>
      </c>
      <c r="B1021" s="1" t="n">
        <v>44882</v>
      </c>
      <c r="C1021" s="1" t="n">
        <v>45758</v>
      </c>
      <c r="D1021" t="inlineStr">
        <is>
          <t>STOCKHOLMS LÄN</t>
        </is>
      </c>
      <c r="E1021" t="inlineStr">
        <is>
          <t>NORRTÄLJE</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54358-2022</t>
        </is>
      </c>
      <c r="B1022" s="1" t="n">
        <v>44882</v>
      </c>
      <c r="C1022" s="1" t="n">
        <v>45758</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54354-2022</t>
        </is>
      </c>
      <c r="B1023" s="1" t="n">
        <v>44882</v>
      </c>
      <c r="C1023" s="1" t="n">
        <v>45758</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55047-2022</t>
        </is>
      </c>
      <c r="B1024" s="1" t="n">
        <v>44886</v>
      </c>
      <c r="C1024" s="1" t="n">
        <v>45758</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55696-2022</t>
        </is>
      </c>
      <c r="B1025" s="1" t="n">
        <v>44888</v>
      </c>
      <c r="C1025" s="1" t="n">
        <v>45758</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57037-2022</t>
        </is>
      </c>
      <c r="B1026" s="1" t="n">
        <v>44895</v>
      </c>
      <c r="C1026" s="1" t="n">
        <v>45758</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59767-2022</t>
        </is>
      </c>
      <c r="B1027" s="1" t="n">
        <v>44900</v>
      </c>
      <c r="C1027" s="1" t="n">
        <v>45758</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58302-2022</t>
        </is>
      </c>
      <c r="B1028" s="1" t="n">
        <v>44901</v>
      </c>
      <c r="C1028" s="1" t="n">
        <v>45758</v>
      </c>
      <c r="D1028" t="inlineStr">
        <is>
          <t>STOCKHOLMS LÄN</t>
        </is>
      </c>
      <c r="E1028" t="inlineStr">
        <is>
          <t>NORRTÄLJE</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58492-2022</t>
        </is>
      </c>
      <c r="B1029" s="1" t="n">
        <v>44902</v>
      </c>
      <c r="C1029" s="1" t="n">
        <v>45758</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58543-2022</t>
        </is>
      </c>
      <c r="B1030" s="1" t="n">
        <v>44902</v>
      </c>
      <c r="C1030" s="1" t="n">
        <v>45758</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58993-2022</t>
        </is>
      </c>
      <c r="B1031" s="1" t="n">
        <v>44903</v>
      </c>
      <c r="C1031" s="1" t="n">
        <v>45758</v>
      </c>
      <c r="D1031" t="inlineStr">
        <is>
          <t>STOCKHOLMS LÄN</t>
        </is>
      </c>
      <c r="E1031" t="inlineStr">
        <is>
          <t>NORRTÄLJE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60525-2022</t>
        </is>
      </c>
      <c r="B1032" s="1" t="n">
        <v>44904</v>
      </c>
      <c r="C1032" s="1" t="n">
        <v>45758</v>
      </c>
      <c r="D1032" t="inlineStr">
        <is>
          <t>STOCKHOLMS LÄN</t>
        </is>
      </c>
      <c r="E1032" t="inlineStr">
        <is>
          <t>NORRTÄLJE</t>
        </is>
      </c>
      <c r="G1032" t="n">
        <v>13.4</v>
      </c>
      <c r="H1032" t="n">
        <v>0</v>
      </c>
      <c r="I1032" t="n">
        <v>0</v>
      </c>
      <c r="J1032" t="n">
        <v>0</v>
      </c>
      <c r="K1032" t="n">
        <v>0</v>
      </c>
      <c r="L1032" t="n">
        <v>0</v>
      </c>
      <c r="M1032" t="n">
        <v>0</v>
      </c>
      <c r="N1032" t="n">
        <v>0</v>
      </c>
      <c r="O1032" t="n">
        <v>0</v>
      </c>
      <c r="P1032" t="n">
        <v>0</v>
      </c>
      <c r="Q1032" t="n">
        <v>0</v>
      </c>
      <c r="R1032" s="2" t="inlineStr"/>
    </row>
    <row r="1033" ht="15" customHeight="1">
      <c r="A1033" t="inlineStr">
        <is>
          <t>A 59717-2022</t>
        </is>
      </c>
      <c r="B1033" s="1" t="n">
        <v>44908</v>
      </c>
      <c r="C1033" s="1" t="n">
        <v>45758</v>
      </c>
      <c r="D1033" t="inlineStr">
        <is>
          <t>STOCKHOLMS LÄN</t>
        </is>
      </c>
      <c r="E1033" t="inlineStr">
        <is>
          <t>NORRTÄLJE</t>
        </is>
      </c>
      <c r="F1033" t="inlineStr">
        <is>
          <t>Holmen skog AB</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59893-2022</t>
        </is>
      </c>
      <c r="B1034" s="1" t="n">
        <v>44908</v>
      </c>
      <c r="C1034" s="1" t="n">
        <v>45758</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59892-2022</t>
        </is>
      </c>
      <c r="B1035" s="1" t="n">
        <v>44908</v>
      </c>
      <c r="C1035" s="1" t="n">
        <v>45758</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60840-2022</t>
        </is>
      </c>
      <c r="B1036" s="1" t="n">
        <v>44914</v>
      </c>
      <c r="C1036" s="1" t="n">
        <v>45758</v>
      </c>
      <c r="D1036" t="inlineStr">
        <is>
          <t>STOCKHOLMS LÄN</t>
        </is>
      </c>
      <c r="E1036" t="inlineStr">
        <is>
          <t>NORRTÄLJE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61016-2022</t>
        </is>
      </c>
      <c r="B1037" s="1" t="n">
        <v>44914</v>
      </c>
      <c r="C1037" s="1" t="n">
        <v>45758</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62206-2022</t>
        </is>
      </c>
      <c r="B1038" s="1" t="n">
        <v>44922</v>
      </c>
      <c r="C1038" s="1" t="n">
        <v>45758</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v>
      </c>
      <c r="C1039" s="1" t="n">
        <v>45758</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62593-2022</t>
        </is>
      </c>
      <c r="B1040" s="1" t="n">
        <v>44925</v>
      </c>
      <c r="C1040" s="1" t="n">
        <v>45758</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576-2023</t>
        </is>
      </c>
      <c r="B1041" s="1" t="n">
        <v>44925</v>
      </c>
      <c r="C1041" s="1" t="n">
        <v>45758</v>
      </c>
      <c r="D1041" t="inlineStr">
        <is>
          <t>STOCKHOLMS LÄN</t>
        </is>
      </c>
      <c r="E1041" t="inlineStr">
        <is>
          <t>NORRTÄLJE</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574-2023</t>
        </is>
      </c>
      <c r="B1042" s="1" t="n">
        <v>44925</v>
      </c>
      <c r="C1042" s="1" t="n">
        <v>45758</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755-2023</t>
        </is>
      </c>
      <c r="B1043" s="1" t="n">
        <v>44931</v>
      </c>
      <c r="C1043" s="1" t="n">
        <v>45758</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875-2023</t>
        </is>
      </c>
      <c r="B1044" s="1" t="n">
        <v>44931</v>
      </c>
      <c r="C1044" s="1" t="n">
        <v>45758</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951-2023</t>
        </is>
      </c>
      <c r="B1045" s="1" t="n">
        <v>44934</v>
      </c>
      <c r="C1045" s="1" t="n">
        <v>45758</v>
      </c>
      <c r="D1045" t="inlineStr">
        <is>
          <t>STOCKHOLMS LÄN</t>
        </is>
      </c>
      <c r="E1045" t="inlineStr">
        <is>
          <t>NORRTÄLJE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1183-2023</t>
        </is>
      </c>
      <c r="B1046" s="1" t="n">
        <v>44935</v>
      </c>
      <c r="C1046" s="1" t="n">
        <v>45758</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1335-2023</t>
        </is>
      </c>
      <c r="B1047" s="1" t="n">
        <v>44936</v>
      </c>
      <c r="C1047" s="1" t="n">
        <v>45758</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1373-2023</t>
        </is>
      </c>
      <c r="B1048" s="1" t="n">
        <v>44936</v>
      </c>
      <c r="C1048" s="1" t="n">
        <v>45758</v>
      </c>
      <c r="D1048" t="inlineStr">
        <is>
          <t>STOCKHOLMS LÄN</t>
        </is>
      </c>
      <c r="E1048" t="inlineStr">
        <is>
          <t>NORRTÄLJE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1448-2023</t>
        </is>
      </c>
      <c r="B1049" s="1" t="n">
        <v>44937</v>
      </c>
      <c r="C1049" s="1" t="n">
        <v>45758</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1740-2023</t>
        </is>
      </c>
      <c r="B1050" s="1" t="n">
        <v>44938</v>
      </c>
      <c r="C1050" s="1" t="n">
        <v>45758</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1847-2023</t>
        </is>
      </c>
      <c r="B1051" s="1" t="n">
        <v>44938</v>
      </c>
      <c r="C1051" s="1" t="n">
        <v>45758</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2103-2023</t>
        </is>
      </c>
      <c r="B1052" s="1" t="n">
        <v>44939</v>
      </c>
      <c r="C1052" s="1" t="n">
        <v>45758</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2976-2023</t>
        </is>
      </c>
      <c r="B1053" s="1" t="n">
        <v>44945</v>
      </c>
      <c r="C1053" s="1" t="n">
        <v>45758</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2890-2023</t>
        </is>
      </c>
      <c r="B1054" s="1" t="n">
        <v>44945</v>
      </c>
      <c r="C1054" s="1" t="n">
        <v>45758</v>
      </c>
      <c r="D1054" t="inlineStr">
        <is>
          <t>STOCKHOLMS LÄN</t>
        </is>
      </c>
      <c r="E1054" t="inlineStr">
        <is>
          <t>NORRTÄLJE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2982-2023</t>
        </is>
      </c>
      <c r="B1055" s="1" t="n">
        <v>44945</v>
      </c>
      <c r="C1055" s="1" t="n">
        <v>45758</v>
      </c>
      <c r="D1055" t="inlineStr">
        <is>
          <t>STOCKHOLMS LÄN</t>
        </is>
      </c>
      <c r="E1055" t="inlineStr">
        <is>
          <t>NORRTÄLJE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3383-2023</t>
        </is>
      </c>
      <c r="B1056" s="1" t="n">
        <v>44949</v>
      </c>
      <c r="C1056" s="1" t="n">
        <v>45758</v>
      </c>
      <c r="D1056" t="inlineStr">
        <is>
          <t>STOCKHOLMS LÄN</t>
        </is>
      </c>
      <c r="E1056" t="inlineStr">
        <is>
          <t>NORRTÄLJE</t>
        </is>
      </c>
      <c r="G1056" t="n">
        <v>14.6</v>
      </c>
      <c r="H1056" t="n">
        <v>0</v>
      </c>
      <c r="I1056" t="n">
        <v>0</v>
      </c>
      <c r="J1056" t="n">
        <v>0</v>
      </c>
      <c r="K1056" t="n">
        <v>0</v>
      </c>
      <c r="L1056" t="n">
        <v>0</v>
      </c>
      <c r="M1056" t="n">
        <v>0</v>
      </c>
      <c r="N1056" t="n">
        <v>0</v>
      </c>
      <c r="O1056" t="n">
        <v>0</v>
      </c>
      <c r="P1056" t="n">
        <v>0</v>
      </c>
      <c r="Q1056" t="n">
        <v>0</v>
      </c>
      <c r="R1056" s="2" t="inlineStr"/>
    </row>
    <row r="1057" ht="15" customHeight="1">
      <c r="A1057" t="inlineStr">
        <is>
          <t>A 3444-2023</t>
        </is>
      </c>
      <c r="B1057" s="1" t="n">
        <v>44949</v>
      </c>
      <c r="C1057" s="1" t="n">
        <v>45758</v>
      </c>
      <c r="D1057" t="inlineStr">
        <is>
          <t>STOCKHOLMS LÄN</t>
        </is>
      </c>
      <c r="E1057" t="inlineStr">
        <is>
          <t>NORRTÄLJE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4035-2023</t>
        </is>
      </c>
      <c r="B1058" s="1" t="n">
        <v>44952</v>
      </c>
      <c r="C1058" s="1" t="n">
        <v>45758</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4058-2023</t>
        </is>
      </c>
      <c r="B1059" s="1" t="n">
        <v>44952</v>
      </c>
      <c r="C1059" s="1" t="n">
        <v>45758</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4194-2023</t>
        </is>
      </c>
      <c r="B1060" s="1" t="n">
        <v>44953</v>
      </c>
      <c r="C1060" s="1" t="n">
        <v>45758</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4168-2023</t>
        </is>
      </c>
      <c r="B1061" s="1" t="n">
        <v>44953</v>
      </c>
      <c r="C1061" s="1" t="n">
        <v>45758</v>
      </c>
      <c r="D1061" t="inlineStr">
        <is>
          <t>STOCKHOLMS LÄN</t>
        </is>
      </c>
      <c r="E1061" t="inlineStr">
        <is>
          <t>NORRTÄLJE</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4316-2023</t>
        </is>
      </c>
      <c r="B1062" s="1" t="n">
        <v>44953</v>
      </c>
      <c r="C1062" s="1" t="n">
        <v>45758</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4326-2023</t>
        </is>
      </c>
      <c r="B1063" s="1" t="n">
        <v>44953</v>
      </c>
      <c r="C1063" s="1" t="n">
        <v>45758</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4322-2023</t>
        </is>
      </c>
      <c r="B1064" s="1" t="n">
        <v>44953</v>
      </c>
      <c r="C1064" s="1" t="n">
        <v>45758</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4364-2023</t>
        </is>
      </c>
      <c r="B1065" s="1" t="n">
        <v>44954</v>
      </c>
      <c r="C1065" s="1" t="n">
        <v>45758</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4395-2023</t>
        </is>
      </c>
      <c r="B1066" s="1" t="n">
        <v>44956</v>
      </c>
      <c r="C1066" s="1" t="n">
        <v>45758</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4438-2023</t>
        </is>
      </c>
      <c r="B1067" s="1" t="n">
        <v>44956</v>
      </c>
      <c r="C1067" s="1" t="n">
        <v>45758</v>
      </c>
      <c r="D1067" t="inlineStr">
        <is>
          <t>STOCKHOLMS LÄN</t>
        </is>
      </c>
      <c r="E1067" t="inlineStr">
        <is>
          <t>NORRTÄLJE</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4593-2023</t>
        </is>
      </c>
      <c r="B1068" s="1" t="n">
        <v>44956</v>
      </c>
      <c r="C1068" s="1" t="n">
        <v>45758</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4596-2023</t>
        </is>
      </c>
      <c r="B1069" s="1" t="n">
        <v>44956</v>
      </c>
      <c r="C1069" s="1" t="n">
        <v>45758</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v>
      </c>
      <c r="C1070" s="1" t="n">
        <v>45758</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5137-2023</t>
        </is>
      </c>
      <c r="B1071" s="1" t="n">
        <v>44958</v>
      </c>
      <c r="C1071" s="1" t="n">
        <v>45758</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5207-2023</t>
        </is>
      </c>
      <c r="B1072" s="1" t="n">
        <v>44959</v>
      </c>
      <c r="C1072" s="1" t="n">
        <v>45758</v>
      </c>
      <c r="D1072" t="inlineStr">
        <is>
          <t>STOCKHOLMS LÄN</t>
        </is>
      </c>
      <c r="E1072" t="inlineStr">
        <is>
          <t>NORRTÄLJE</t>
        </is>
      </c>
      <c r="F1072" t="inlineStr">
        <is>
          <t>Holmen skog AB</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5422-2023</t>
        </is>
      </c>
      <c r="B1073" s="1" t="n">
        <v>44959</v>
      </c>
      <c r="C1073" s="1" t="n">
        <v>45758</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5244-2023</t>
        </is>
      </c>
      <c r="B1074" s="1" t="n">
        <v>44959</v>
      </c>
      <c r="C1074" s="1" t="n">
        <v>45758</v>
      </c>
      <c r="D1074" t="inlineStr">
        <is>
          <t>STOCKHOLMS LÄN</t>
        </is>
      </c>
      <c r="E1074" t="inlineStr">
        <is>
          <t>NORRTÄLJE</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5423-2023</t>
        </is>
      </c>
      <c r="B1075" s="1" t="n">
        <v>44959</v>
      </c>
      <c r="C1075" s="1" t="n">
        <v>45758</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6312-2023</t>
        </is>
      </c>
      <c r="B1076" s="1" t="n">
        <v>44959</v>
      </c>
      <c r="C1076" s="1" t="n">
        <v>45758</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5645-2023</t>
        </is>
      </c>
      <c r="B1077" s="1" t="n">
        <v>44960</v>
      </c>
      <c r="C1077" s="1" t="n">
        <v>45758</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5501-2023</t>
        </is>
      </c>
      <c r="B1078" s="1" t="n">
        <v>44960</v>
      </c>
      <c r="C1078" s="1" t="n">
        <v>45758</v>
      </c>
      <c r="D1078" t="inlineStr">
        <is>
          <t>STOCKHOLMS LÄN</t>
        </is>
      </c>
      <c r="E1078" t="inlineStr">
        <is>
          <t>NORRTÄLJE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6496-2023</t>
        </is>
      </c>
      <c r="B1079" s="1" t="n">
        <v>44960</v>
      </c>
      <c r="C1079" s="1" t="n">
        <v>45758</v>
      </c>
      <c r="D1079" t="inlineStr">
        <is>
          <t>STOCKHOLMS LÄN</t>
        </is>
      </c>
      <c r="E1079" t="inlineStr">
        <is>
          <t>NORRTÄLJE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5732-2023</t>
        </is>
      </c>
      <c r="B1080" s="1" t="n">
        <v>44962</v>
      </c>
      <c r="C1080" s="1" t="n">
        <v>45758</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5823-2023</t>
        </is>
      </c>
      <c r="B1081" s="1" t="n">
        <v>44963</v>
      </c>
      <c r="C1081" s="1" t="n">
        <v>45758</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5839-2023</t>
        </is>
      </c>
      <c r="B1082" s="1" t="n">
        <v>44963</v>
      </c>
      <c r="C1082" s="1" t="n">
        <v>45758</v>
      </c>
      <c r="D1082" t="inlineStr">
        <is>
          <t>STOCKHOLMS LÄN</t>
        </is>
      </c>
      <c r="E1082" t="inlineStr">
        <is>
          <t>NORRTÄLJE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6433-2023</t>
        </is>
      </c>
      <c r="B1083" s="1" t="n">
        <v>44965</v>
      </c>
      <c r="C1083" s="1" t="n">
        <v>45758</v>
      </c>
      <c r="D1083" t="inlineStr">
        <is>
          <t>STOCKHOLMS LÄN</t>
        </is>
      </c>
      <c r="E1083" t="inlineStr">
        <is>
          <t>NORRTÄLJE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7230-2023</t>
        </is>
      </c>
      <c r="B1084" s="1" t="n">
        <v>44965</v>
      </c>
      <c r="C1084" s="1" t="n">
        <v>45758</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6437-2023</t>
        </is>
      </c>
      <c r="B1085" s="1" t="n">
        <v>44965</v>
      </c>
      <c r="C1085" s="1" t="n">
        <v>45758</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7093-2023</t>
        </is>
      </c>
      <c r="B1086" s="1" t="n">
        <v>44970</v>
      </c>
      <c r="C1086" s="1" t="n">
        <v>45758</v>
      </c>
      <c r="D1086" t="inlineStr">
        <is>
          <t>STOCKHOLMS LÄN</t>
        </is>
      </c>
      <c r="E1086" t="inlineStr">
        <is>
          <t>NORRTÄLJE</t>
        </is>
      </c>
      <c r="F1086" t="inlineStr">
        <is>
          <t>Sveaskog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7190-2023</t>
        </is>
      </c>
      <c r="B1087" s="1" t="n">
        <v>44970</v>
      </c>
      <c r="C1087" s="1" t="n">
        <v>45758</v>
      </c>
      <c r="D1087" t="inlineStr">
        <is>
          <t>STOCKHOLMS LÄN</t>
        </is>
      </c>
      <c r="E1087" t="inlineStr">
        <is>
          <t>NORRTÄLJE</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7120-2023</t>
        </is>
      </c>
      <c r="B1088" s="1" t="n">
        <v>44970</v>
      </c>
      <c r="C1088" s="1" t="n">
        <v>45758</v>
      </c>
      <c r="D1088" t="inlineStr">
        <is>
          <t>STOCKHOLMS LÄN</t>
        </is>
      </c>
      <c r="E1088" t="inlineStr">
        <is>
          <t>NORRTÄLJE</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7638-2023</t>
        </is>
      </c>
      <c r="B1089" s="1" t="n">
        <v>44972</v>
      </c>
      <c r="C1089" s="1" t="n">
        <v>45758</v>
      </c>
      <c r="D1089" t="inlineStr">
        <is>
          <t>STOCKHOLMS LÄN</t>
        </is>
      </c>
      <c r="E1089" t="inlineStr">
        <is>
          <t>NORRTÄLJE</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7966-2023</t>
        </is>
      </c>
      <c r="B1090" s="1" t="n">
        <v>44973</v>
      </c>
      <c r="C1090" s="1" t="n">
        <v>45758</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7974-2023</t>
        </is>
      </c>
      <c r="B1091" s="1" t="n">
        <v>44973</v>
      </c>
      <c r="C1091" s="1" t="n">
        <v>45758</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8296-2023</t>
        </is>
      </c>
      <c r="B1092" s="1" t="n">
        <v>44974</v>
      </c>
      <c r="C1092" s="1" t="n">
        <v>45758</v>
      </c>
      <c r="D1092" t="inlineStr">
        <is>
          <t>STOCKHOLMS LÄN</t>
        </is>
      </c>
      <c r="E1092" t="inlineStr">
        <is>
          <t>NORRTÄLJE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8586-2023</t>
        </is>
      </c>
      <c r="B1093" s="1" t="n">
        <v>44977</v>
      </c>
      <c r="C1093" s="1" t="n">
        <v>45758</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9401-2023</t>
        </is>
      </c>
      <c r="B1094" s="1" t="n">
        <v>44977</v>
      </c>
      <c r="C1094" s="1" t="n">
        <v>45758</v>
      </c>
      <c r="D1094" t="inlineStr">
        <is>
          <t>STOCKHOLMS LÄN</t>
        </is>
      </c>
      <c r="E1094" t="inlineStr">
        <is>
          <t>NORRTÄLJE</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8730-2023</t>
        </is>
      </c>
      <c r="B1095" s="1" t="n">
        <v>44978</v>
      </c>
      <c r="C1095" s="1" t="n">
        <v>45758</v>
      </c>
      <c r="D1095" t="inlineStr">
        <is>
          <t>STOCKHOLMS LÄN</t>
        </is>
      </c>
      <c r="E1095" t="inlineStr">
        <is>
          <t>NORRTÄLJE</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8762-2023</t>
        </is>
      </c>
      <c r="B1096" s="1" t="n">
        <v>44978</v>
      </c>
      <c r="C1096" s="1" t="n">
        <v>45758</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8899-2023</t>
        </is>
      </c>
      <c r="B1097" s="1" t="n">
        <v>44979</v>
      </c>
      <c r="C1097" s="1" t="n">
        <v>45758</v>
      </c>
      <c r="D1097" t="inlineStr">
        <is>
          <t>STOCKHOLMS LÄN</t>
        </is>
      </c>
      <c r="E1097" t="inlineStr">
        <is>
          <t>NORRTÄLJE</t>
        </is>
      </c>
      <c r="F1097" t="inlineStr">
        <is>
          <t>Naturvårdsverket</t>
        </is>
      </c>
      <c r="G1097" t="n">
        <v>14.9</v>
      </c>
      <c r="H1097" t="n">
        <v>0</v>
      </c>
      <c r="I1097" t="n">
        <v>0</v>
      </c>
      <c r="J1097" t="n">
        <v>0</v>
      </c>
      <c r="K1097" t="n">
        <v>0</v>
      </c>
      <c r="L1097" t="n">
        <v>0</v>
      </c>
      <c r="M1097" t="n">
        <v>0</v>
      </c>
      <c r="N1097" t="n">
        <v>0</v>
      </c>
      <c r="O1097" t="n">
        <v>0</v>
      </c>
      <c r="P1097" t="n">
        <v>0</v>
      </c>
      <c r="Q1097" t="n">
        <v>0</v>
      </c>
      <c r="R1097" s="2" t="inlineStr"/>
    </row>
    <row r="1098" ht="15" customHeight="1">
      <c r="A1098" t="inlineStr">
        <is>
          <t>A 9189-2023</t>
        </is>
      </c>
      <c r="B1098" s="1" t="n">
        <v>44980</v>
      </c>
      <c r="C1098" s="1" t="n">
        <v>45758</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9184-2023</t>
        </is>
      </c>
      <c r="B1099" s="1" t="n">
        <v>44980</v>
      </c>
      <c r="C1099" s="1" t="n">
        <v>45758</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9255-2023</t>
        </is>
      </c>
      <c r="B1100" s="1" t="n">
        <v>44980</v>
      </c>
      <c r="C1100" s="1" t="n">
        <v>45758</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9329-2023</t>
        </is>
      </c>
      <c r="B1101" s="1" t="n">
        <v>44980</v>
      </c>
      <c r="C1101" s="1" t="n">
        <v>45758</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9793-2023</t>
        </is>
      </c>
      <c r="B1102" s="1" t="n">
        <v>44984</v>
      </c>
      <c r="C1102" s="1" t="n">
        <v>45758</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9914-2023</t>
        </is>
      </c>
      <c r="B1103" s="1" t="n">
        <v>44985</v>
      </c>
      <c r="C1103" s="1" t="n">
        <v>45758</v>
      </c>
      <c r="D1103" t="inlineStr">
        <is>
          <t>STOCKHOLMS LÄN</t>
        </is>
      </c>
      <c r="E1103" t="inlineStr">
        <is>
          <t>NORRTÄLJE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9965-2023</t>
        </is>
      </c>
      <c r="B1104" s="1" t="n">
        <v>44985</v>
      </c>
      <c r="C1104" s="1" t="n">
        <v>45758</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9995-2023</t>
        </is>
      </c>
      <c r="B1105" s="1" t="n">
        <v>44985</v>
      </c>
      <c r="C1105" s="1" t="n">
        <v>45758</v>
      </c>
      <c r="D1105" t="inlineStr">
        <is>
          <t>STOCKHOLMS LÄN</t>
        </is>
      </c>
      <c r="E1105" t="inlineStr">
        <is>
          <t>NORRTÄLJE</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10036-2023</t>
        </is>
      </c>
      <c r="B1106" s="1" t="n">
        <v>44985</v>
      </c>
      <c r="C1106" s="1" t="n">
        <v>45758</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10039-2023</t>
        </is>
      </c>
      <c r="B1107" s="1" t="n">
        <v>44985</v>
      </c>
      <c r="C1107" s="1" t="n">
        <v>45758</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9945-2023</t>
        </is>
      </c>
      <c r="B1108" s="1" t="n">
        <v>44985</v>
      </c>
      <c r="C1108" s="1" t="n">
        <v>45758</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10105-2023</t>
        </is>
      </c>
      <c r="B1109" s="1" t="n">
        <v>44986</v>
      </c>
      <c r="C1109" s="1" t="n">
        <v>45758</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10215-2023</t>
        </is>
      </c>
      <c r="B1110" s="1" t="n">
        <v>44986</v>
      </c>
      <c r="C1110" s="1" t="n">
        <v>45758</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11280-2023</t>
        </is>
      </c>
      <c r="B1111" s="1" t="n">
        <v>44992</v>
      </c>
      <c r="C1111" s="1" t="n">
        <v>45758</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11499-2023</t>
        </is>
      </c>
      <c r="B1112" s="1" t="n">
        <v>44993</v>
      </c>
      <c r="C1112" s="1" t="n">
        <v>45758</v>
      </c>
      <c r="D1112" t="inlineStr">
        <is>
          <t>STOCKHOLMS LÄN</t>
        </is>
      </c>
      <c r="E1112" t="inlineStr">
        <is>
          <t>NORRTÄLJE</t>
        </is>
      </c>
      <c r="F1112" t="inlineStr">
        <is>
          <t>Holmen skog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11844-2023</t>
        </is>
      </c>
      <c r="B1113" s="1" t="n">
        <v>44995</v>
      </c>
      <c r="C1113" s="1" t="n">
        <v>45758</v>
      </c>
      <c r="D1113" t="inlineStr">
        <is>
          <t>STOCKHOLMS LÄN</t>
        </is>
      </c>
      <c r="E1113" t="inlineStr">
        <is>
          <t>NORRTÄLJE</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11940-2023</t>
        </is>
      </c>
      <c r="B1114" s="1" t="n">
        <v>44995</v>
      </c>
      <c r="C1114" s="1" t="n">
        <v>45758</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11852-2023</t>
        </is>
      </c>
      <c r="B1115" s="1" t="n">
        <v>44995</v>
      </c>
      <c r="C1115" s="1" t="n">
        <v>45758</v>
      </c>
      <c r="D1115" t="inlineStr">
        <is>
          <t>STOCKHOLMS LÄN</t>
        </is>
      </c>
      <c r="E1115" t="inlineStr">
        <is>
          <t>NORRTÄLJE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12609-2023</t>
        </is>
      </c>
      <c r="B1116" s="1" t="n">
        <v>45000</v>
      </c>
      <c r="C1116" s="1" t="n">
        <v>45758</v>
      </c>
      <c r="D1116" t="inlineStr">
        <is>
          <t>STOCKHOLMS LÄN</t>
        </is>
      </c>
      <c r="E1116" t="inlineStr">
        <is>
          <t>NORRTÄLJE</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12756-2023</t>
        </is>
      </c>
      <c r="B1117" s="1" t="n">
        <v>45000</v>
      </c>
      <c r="C1117" s="1" t="n">
        <v>45758</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13072-2023</t>
        </is>
      </c>
      <c r="B1118" s="1" t="n">
        <v>45002</v>
      </c>
      <c r="C1118" s="1" t="n">
        <v>45758</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13354-2023</t>
        </is>
      </c>
      <c r="B1119" s="1" t="n">
        <v>45005</v>
      </c>
      <c r="C1119" s="1" t="n">
        <v>45758</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13360-2023</t>
        </is>
      </c>
      <c r="B1120" s="1" t="n">
        <v>45005</v>
      </c>
      <c r="C1120" s="1" t="n">
        <v>45758</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13860-2023</t>
        </is>
      </c>
      <c r="B1121" s="1" t="n">
        <v>45007</v>
      </c>
      <c r="C1121" s="1" t="n">
        <v>45758</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13957-2023</t>
        </is>
      </c>
      <c r="B1122" s="1" t="n">
        <v>45008</v>
      </c>
      <c r="C1122" s="1" t="n">
        <v>45758</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13947-2023</t>
        </is>
      </c>
      <c r="B1123" s="1" t="n">
        <v>45008</v>
      </c>
      <c r="C1123" s="1" t="n">
        <v>45758</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13977-2023</t>
        </is>
      </c>
      <c r="B1124" s="1" t="n">
        <v>45008</v>
      </c>
      <c r="C1124" s="1" t="n">
        <v>45758</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14135-2023</t>
        </is>
      </c>
      <c r="B1125" s="1" t="n">
        <v>45009</v>
      </c>
      <c r="C1125" s="1" t="n">
        <v>45758</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15217-2023</t>
        </is>
      </c>
      <c r="B1126" s="1" t="n">
        <v>45019</v>
      </c>
      <c r="C1126" s="1" t="n">
        <v>45758</v>
      </c>
      <c r="D1126" t="inlineStr">
        <is>
          <t>STOCKHOLMS LÄN</t>
        </is>
      </c>
      <c r="E1126" t="inlineStr">
        <is>
          <t>NORRTÄLJE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15256-2023</t>
        </is>
      </c>
      <c r="B1127" s="1" t="n">
        <v>45019</v>
      </c>
      <c r="C1127" s="1" t="n">
        <v>45758</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15447-2023</t>
        </is>
      </c>
      <c r="B1128" s="1" t="n">
        <v>45020</v>
      </c>
      <c r="C1128" s="1" t="n">
        <v>45758</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15459-2023</t>
        </is>
      </c>
      <c r="B1129" s="1" t="n">
        <v>45020</v>
      </c>
      <c r="C1129" s="1" t="n">
        <v>45758</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15655-2023</t>
        </is>
      </c>
      <c r="B1130" s="1" t="n">
        <v>45021</v>
      </c>
      <c r="C1130" s="1" t="n">
        <v>45758</v>
      </c>
      <c r="D1130" t="inlineStr">
        <is>
          <t>STOCKHOLMS LÄN</t>
        </is>
      </c>
      <c r="E1130" t="inlineStr">
        <is>
          <t>NORRTÄLJE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15905-2023</t>
        </is>
      </c>
      <c r="B1131" s="1" t="n">
        <v>45022</v>
      </c>
      <c r="C1131" s="1" t="n">
        <v>45758</v>
      </c>
      <c r="D1131" t="inlineStr">
        <is>
          <t>STOCKHOLMS LÄN</t>
        </is>
      </c>
      <c r="E1131" t="inlineStr">
        <is>
          <t>NORRTÄLJE</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15915-2023</t>
        </is>
      </c>
      <c r="B1132" s="1" t="n">
        <v>45022</v>
      </c>
      <c r="C1132" s="1" t="n">
        <v>45758</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15956-2023</t>
        </is>
      </c>
      <c r="B1133" s="1" t="n">
        <v>45022</v>
      </c>
      <c r="C1133" s="1" t="n">
        <v>45758</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15954-2023</t>
        </is>
      </c>
      <c r="B1134" s="1" t="n">
        <v>45022</v>
      </c>
      <c r="C1134" s="1" t="n">
        <v>45758</v>
      </c>
      <c r="D1134" t="inlineStr">
        <is>
          <t>STOCKHOLMS LÄN</t>
        </is>
      </c>
      <c r="E1134" t="inlineStr">
        <is>
          <t>NORRTÄLJE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16006-2023</t>
        </is>
      </c>
      <c r="B1135" s="1" t="n">
        <v>45025</v>
      </c>
      <c r="C1135" s="1" t="n">
        <v>45758</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16980-2023</t>
        </is>
      </c>
      <c r="B1136" s="1" t="n">
        <v>45033</v>
      </c>
      <c r="C1136" s="1" t="n">
        <v>45758</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16977-2023</t>
        </is>
      </c>
      <c r="B1137" s="1" t="n">
        <v>45033</v>
      </c>
      <c r="C1137" s="1" t="n">
        <v>45758</v>
      </c>
      <c r="D1137" t="inlineStr">
        <is>
          <t>STOCKHOLMS LÄN</t>
        </is>
      </c>
      <c r="E1137" t="inlineStr">
        <is>
          <t>NORRTÄLJE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17140-2023</t>
        </is>
      </c>
      <c r="B1138" s="1" t="n">
        <v>45034</v>
      </c>
      <c r="C1138" s="1" t="n">
        <v>45758</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17133-2023</t>
        </is>
      </c>
      <c r="B1139" s="1" t="n">
        <v>45034</v>
      </c>
      <c r="C1139" s="1" t="n">
        <v>45758</v>
      </c>
      <c r="D1139" t="inlineStr">
        <is>
          <t>STOCKHOLMS LÄN</t>
        </is>
      </c>
      <c r="E1139" t="inlineStr">
        <is>
          <t>NORRTÄLJE</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17919-2023</t>
        </is>
      </c>
      <c r="B1140" s="1" t="n">
        <v>45040</v>
      </c>
      <c r="C1140" s="1" t="n">
        <v>45758</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17939-2023</t>
        </is>
      </c>
      <c r="B1141" s="1" t="n">
        <v>45040</v>
      </c>
      <c r="C1141" s="1" t="n">
        <v>45758</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17930-2023</t>
        </is>
      </c>
      <c r="B1142" s="1" t="n">
        <v>45040</v>
      </c>
      <c r="C1142" s="1" t="n">
        <v>45758</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17984-2023</t>
        </is>
      </c>
      <c r="B1143" s="1" t="n">
        <v>45040</v>
      </c>
      <c r="C1143" s="1" t="n">
        <v>45758</v>
      </c>
      <c r="D1143" t="inlineStr">
        <is>
          <t>STOCKHOLMS LÄN</t>
        </is>
      </c>
      <c r="E1143" t="inlineStr">
        <is>
          <t>NORRTÄLJE</t>
        </is>
      </c>
      <c r="F1143" t="inlineStr">
        <is>
          <t>Holmen skog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18023-2023</t>
        </is>
      </c>
      <c r="B1144" s="1" t="n">
        <v>45040</v>
      </c>
      <c r="C1144" s="1" t="n">
        <v>45758</v>
      </c>
      <c r="D1144" t="inlineStr">
        <is>
          <t>STOCKHOLMS LÄN</t>
        </is>
      </c>
      <c r="E1144" t="inlineStr">
        <is>
          <t>NORRTÄLJE</t>
        </is>
      </c>
      <c r="F1144" t="inlineStr">
        <is>
          <t>Sveaskog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18541-2023</t>
        </is>
      </c>
      <c r="B1145" s="1" t="n">
        <v>45042</v>
      </c>
      <c r="C1145" s="1" t="n">
        <v>45758</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18540-2023</t>
        </is>
      </c>
      <c r="B1146" s="1" t="n">
        <v>45042</v>
      </c>
      <c r="C1146" s="1" t="n">
        <v>45758</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18895-2023</t>
        </is>
      </c>
      <c r="B1147" s="1" t="n">
        <v>45044</v>
      </c>
      <c r="C1147" s="1" t="n">
        <v>45758</v>
      </c>
      <c r="D1147" t="inlineStr">
        <is>
          <t>STOCKHOLMS LÄN</t>
        </is>
      </c>
      <c r="E1147" t="inlineStr">
        <is>
          <t>NORRTÄLJE</t>
        </is>
      </c>
      <c r="F1147" t="inlineStr">
        <is>
          <t>Kommuner</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19074-2023</t>
        </is>
      </c>
      <c r="B1148" s="1" t="n">
        <v>45048</v>
      </c>
      <c r="C1148" s="1" t="n">
        <v>45758</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19058-2023</t>
        </is>
      </c>
      <c r="B1149" s="1" t="n">
        <v>45048</v>
      </c>
      <c r="C1149" s="1" t="n">
        <v>45758</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19702-2023</t>
        </is>
      </c>
      <c r="B1150" s="1" t="n">
        <v>45051</v>
      </c>
      <c r="C1150" s="1" t="n">
        <v>45758</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19706-2023</t>
        </is>
      </c>
      <c r="B1151" s="1" t="n">
        <v>45051</v>
      </c>
      <c r="C1151" s="1" t="n">
        <v>45758</v>
      </c>
      <c r="D1151" t="inlineStr">
        <is>
          <t>STOCKHOLMS LÄN</t>
        </is>
      </c>
      <c r="E1151" t="inlineStr">
        <is>
          <t>NORRTÄLJE</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19719-2023</t>
        </is>
      </c>
      <c r="B1152" s="1" t="n">
        <v>45051</v>
      </c>
      <c r="C1152" s="1" t="n">
        <v>45758</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19951-2023</t>
        </is>
      </c>
      <c r="B1153" s="1" t="n">
        <v>45054</v>
      </c>
      <c r="C1153" s="1" t="n">
        <v>45758</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19971-2023</t>
        </is>
      </c>
      <c r="B1154" s="1" t="n">
        <v>45054</v>
      </c>
      <c r="C1154" s="1" t="n">
        <v>45758</v>
      </c>
      <c r="D1154" t="inlineStr">
        <is>
          <t>STOCKHOLMS LÄN</t>
        </is>
      </c>
      <c r="E1154" t="inlineStr">
        <is>
          <t>NORRTÄLJE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19994-2023</t>
        </is>
      </c>
      <c r="B1155" s="1" t="n">
        <v>45054</v>
      </c>
      <c r="C1155" s="1" t="n">
        <v>45758</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19952-2023</t>
        </is>
      </c>
      <c r="B1156" s="1" t="n">
        <v>45054</v>
      </c>
      <c r="C1156" s="1" t="n">
        <v>45758</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20004-2023</t>
        </is>
      </c>
      <c r="B1157" s="1" t="n">
        <v>45054</v>
      </c>
      <c r="C1157" s="1" t="n">
        <v>45758</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20015-2023</t>
        </is>
      </c>
      <c r="B1158" s="1" t="n">
        <v>45054</v>
      </c>
      <c r="C1158" s="1" t="n">
        <v>45758</v>
      </c>
      <c r="D1158" t="inlineStr">
        <is>
          <t>STOCKHOLMS LÄN</t>
        </is>
      </c>
      <c r="E1158" t="inlineStr">
        <is>
          <t>NORRTÄLJE</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20144-2023</t>
        </is>
      </c>
      <c r="B1159" s="1" t="n">
        <v>45055</v>
      </c>
      <c r="C1159" s="1" t="n">
        <v>45758</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20304-2023</t>
        </is>
      </c>
      <c r="B1160" s="1" t="n">
        <v>45056</v>
      </c>
      <c r="C1160" s="1" t="n">
        <v>45758</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20535-2023</t>
        </is>
      </c>
      <c r="B1161" s="1" t="n">
        <v>45057</v>
      </c>
      <c r="C1161" s="1" t="n">
        <v>45758</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20852-2023</t>
        </is>
      </c>
      <c r="B1162" s="1" t="n">
        <v>45058</v>
      </c>
      <c r="C1162" s="1" t="n">
        <v>45758</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21237-2023</t>
        </is>
      </c>
      <c r="B1163" s="1" t="n">
        <v>45062</v>
      </c>
      <c r="C1163" s="1" t="n">
        <v>45758</v>
      </c>
      <c r="D1163" t="inlineStr">
        <is>
          <t>STOCKHOLMS LÄN</t>
        </is>
      </c>
      <c r="E1163" t="inlineStr">
        <is>
          <t>NORRTÄLJE</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21386-2023</t>
        </is>
      </c>
      <c r="B1164" s="1" t="n">
        <v>45063</v>
      </c>
      <c r="C1164" s="1" t="n">
        <v>45758</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21435-2023</t>
        </is>
      </c>
      <c r="B1165" s="1" t="n">
        <v>45063</v>
      </c>
      <c r="C1165" s="1" t="n">
        <v>45758</v>
      </c>
      <c r="D1165" t="inlineStr">
        <is>
          <t>STOCKHOLMS LÄN</t>
        </is>
      </c>
      <c r="E1165" t="inlineStr">
        <is>
          <t>NORRTÄLJE</t>
        </is>
      </c>
      <c r="G1165" t="n">
        <v>19.1</v>
      </c>
      <c r="H1165" t="n">
        <v>0</v>
      </c>
      <c r="I1165" t="n">
        <v>0</v>
      </c>
      <c r="J1165" t="n">
        <v>0</v>
      </c>
      <c r="K1165" t="n">
        <v>0</v>
      </c>
      <c r="L1165" t="n">
        <v>0</v>
      </c>
      <c r="M1165" t="n">
        <v>0</v>
      </c>
      <c r="N1165" t="n">
        <v>0</v>
      </c>
      <c r="O1165" t="n">
        <v>0</v>
      </c>
      <c r="P1165" t="n">
        <v>0</v>
      </c>
      <c r="Q1165" t="n">
        <v>0</v>
      </c>
      <c r="R1165" s="2" t="inlineStr"/>
    </row>
    <row r="1166" ht="15" customHeight="1">
      <c r="A1166" t="inlineStr">
        <is>
          <t>A 21732-2023</t>
        </is>
      </c>
      <c r="B1166" s="1" t="n">
        <v>45063</v>
      </c>
      <c r="C1166" s="1" t="n">
        <v>45758</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21733-2023</t>
        </is>
      </c>
      <c r="B1167" s="1" t="n">
        <v>45063</v>
      </c>
      <c r="C1167" s="1" t="n">
        <v>45758</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21731-2023</t>
        </is>
      </c>
      <c r="B1168" s="1" t="n">
        <v>45063</v>
      </c>
      <c r="C1168" s="1" t="n">
        <v>45758</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21718-2023</t>
        </is>
      </c>
      <c r="B1169" s="1" t="n">
        <v>45065</v>
      </c>
      <c r="C1169" s="1" t="n">
        <v>45758</v>
      </c>
      <c r="D1169" t="inlineStr">
        <is>
          <t>STOCKHOLMS LÄN</t>
        </is>
      </c>
      <c r="E1169" t="inlineStr">
        <is>
          <t>NORRTÄLJE</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21719-2023</t>
        </is>
      </c>
      <c r="B1170" s="1" t="n">
        <v>45065</v>
      </c>
      <c r="C1170" s="1" t="n">
        <v>45758</v>
      </c>
      <c r="D1170" t="inlineStr">
        <is>
          <t>STOCKHOLMS LÄN</t>
        </is>
      </c>
      <c r="E1170" t="inlineStr">
        <is>
          <t>NORRTÄLJE</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21745-2023</t>
        </is>
      </c>
      <c r="B1171" s="1" t="n">
        <v>45065</v>
      </c>
      <c r="C1171" s="1" t="n">
        <v>45758</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21720-2023</t>
        </is>
      </c>
      <c r="B1172" s="1" t="n">
        <v>45065</v>
      </c>
      <c r="C1172" s="1" t="n">
        <v>45758</v>
      </c>
      <c r="D1172" t="inlineStr">
        <is>
          <t>STOCKHOLMS LÄN</t>
        </is>
      </c>
      <c r="E1172" t="inlineStr">
        <is>
          <t>NORRTÄLJE</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21716-2023</t>
        </is>
      </c>
      <c r="B1173" s="1" t="n">
        <v>45065</v>
      </c>
      <c r="C1173" s="1" t="n">
        <v>45758</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21894-2023</t>
        </is>
      </c>
      <c r="B1174" s="1" t="n">
        <v>45068</v>
      </c>
      <c r="C1174" s="1" t="n">
        <v>45758</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21832-2023</t>
        </is>
      </c>
      <c r="B1175" s="1" t="n">
        <v>45068</v>
      </c>
      <c r="C1175" s="1" t="n">
        <v>45758</v>
      </c>
      <c r="D1175" t="inlineStr">
        <is>
          <t>STOCKHOLMS LÄN</t>
        </is>
      </c>
      <c r="E1175" t="inlineStr">
        <is>
          <t>NORRTÄLJE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21825-2023</t>
        </is>
      </c>
      <c r="B1176" s="1" t="n">
        <v>45068</v>
      </c>
      <c r="C1176" s="1" t="n">
        <v>45758</v>
      </c>
      <c r="D1176" t="inlineStr">
        <is>
          <t>STOCKHOLMS LÄN</t>
        </is>
      </c>
      <c r="E1176" t="inlineStr">
        <is>
          <t>NORRTÄLJE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21897-2023</t>
        </is>
      </c>
      <c r="B1177" s="1" t="n">
        <v>45068</v>
      </c>
      <c r="C1177" s="1" t="n">
        <v>45758</v>
      </c>
      <c r="D1177" t="inlineStr">
        <is>
          <t>STOCKHOLMS LÄN</t>
        </is>
      </c>
      <c r="E1177" t="inlineStr">
        <is>
          <t>NORRTÄLJE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21993-2023</t>
        </is>
      </c>
      <c r="B1178" s="1" t="n">
        <v>45068</v>
      </c>
      <c r="C1178" s="1" t="n">
        <v>45758</v>
      </c>
      <c r="D1178" t="inlineStr">
        <is>
          <t>STOCKHOLMS LÄN</t>
        </is>
      </c>
      <c r="E1178" t="inlineStr">
        <is>
          <t>NORRTÄLJE</t>
        </is>
      </c>
      <c r="G1178" t="n">
        <v>17.2</v>
      </c>
      <c r="H1178" t="n">
        <v>0</v>
      </c>
      <c r="I1178" t="n">
        <v>0</v>
      </c>
      <c r="J1178" t="n">
        <v>0</v>
      </c>
      <c r="K1178" t="n">
        <v>0</v>
      </c>
      <c r="L1178" t="n">
        <v>0</v>
      </c>
      <c r="M1178" t="n">
        <v>0</v>
      </c>
      <c r="N1178" t="n">
        <v>0</v>
      </c>
      <c r="O1178" t="n">
        <v>0</v>
      </c>
      <c r="P1178" t="n">
        <v>0</v>
      </c>
      <c r="Q1178" t="n">
        <v>0</v>
      </c>
      <c r="R1178" s="2" t="inlineStr"/>
    </row>
    <row r="1179" ht="15" customHeight="1">
      <c r="A1179" t="inlineStr">
        <is>
          <t>A 21961-2023</t>
        </is>
      </c>
      <c r="B1179" s="1" t="n">
        <v>45068</v>
      </c>
      <c r="C1179" s="1" t="n">
        <v>45758</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22157-2023</t>
        </is>
      </c>
      <c r="B1180" s="1" t="n">
        <v>45069</v>
      </c>
      <c r="C1180" s="1" t="n">
        <v>45758</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c r="U1180">
        <f>HYPERLINK("https://klasma.github.io/Logging_0188/knärot/A 22157-2023 karta knärot.png", "A 22157-2023")</f>
        <v/>
      </c>
      <c r="V1180">
        <f>HYPERLINK("https://klasma.github.io/Logging_0188/klagomål/A 22157-2023 FSC-klagomål.docx", "A 22157-2023")</f>
        <v/>
      </c>
      <c r="W1180">
        <f>HYPERLINK("https://klasma.github.io/Logging_0188/klagomålsmail/A 22157-2023 FSC-klagomål mail.docx", "A 22157-2023")</f>
        <v/>
      </c>
      <c r="X1180">
        <f>HYPERLINK("https://klasma.github.io/Logging_0188/tillsyn/A 22157-2023 tillsynsbegäran.docx", "A 22157-2023")</f>
        <v/>
      </c>
      <c r="Y1180">
        <f>HYPERLINK("https://klasma.github.io/Logging_0188/tillsynsmail/A 22157-2023 tillsynsbegäran mail.docx", "A 22157-2023")</f>
        <v/>
      </c>
    </row>
    <row r="1181" ht="15" customHeight="1">
      <c r="A1181" t="inlineStr">
        <is>
          <t>A 22175-2023</t>
        </is>
      </c>
      <c r="B1181" s="1" t="n">
        <v>45069</v>
      </c>
      <c r="C1181" s="1" t="n">
        <v>45758</v>
      </c>
      <c r="D1181" t="inlineStr">
        <is>
          <t>STOCKHOLMS LÄN</t>
        </is>
      </c>
      <c r="E1181" t="inlineStr">
        <is>
          <t>NORRTÄLJE</t>
        </is>
      </c>
      <c r="G1181" t="n">
        <v>32.7</v>
      </c>
      <c r="H1181" t="n">
        <v>0</v>
      </c>
      <c r="I1181" t="n">
        <v>0</v>
      </c>
      <c r="J1181" t="n">
        <v>0</v>
      </c>
      <c r="K1181" t="n">
        <v>0</v>
      </c>
      <c r="L1181" t="n">
        <v>0</v>
      </c>
      <c r="M1181" t="n">
        <v>0</v>
      </c>
      <c r="N1181" t="n">
        <v>0</v>
      </c>
      <c r="O1181" t="n">
        <v>0</v>
      </c>
      <c r="P1181" t="n">
        <v>0</v>
      </c>
      <c r="Q1181" t="n">
        <v>0</v>
      </c>
      <c r="R1181" s="2" t="inlineStr"/>
    </row>
    <row r="1182" ht="15" customHeight="1">
      <c r="A1182" t="inlineStr">
        <is>
          <t>A 22249-2023</t>
        </is>
      </c>
      <c r="B1182" s="1" t="n">
        <v>45070</v>
      </c>
      <c r="C1182" s="1" t="n">
        <v>45758</v>
      </c>
      <c r="D1182" t="inlineStr">
        <is>
          <t>STOCKHOLMS LÄN</t>
        </is>
      </c>
      <c r="E1182" t="inlineStr">
        <is>
          <t>NORRTÄLJE</t>
        </is>
      </c>
      <c r="F1182" t="inlineStr">
        <is>
          <t>Övriga Aktiebolag</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22398-2023</t>
        </is>
      </c>
      <c r="B1183" s="1" t="n">
        <v>45070</v>
      </c>
      <c r="C1183" s="1" t="n">
        <v>45758</v>
      </c>
      <c r="D1183" t="inlineStr">
        <is>
          <t>STOCKHOLMS LÄN</t>
        </is>
      </c>
      <c r="E1183" t="inlineStr">
        <is>
          <t>NORRTÄLJE</t>
        </is>
      </c>
      <c r="F1183" t="inlineStr">
        <is>
          <t>Övriga Aktiebolag</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22376-2023</t>
        </is>
      </c>
      <c r="B1184" s="1" t="n">
        <v>45070</v>
      </c>
      <c r="C1184" s="1" t="n">
        <v>45758</v>
      </c>
      <c r="D1184" t="inlineStr">
        <is>
          <t>STOCKHOLMS LÄN</t>
        </is>
      </c>
      <c r="E1184" t="inlineStr">
        <is>
          <t>NORRTÄLJE</t>
        </is>
      </c>
      <c r="F1184" t="inlineStr">
        <is>
          <t>Kommuner</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22456-2023</t>
        </is>
      </c>
      <c r="B1185" s="1" t="n">
        <v>45070</v>
      </c>
      <c r="C1185" s="1" t="n">
        <v>45758</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22378-2023</t>
        </is>
      </c>
      <c r="B1186" s="1" t="n">
        <v>45070</v>
      </c>
      <c r="C1186" s="1" t="n">
        <v>45758</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22406-2023</t>
        </is>
      </c>
      <c r="B1187" s="1" t="n">
        <v>45070</v>
      </c>
      <c r="C1187" s="1" t="n">
        <v>45758</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22553-2023</t>
        </is>
      </c>
      <c r="B1188" s="1" t="n">
        <v>45071</v>
      </c>
      <c r="C1188" s="1" t="n">
        <v>45758</v>
      </c>
      <c r="D1188" t="inlineStr">
        <is>
          <t>STOCKHOLMS LÄN</t>
        </is>
      </c>
      <c r="E1188" t="inlineStr">
        <is>
          <t>NORRTÄLJE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22962-2023</t>
        </is>
      </c>
      <c r="B1189" s="1" t="n">
        <v>45072</v>
      </c>
      <c r="C1189" s="1" t="n">
        <v>45758</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23056-2023</t>
        </is>
      </c>
      <c r="B1190" s="1" t="n">
        <v>45075</v>
      </c>
      <c r="C1190" s="1" t="n">
        <v>45758</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23060-2023</t>
        </is>
      </c>
      <c r="B1191" s="1" t="n">
        <v>45075</v>
      </c>
      <c r="C1191" s="1" t="n">
        <v>45758</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23070-2023</t>
        </is>
      </c>
      <c r="B1192" s="1" t="n">
        <v>45075</v>
      </c>
      <c r="C1192" s="1" t="n">
        <v>45758</v>
      </c>
      <c r="D1192" t="inlineStr">
        <is>
          <t>STOCKHOLMS LÄN</t>
        </is>
      </c>
      <c r="E1192" t="inlineStr">
        <is>
          <t>NORRTÄLJE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23130-2023</t>
        </is>
      </c>
      <c r="B1193" s="1" t="n">
        <v>45075</v>
      </c>
      <c r="C1193" s="1" t="n">
        <v>45758</v>
      </c>
      <c r="D1193" t="inlineStr">
        <is>
          <t>STOCKHOLMS LÄN</t>
        </is>
      </c>
      <c r="E1193" t="inlineStr">
        <is>
          <t>NORRTÄLJE</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23265-2023</t>
        </is>
      </c>
      <c r="B1194" s="1" t="n">
        <v>45075</v>
      </c>
      <c r="C1194" s="1" t="n">
        <v>45758</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23269-2023</t>
        </is>
      </c>
      <c r="B1195" s="1" t="n">
        <v>45075</v>
      </c>
      <c r="C1195" s="1" t="n">
        <v>45758</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23273-2023</t>
        </is>
      </c>
      <c r="B1196" s="1" t="n">
        <v>45076</v>
      </c>
      <c r="C1196" s="1" t="n">
        <v>45758</v>
      </c>
      <c r="D1196" t="inlineStr">
        <is>
          <t>STOCKHOLMS LÄN</t>
        </is>
      </c>
      <c r="E1196" t="inlineStr">
        <is>
          <t>NORRTÄLJE</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23134-2023</t>
        </is>
      </c>
      <c r="B1197" s="1" t="n">
        <v>45075</v>
      </c>
      <c r="C1197" s="1" t="n">
        <v>45758</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23263-2023</t>
        </is>
      </c>
      <c r="B1198" s="1" t="n">
        <v>45075</v>
      </c>
      <c r="C1198" s="1" t="n">
        <v>45758</v>
      </c>
      <c r="D1198" t="inlineStr">
        <is>
          <t>STOCKHOLMS LÄN</t>
        </is>
      </c>
      <c r="E1198" t="inlineStr">
        <is>
          <t>NORRTÄLJE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23267-2023</t>
        </is>
      </c>
      <c r="B1199" s="1" t="n">
        <v>45075</v>
      </c>
      <c r="C1199" s="1" t="n">
        <v>45758</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23271-2023</t>
        </is>
      </c>
      <c r="B1200" s="1" t="n">
        <v>45075</v>
      </c>
      <c r="C1200" s="1" t="n">
        <v>45758</v>
      </c>
      <c r="D1200" t="inlineStr">
        <is>
          <t>STOCKHOLMS LÄN</t>
        </is>
      </c>
      <c r="E1200" t="inlineStr">
        <is>
          <t>NORRTÄLJE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23264-2023</t>
        </is>
      </c>
      <c r="B1201" s="1" t="n">
        <v>45075</v>
      </c>
      <c r="C1201" s="1" t="n">
        <v>45758</v>
      </c>
      <c r="D1201" t="inlineStr">
        <is>
          <t>STOCKHOLMS LÄN</t>
        </is>
      </c>
      <c r="E1201" t="inlineStr">
        <is>
          <t>NORRTÄLJE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23268-2023</t>
        </is>
      </c>
      <c r="B1202" s="1" t="n">
        <v>45075</v>
      </c>
      <c r="C1202" s="1" t="n">
        <v>45758</v>
      </c>
      <c r="D1202" t="inlineStr">
        <is>
          <t>STOCKHOLMS LÄN</t>
        </is>
      </c>
      <c r="E1202" t="inlineStr">
        <is>
          <t>NORRTÄLJE</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23272-2023</t>
        </is>
      </c>
      <c r="B1203" s="1" t="n">
        <v>45075</v>
      </c>
      <c r="C1203" s="1" t="n">
        <v>45758</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23262-2023</t>
        </is>
      </c>
      <c r="B1204" s="1" t="n">
        <v>45075</v>
      </c>
      <c r="C1204" s="1" t="n">
        <v>45758</v>
      </c>
      <c r="D1204" t="inlineStr">
        <is>
          <t>STOCKHOLMS LÄN</t>
        </is>
      </c>
      <c r="E1204" t="inlineStr">
        <is>
          <t>NORRTÄLJE</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23266-2023</t>
        </is>
      </c>
      <c r="B1205" s="1" t="n">
        <v>45075</v>
      </c>
      <c r="C1205" s="1" t="n">
        <v>45758</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23270-2023</t>
        </is>
      </c>
      <c r="B1206" s="1" t="n">
        <v>45075</v>
      </c>
      <c r="C1206" s="1" t="n">
        <v>45758</v>
      </c>
      <c r="D1206" t="inlineStr">
        <is>
          <t>STOCKHOLMS LÄN</t>
        </is>
      </c>
      <c r="E1206" t="inlineStr">
        <is>
          <t>NORRTÄLJE</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23274-2023</t>
        </is>
      </c>
      <c r="B1207" s="1" t="n">
        <v>45076</v>
      </c>
      <c r="C1207" s="1" t="n">
        <v>45758</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23699-2023</t>
        </is>
      </c>
      <c r="B1208" s="1" t="n">
        <v>45077</v>
      </c>
      <c r="C1208" s="1" t="n">
        <v>45758</v>
      </c>
      <c r="D1208" t="inlineStr">
        <is>
          <t>STOCKHOLMS LÄN</t>
        </is>
      </c>
      <c r="E1208" t="inlineStr">
        <is>
          <t>NORRTÄLJE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24129-2023</t>
        </is>
      </c>
      <c r="B1209" s="1" t="n">
        <v>45079</v>
      </c>
      <c r="C1209" s="1" t="n">
        <v>45758</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24330-2023</t>
        </is>
      </c>
      <c r="B1210" s="1" t="n">
        <v>45081</v>
      </c>
      <c r="C1210" s="1" t="n">
        <v>45758</v>
      </c>
      <c r="D1210" t="inlineStr">
        <is>
          <t>STOCKHOLMS LÄN</t>
        </is>
      </c>
      <c r="E1210" t="inlineStr">
        <is>
          <t>NORRTÄLJE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24520-2023</t>
        </is>
      </c>
      <c r="B1211" s="1" t="n">
        <v>45082</v>
      </c>
      <c r="C1211" s="1" t="n">
        <v>45758</v>
      </c>
      <c r="D1211" t="inlineStr">
        <is>
          <t>STOCKHOLMS LÄN</t>
        </is>
      </c>
      <c r="E1211" t="inlineStr">
        <is>
          <t>NORRTÄLJE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24501-2023</t>
        </is>
      </c>
      <c r="B1212" s="1" t="n">
        <v>45082</v>
      </c>
      <c r="C1212" s="1" t="n">
        <v>45758</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24522-2023</t>
        </is>
      </c>
      <c r="B1213" s="1" t="n">
        <v>45082</v>
      </c>
      <c r="C1213" s="1" t="n">
        <v>45758</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24705-2023</t>
        </is>
      </c>
      <c r="B1214" s="1" t="n">
        <v>45084</v>
      </c>
      <c r="C1214" s="1" t="n">
        <v>45758</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24727-2023</t>
        </is>
      </c>
      <c r="B1215" s="1" t="n">
        <v>45084</v>
      </c>
      <c r="C1215" s="1" t="n">
        <v>45758</v>
      </c>
      <c r="D1215" t="inlineStr">
        <is>
          <t>STOCKHOLMS LÄN</t>
        </is>
      </c>
      <c r="E1215" t="inlineStr">
        <is>
          <t>NORRTÄLJE</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24788-2023</t>
        </is>
      </c>
      <c r="B1216" s="1" t="n">
        <v>45084</v>
      </c>
      <c r="C1216" s="1" t="n">
        <v>45758</v>
      </c>
      <c r="D1216" t="inlineStr">
        <is>
          <t>STOCKHOLMS LÄN</t>
        </is>
      </c>
      <c r="E1216" t="inlineStr">
        <is>
          <t>NORRTÄLJE</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24789-2023</t>
        </is>
      </c>
      <c r="B1217" s="1" t="n">
        <v>45084</v>
      </c>
      <c r="C1217" s="1" t="n">
        <v>45758</v>
      </c>
      <c r="D1217" t="inlineStr">
        <is>
          <t>STOCKHOLMS LÄN</t>
        </is>
      </c>
      <c r="E1217" t="inlineStr">
        <is>
          <t>NORRTÄLJE</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24887-2023</t>
        </is>
      </c>
      <c r="B1218" s="1" t="n">
        <v>45085</v>
      </c>
      <c r="C1218" s="1" t="n">
        <v>45758</v>
      </c>
      <c r="D1218" t="inlineStr">
        <is>
          <t>STOCKHOLMS LÄN</t>
        </is>
      </c>
      <c r="E1218" t="inlineStr">
        <is>
          <t>NORRTÄLJE</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24933-2023</t>
        </is>
      </c>
      <c r="B1219" s="1" t="n">
        <v>45085</v>
      </c>
      <c r="C1219" s="1" t="n">
        <v>45758</v>
      </c>
      <c r="D1219" t="inlineStr">
        <is>
          <t>STOCKHOLMS LÄN</t>
        </is>
      </c>
      <c r="E1219" t="inlineStr">
        <is>
          <t>NORRTÄLJE</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25174-2023</t>
        </is>
      </c>
      <c r="B1220" s="1" t="n">
        <v>45086</v>
      </c>
      <c r="C1220" s="1" t="n">
        <v>45758</v>
      </c>
      <c r="D1220" t="inlineStr">
        <is>
          <t>STOCKHOLMS LÄN</t>
        </is>
      </c>
      <c r="E1220" t="inlineStr">
        <is>
          <t>NORRTÄLJE</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25094-2023</t>
        </is>
      </c>
      <c r="B1221" s="1" t="n">
        <v>45086</v>
      </c>
      <c r="C1221" s="1" t="n">
        <v>45758</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25257-2023</t>
        </is>
      </c>
      <c r="B1222" s="1" t="n">
        <v>45086</v>
      </c>
      <c r="C1222" s="1" t="n">
        <v>45758</v>
      </c>
      <c r="D1222" t="inlineStr">
        <is>
          <t>STOCKHOLMS LÄN</t>
        </is>
      </c>
      <c r="E1222" t="inlineStr">
        <is>
          <t>NORRTÄLJE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25614-2023</t>
        </is>
      </c>
      <c r="B1223" s="1" t="n">
        <v>45089</v>
      </c>
      <c r="C1223" s="1" t="n">
        <v>45758</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25625-2023</t>
        </is>
      </c>
      <c r="B1224" s="1" t="n">
        <v>45089</v>
      </c>
      <c r="C1224" s="1" t="n">
        <v>45758</v>
      </c>
      <c r="D1224" t="inlineStr">
        <is>
          <t>STOCKHOLMS LÄN</t>
        </is>
      </c>
      <c r="E1224" t="inlineStr">
        <is>
          <t>NORRTÄLJE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25557-2023</t>
        </is>
      </c>
      <c r="B1225" s="1" t="n">
        <v>45089</v>
      </c>
      <c r="C1225" s="1" t="n">
        <v>45758</v>
      </c>
      <c r="D1225" t="inlineStr">
        <is>
          <t>STOCKHOLMS LÄN</t>
        </is>
      </c>
      <c r="E1225" t="inlineStr">
        <is>
          <t>NORRTÄLJE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25609-2023</t>
        </is>
      </c>
      <c r="B1226" s="1" t="n">
        <v>45089</v>
      </c>
      <c r="C1226" s="1" t="n">
        <v>45758</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25618-2023</t>
        </is>
      </c>
      <c r="B1227" s="1" t="n">
        <v>45089</v>
      </c>
      <c r="C1227" s="1" t="n">
        <v>45758</v>
      </c>
      <c r="D1227" t="inlineStr">
        <is>
          <t>STOCKHOLMS LÄN</t>
        </is>
      </c>
      <c r="E1227" t="inlineStr">
        <is>
          <t>NORRTÄLJE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25656-2023</t>
        </is>
      </c>
      <c r="B1228" s="1" t="n">
        <v>45089</v>
      </c>
      <c r="C1228" s="1" t="n">
        <v>45758</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25654-2023</t>
        </is>
      </c>
      <c r="B1229" s="1" t="n">
        <v>45089</v>
      </c>
      <c r="C1229" s="1" t="n">
        <v>45758</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25831-2023</t>
        </is>
      </c>
      <c r="B1230" s="1" t="n">
        <v>45090</v>
      </c>
      <c r="C1230" s="1" t="n">
        <v>45758</v>
      </c>
      <c r="D1230" t="inlineStr">
        <is>
          <t>STOCKHOLMS LÄN</t>
        </is>
      </c>
      <c r="E1230" t="inlineStr">
        <is>
          <t>NORRTÄLJE</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25915-2023</t>
        </is>
      </c>
      <c r="B1231" s="1" t="n">
        <v>45090</v>
      </c>
      <c r="C1231" s="1" t="n">
        <v>45758</v>
      </c>
      <c r="D1231" t="inlineStr">
        <is>
          <t>STOCKHOLMS LÄN</t>
        </is>
      </c>
      <c r="E1231" t="inlineStr">
        <is>
          <t>NORRTÄLJE</t>
        </is>
      </c>
      <c r="F1231" t="inlineStr">
        <is>
          <t>Naturvårdsverket</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26065-2023</t>
        </is>
      </c>
      <c r="B1232" s="1" t="n">
        <v>45091</v>
      </c>
      <c r="C1232" s="1" t="n">
        <v>45758</v>
      </c>
      <c r="D1232" t="inlineStr">
        <is>
          <t>STOCKHOLMS LÄN</t>
        </is>
      </c>
      <c r="E1232" t="inlineStr">
        <is>
          <t>NORRTÄLJE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26315-2023</t>
        </is>
      </c>
      <c r="B1233" s="1" t="n">
        <v>45091</v>
      </c>
      <c r="C1233" s="1" t="n">
        <v>45758</v>
      </c>
      <c r="D1233" t="inlineStr">
        <is>
          <t>STOCKHOLMS LÄN</t>
        </is>
      </c>
      <c r="E1233" t="inlineStr">
        <is>
          <t>NORRTÄLJE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26570-2023</t>
        </is>
      </c>
      <c r="B1234" s="1" t="n">
        <v>45092</v>
      </c>
      <c r="C1234" s="1" t="n">
        <v>45758</v>
      </c>
      <c r="D1234" t="inlineStr">
        <is>
          <t>STOCKHOLMS LÄN</t>
        </is>
      </c>
      <c r="E1234" t="inlineStr">
        <is>
          <t>NORRTÄLJE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26636-2023</t>
        </is>
      </c>
      <c r="B1235" s="1" t="n">
        <v>45092</v>
      </c>
      <c r="C1235" s="1" t="n">
        <v>45758</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26640-2023</t>
        </is>
      </c>
      <c r="B1236" s="1" t="n">
        <v>45092</v>
      </c>
      <c r="C1236" s="1" t="n">
        <v>45758</v>
      </c>
      <c r="D1236" t="inlineStr">
        <is>
          <t>STOCKHOLMS LÄN</t>
        </is>
      </c>
      <c r="E1236" t="inlineStr">
        <is>
          <t>NORRTÄLJE</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26637-2023</t>
        </is>
      </c>
      <c r="B1237" s="1" t="n">
        <v>45092</v>
      </c>
      <c r="C1237" s="1" t="n">
        <v>45758</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26639-2023</t>
        </is>
      </c>
      <c r="B1238" s="1" t="n">
        <v>45092</v>
      </c>
      <c r="C1238" s="1" t="n">
        <v>45758</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27651-2023</t>
        </is>
      </c>
      <c r="B1239" s="1" t="n">
        <v>45097</v>
      </c>
      <c r="C1239" s="1" t="n">
        <v>45758</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28281-2023</t>
        </is>
      </c>
      <c r="B1240" s="1" t="n">
        <v>45099</v>
      </c>
      <c r="C1240" s="1" t="n">
        <v>45758</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28820-2023</t>
        </is>
      </c>
      <c r="B1241" s="1" t="n">
        <v>45104</v>
      </c>
      <c r="C1241" s="1" t="n">
        <v>45758</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28813-2023</t>
        </is>
      </c>
      <c r="B1242" s="1" t="n">
        <v>45104</v>
      </c>
      <c r="C1242" s="1" t="n">
        <v>45758</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29003-2023</t>
        </is>
      </c>
      <c r="B1243" s="1" t="n">
        <v>45104</v>
      </c>
      <c r="C1243" s="1" t="n">
        <v>45758</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28816-2023</t>
        </is>
      </c>
      <c r="B1244" s="1" t="n">
        <v>45104</v>
      </c>
      <c r="C1244" s="1" t="n">
        <v>45758</v>
      </c>
      <c r="D1244" t="inlineStr">
        <is>
          <t>STOCKHOLMS LÄN</t>
        </is>
      </c>
      <c r="E1244" t="inlineStr">
        <is>
          <t>NORRTÄLJE</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28809-2023</t>
        </is>
      </c>
      <c r="B1245" s="1" t="n">
        <v>45104</v>
      </c>
      <c r="C1245" s="1" t="n">
        <v>45758</v>
      </c>
      <c r="D1245" t="inlineStr">
        <is>
          <t>STOCKHOLMS LÄN</t>
        </is>
      </c>
      <c r="E1245" t="inlineStr">
        <is>
          <t>NORRTÄLJE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29254-2023</t>
        </is>
      </c>
      <c r="B1246" s="1" t="n">
        <v>45105</v>
      </c>
      <c r="C1246" s="1" t="n">
        <v>45758</v>
      </c>
      <c r="D1246" t="inlineStr">
        <is>
          <t>STOCKHOLMS LÄN</t>
        </is>
      </c>
      <c r="E1246" t="inlineStr">
        <is>
          <t>NORRTÄLJE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29433-2023</t>
        </is>
      </c>
      <c r="B1247" s="1" t="n">
        <v>45106</v>
      </c>
      <c r="C1247" s="1" t="n">
        <v>45758</v>
      </c>
      <c r="D1247" t="inlineStr">
        <is>
          <t>STOCKHOLMS LÄN</t>
        </is>
      </c>
      <c r="E1247" t="inlineStr">
        <is>
          <t>NORRTÄLJE</t>
        </is>
      </c>
      <c r="F1247" t="inlineStr">
        <is>
          <t>Övriga Aktiebolag</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29681-2023</t>
        </is>
      </c>
      <c r="B1248" s="1" t="n">
        <v>45107</v>
      </c>
      <c r="C1248" s="1" t="n">
        <v>45758</v>
      </c>
      <c r="D1248" t="inlineStr">
        <is>
          <t>STOCKHOLMS LÄN</t>
        </is>
      </c>
      <c r="E1248" t="inlineStr">
        <is>
          <t>NORRTÄLJE</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29710-2023</t>
        </is>
      </c>
      <c r="B1249" s="1" t="n">
        <v>45107</v>
      </c>
      <c r="C1249" s="1" t="n">
        <v>45758</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29714-2023</t>
        </is>
      </c>
      <c r="B1250" s="1" t="n">
        <v>45107</v>
      </c>
      <c r="C1250" s="1" t="n">
        <v>45758</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30116-2023</t>
        </is>
      </c>
      <c r="B1251" s="1" t="n">
        <v>45110</v>
      </c>
      <c r="C1251" s="1" t="n">
        <v>45758</v>
      </c>
      <c r="D1251" t="inlineStr">
        <is>
          <t>STOCKHOLMS LÄN</t>
        </is>
      </c>
      <c r="E1251" t="inlineStr">
        <is>
          <t>NORRTÄLJE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30281-2023</t>
        </is>
      </c>
      <c r="B1252" s="1" t="n">
        <v>45110</v>
      </c>
      <c r="C1252" s="1" t="n">
        <v>45758</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30508-2023</t>
        </is>
      </c>
      <c r="B1253" s="1" t="n">
        <v>45111</v>
      </c>
      <c r="C1253" s="1" t="n">
        <v>45758</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30496-2023</t>
        </is>
      </c>
      <c r="B1254" s="1" t="n">
        <v>45111</v>
      </c>
      <c r="C1254" s="1" t="n">
        <v>45758</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30516-2023</t>
        </is>
      </c>
      <c r="B1255" s="1" t="n">
        <v>45111</v>
      </c>
      <c r="C1255" s="1" t="n">
        <v>45758</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30525-2023</t>
        </is>
      </c>
      <c r="B1256" s="1" t="n">
        <v>45111</v>
      </c>
      <c r="C1256" s="1" t="n">
        <v>45758</v>
      </c>
      <c r="D1256" t="inlineStr">
        <is>
          <t>STOCKHOLMS LÄN</t>
        </is>
      </c>
      <c r="E1256" t="inlineStr">
        <is>
          <t>NORRTÄLJE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30424-2023</t>
        </is>
      </c>
      <c r="B1257" s="1" t="n">
        <v>45111</v>
      </c>
      <c r="C1257" s="1" t="n">
        <v>45758</v>
      </c>
      <c r="D1257" t="inlineStr">
        <is>
          <t>STOCKHOLMS LÄN</t>
        </is>
      </c>
      <c r="E1257" t="inlineStr">
        <is>
          <t>NORRTÄLJE</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30425-2023</t>
        </is>
      </c>
      <c r="B1258" s="1" t="n">
        <v>45111</v>
      </c>
      <c r="C1258" s="1" t="n">
        <v>45758</v>
      </c>
      <c r="D1258" t="inlineStr">
        <is>
          <t>STOCKHOLMS LÄN</t>
        </is>
      </c>
      <c r="E1258" t="inlineStr">
        <is>
          <t>NORRTÄLJE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30731-2023</t>
        </is>
      </c>
      <c r="B1259" s="1" t="n">
        <v>45112</v>
      </c>
      <c r="C1259" s="1" t="n">
        <v>45758</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30663-2023</t>
        </is>
      </c>
      <c r="B1260" s="1" t="n">
        <v>45112</v>
      </c>
      <c r="C1260" s="1" t="n">
        <v>45758</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30780-2023</t>
        </is>
      </c>
      <c r="B1261" s="1" t="n">
        <v>45112</v>
      </c>
      <c r="C1261" s="1" t="n">
        <v>45758</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30773-2023</t>
        </is>
      </c>
      <c r="B1262" s="1" t="n">
        <v>45112</v>
      </c>
      <c r="C1262" s="1" t="n">
        <v>45758</v>
      </c>
      <c r="D1262" t="inlineStr">
        <is>
          <t>STOCKHOLMS LÄN</t>
        </is>
      </c>
      <c r="E1262" t="inlineStr">
        <is>
          <t>NORRTÄLJE</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30924-2023</t>
        </is>
      </c>
      <c r="B1263" s="1" t="n">
        <v>45113</v>
      </c>
      <c r="C1263" s="1" t="n">
        <v>45758</v>
      </c>
      <c r="D1263" t="inlineStr">
        <is>
          <t>STOCKHOLMS LÄN</t>
        </is>
      </c>
      <c r="E1263" t="inlineStr">
        <is>
          <t>NORRTÄLJE</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30923-2023</t>
        </is>
      </c>
      <c r="B1264" s="1" t="n">
        <v>45113</v>
      </c>
      <c r="C1264" s="1" t="n">
        <v>45758</v>
      </c>
      <c r="D1264" t="inlineStr">
        <is>
          <t>STOCKHOLMS LÄN</t>
        </is>
      </c>
      <c r="E1264" t="inlineStr">
        <is>
          <t>NORRTÄLJE</t>
        </is>
      </c>
      <c r="F1264" t="inlineStr">
        <is>
          <t>Sveaskog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31140-2023</t>
        </is>
      </c>
      <c r="B1265" s="1" t="n">
        <v>45113</v>
      </c>
      <c r="C1265" s="1" t="n">
        <v>45758</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30921-2023</t>
        </is>
      </c>
      <c r="B1266" s="1" t="n">
        <v>45113</v>
      </c>
      <c r="C1266" s="1" t="n">
        <v>45758</v>
      </c>
      <c r="D1266" t="inlineStr">
        <is>
          <t>STOCKHOLMS LÄN</t>
        </is>
      </c>
      <c r="E1266" t="inlineStr">
        <is>
          <t>NORRTÄLJE</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31149-2023</t>
        </is>
      </c>
      <c r="B1267" s="1" t="n">
        <v>45113</v>
      </c>
      <c r="C1267" s="1" t="n">
        <v>45758</v>
      </c>
      <c r="D1267" t="inlineStr">
        <is>
          <t>STOCKHOLMS LÄN</t>
        </is>
      </c>
      <c r="E1267" t="inlineStr">
        <is>
          <t>NORRTÄLJE</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31153-2023</t>
        </is>
      </c>
      <c r="B1268" s="1" t="n">
        <v>45113</v>
      </c>
      <c r="C1268" s="1" t="n">
        <v>45758</v>
      </c>
      <c r="D1268" t="inlineStr">
        <is>
          <t>STOCKHOLMS LÄN</t>
        </is>
      </c>
      <c r="E1268" t="inlineStr">
        <is>
          <t>NORRTÄLJE</t>
        </is>
      </c>
      <c r="G1268" t="n">
        <v>17.5</v>
      </c>
      <c r="H1268" t="n">
        <v>0</v>
      </c>
      <c r="I1268" t="n">
        <v>0</v>
      </c>
      <c r="J1268" t="n">
        <v>0</v>
      </c>
      <c r="K1268" t="n">
        <v>0</v>
      </c>
      <c r="L1268" t="n">
        <v>0</v>
      </c>
      <c r="M1268" t="n">
        <v>0</v>
      </c>
      <c r="N1268" t="n">
        <v>0</v>
      </c>
      <c r="O1268" t="n">
        <v>0</v>
      </c>
      <c r="P1268" t="n">
        <v>0</v>
      </c>
      <c r="Q1268" t="n">
        <v>0</v>
      </c>
      <c r="R1268" s="2" t="inlineStr"/>
    </row>
    <row r="1269" ht="15" customHeight="1">
      <c r="A1269" t="inlineStr">
        <is>
          <t>A 31827-2023</t>
        </is>
      </c>
      <c r="B1269" s="1" t="n">
        <v>45118</v>
      </c>
      <c r="C1269" s="1" t="n">
        <v>45758</v>
      </c>
      <c r="D1269" t="inlineStr">
        <is>
          <t>STOCKHOLMS LÄN</t>
        </is>
      </c>
      <c r="E1269" t="inlineStr">
        <is>
          <t>NORRTÄLJE</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31832-2023</t>
        </is>
      </c>
      <c r="B1270" s="1" t="n">
        <v>45118</v>
      </c>
      <c r="C1270" s="1" t="n">
        <v>45758</v>
      </c>
      <c r="D1270" t="inlineStr">
        <is>
          <t>STOCKHOLMS LÄN</t>
        </is>
      </c>
      <c r="E1270" t="inlineStr">
        <is>
          <t>NORRTÄLJE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32071-2023</t>
        </is>
      </c>
      <c r="B1271" s="1" t="n">
        <v>45119</v>
      </c>
      <c r="C1271" s="1" t="n">
        <v>45758</v>
      </c>
      <c r="D1271" t="inlineStr">
        <is>
          <t>STOCKHOLMS LÄN</t>
        </is>
      </c>
      <c r="E1271" t="inlineStr">
        <is>
          <t>NORRTÄLJE</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32621-2023</t>
        </is>
      </c>
      <c r="B1272" s="1" t="n">
        <v>45121</v>
      </c>
      <c r="C1272" s="1" t="n">
        <v>45758</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45758</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32948-2023</t>
        </is>
      </c>
      <c r="B1274" s="1" t="n">
        <v>45125</v>
      </c>
      <c r="C1274" s="1" t="n">
        <v>45758</v>
      </c>
      <c r="D1274" t="inlineStr">
        <is>
          <t>STOCKHOLMS LÄN</t>
        </is>
      </c>
      <c r="E1274" t="inlineStr">
        <is>
          <t>NORRTÄLJE</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33025-2023</t>
        </is>
      </c>
      <c r="B1275" s="1" t="n">
        <v>45125</v>
      </c>
      <c r="C1275" s="1" t="n">
        <v>45758</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33130-2023</t>
        </is>
      </c>
      <c r="B1276" s="1" t="n">
        <v>45126</v>
      </c>
      <c r="C1276" s="1" t="n">
        <v>45758</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33295-2023</t>
        </is>
      </c>
      <c r="B1277" s="1" t="n">
        <v>45127</v>
      </c>
      <c r="C1277" s="1" t="n">
        <v>45758</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33270-2023</t>
        </is>
      </c>
      <c r="B1278" s="1" t="n">
        <v>45127</v>
      </c>
      <c r="C1278" s="1" t="n">
        <v>45758</v>
      </c>
      <c r="D1278" t="inlineStr">
        <is>
          <t>STOCKHOLMS LÄN</t>
        </is>
      </c>
      <c r="E1278" t="inlineStr">
        <is>
          <t>NORRTÄLJE</t>
        </is>
      </c>
      <c r="F1278" t="inlineStr">
        <is>
          <t>Holmen skog AB</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33226-2023</t>
        </is>
      </c>
      <c r="B1279" s="1" t="n">
        <v>45127</v>
      </c>
      <c r="C1279" s="1" t="n">
        <v>45758</v>
      </c>
      <c r="D1279" t="inlineStr">
        <is>
          <t>STOCKHOLMS LÄN</t>
        </is>
      </c>
      <c r="E1279" t="inlineStr">
        <is>
          <t>NORRTÄLJE</t>
        </is>
      </c>
      <c r="F1279" t="inlineStr">
        <is>
          <t>Holmen skog AB</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33243-2023</t>
        </is>
      </c>
      <c r="B1280" s="1" t="n">
        <v>45127</v>
      </c>
      <c r="C1280" s="1" t="n">
        <v>45758</v>
      </c>
      <c r="D1280" t="inlineStr">
        <is>
          <t>STOCKHOLMS LÄN</t>
        </is>
      </c>
      <c r="E1280" t="inlineStr">
        <is>
          <t>NORRTÄLJE</t>
        </is>
      </c>
      <c r="F1280" t="inlineStr">
        <is>
          <t>Holmen skog AB</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33291-2023</t>
        </is>
      </c>
      <c r="B1281" s="1" t="n">
        <v>45127</v>
      </c>
      <c r="C1281" s="1" t="n">
        <v>45758</v>
      </c>
      <c r="D1281" t="inlineStr">
        <is>
          <t>STOCKHOLMS LÄN</t>
        </is>
      </c>
      <c r="E1281" t="inlineStr">
        <is>
          <t>NORRTÄLJE</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33353-2023</t>
        </is>
      </c>
      <c r="B1282" s="1" t="n">
        <v>45128</v>
      </c>
      <c r="C1282" s="1" t="n">
        <v>45758</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33569-2023</t>
        </is>
      </c>
      <c r="B1283" s="1" t="n">
        <v>45131</v>
      </c>
      <c r="C1283" s="1" t="n">
        <v>45758</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33646-2023</t>
        </is>
      </c>
      <c r="B1284" s="1" t="n">
        <v>45132</v>
      </c>
      <c r="C1284" s="1" t="n">
        <v>45758</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33641-2023</t>
        </is>
      </c>
      <c r="B1285" s="1" t="n">
        <v>45132</v>
      </c>
      <c r="C1285" s="1" t="n">
        <v>45758</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34085-2023</t>
        </is>
      </c>
      <c r="B1286" s="1" t="n">
        <v>45135</v>
      </c>
      <c r="C1286" s="1" t="n">
        <v>45758</v>
      </c>
      <c r="D1286" t="inlineStr">
        <is>
          <t>STOCKHOLMS LÄN</t>
        </is>
      </c>
      <c r="E1286" t="inlineStr">
        <is>
          <t>NORRTÄLJE</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34084-2023</t>
        </is>
      </c>
      <c r="B1287" s="1" t="n">
        <v>45135</v>
      </c>
      <c r="C1287" s="1" t="n">
        <v>45758</v>
      </c>
      <c r="D1287" t="inlineStr">
        <is>
          <t>STOCKHOLMS LÄN</t>
        </is>
      </c>
      <c r="E1287" t="inlineStr">
        <is>
          <t>NORRTÄLJE</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34132-2023</t>
        </is>
      </c>
      <c r="B1288" s="1" t="n">
        <v>45135</v>
      </c>
      <c r="C1288" s="1" t="n">
        <v>45758</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34391-2023</t>
        </is>
      </c>
      <c r="B1289" s="1" t="n">
        <v>45139</v>
      </c>
      <c r="C1289" s="1" t="n">
        <v>45758</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34461-2023</t>
        </is>
      </c>
      <c r="B1290" s="1" t="n">
        <v>45139</v>
      </c>
      <c r="C1290" s="1" t="n">
        <v>45758</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34462-2023</t>
        </is>
      </c>
      <c r="B1291" s="1" t="n">
        <v>45139</v>
      </c>
      <c r="C1291" s="1" t="n">
        <v>45758</v>
      </c>
      <c r="D1291" t="inlineStr">
        <is>
          <t>STOCKHOLMS LÄN</t>
        </is>
      </c>
      <c r="E1291" t="inlineStr">
        <is>
          <t>NORRTÄLJE</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34825-2023</t>
        </is>
      </c>
      <c r="B1292" s="1" t="n">
        <v>45141</v>
      </c>
      <c r="C1292" s="1" t="n">
        <v>45758</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35215-2023</t>
        </is>
      </c>
      <c r="B1293" s="1" t="n">
        <v>45145</v>
      </c>
      <c r="C1293" s="1" t="n">
        <v>45758</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35219-2023</t>
        </is>
      </c>
      <c r="B1294" s="1" t="n">
        <v>45145</v>
      </c>
      <c r="C1294" s="1" t="n">
        <v>45758</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35127-2023</t>
        </is>
      </c>
      <c r="B1295" s="1" t="n">
        <v>45145</v>
      </c>
      <c r="C1295" s="1" t="n">
        <v>45758</v>
      </c>
      <c r="D1295" t="inlineStr">
        <is>
          <t>STOCKHOLMS LÄN</t>
        </is>
      </c>
      <c r="E1295" t="inlineStr">
        <is>
          <t>NORRTÄLJE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35131-2023</t>
        </is>
      </c>
      <c r="B1296" s="1" t="n">
        <v>45145</v>
      </c>
      <c r="C1296" s="1" t="n">
        <v>45758</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35128-2023</t>
        </is>
      </c>
      <c r="B1297" s="1" t="n">
        <v>45145</v>
      </c>
      <c r="C1297" s="1" t="n">
        <v>45758</v>
      </c>
      <c r="D1297" t="inlineStr">
        <is>
          <t>STOCKHOLMS LÄN</t>
        </is>
      </c>
      <c r="E1297" t="inlineStr">
        <is>
          <t>NORRTÄLJE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35210-2023</t>
        </is>
      </c>
      <c r="B1298" s="1" t="n">
        <v>45145</v>
      </c>
      <c r="C1298" s="1" t="n">
        <v>45758</v>
      </c>
      <c r="D1298" t="inlineStr">
        <is>
          <t>STOCKHOLMS LÄN</t>
        </is>
      </c>
      <c r="E1298" t="inlineStr">
        <is>
          <t>NORRTÄLJE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35438-2023</t>
        </is>
      </c>
      <c r="B1299" s="1" t="n">
        <v>45146</v>
      </c>
      <c r="C1299" s="1" t="n">
        <v>45758</v>
      </c>
      <c r="D1299" t="inlineStr">
        <is>
          <t>STOCKHOLMS LÄN</t>
        </is>
      </c>
      <c r="E1299" t="inlineStr">
        <is>
          <t>NORRTÄLJE</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35698-2023</t>
        </is>
      </c>
      <c r="B1300" s="1" t="n">
        <v>45147</v>
      </c>
      <c r="C1300" s="1" t="n">
        <v>45758</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35702-2023</t>
        </is>
      </c>
      <c r="B1301" s="1" t="n">
        <v>45147</v>
      </c>
      <c r="C1301" s="1" t="n">
        <v>45758</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35691-2023</t>
        </is>
      </c>
      <c r="B1302" s="1" t="n">
        <v>45147</v>
      </c>
      <c r="C1302" s="1" t="n">
        <v>45758</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35695-2023</t>
        </is>
      </c>
      <c r="B1303" s="1" t="n">
        <v>45147</v>
      </c>
      <c r="C1303" s="1" t="n">
        <v>45758</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35696-2023</t>
        </is>
      </c>
      <c r="B1304" s="1" t="n">
        <v>45147</v>
      </c>
      <c r="C1304" s="1" t="n">
        <v>45758</v>
      </c>
      <c r="D1304" t="inlineStr">
        <is>
          <t>STOCKHOLMS LÄN</t>
        </is>
      </c>
      <c r="E1304" t="inlineStr">
        <is>
          <t>NORRTÄLJE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35700-2023</t>
        </is>
      </c>
      <c r="B1305" s="1" t="n">
        <v>45147</v>
      </c>
      <c r="C1305" s="1" t="n">
        <v>45758</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35704-2023</t>
        </is>
      </c>
      <c r="B1306" s="1" t="n">
        <v>45147</v>
      </c>
      <c r="C1306" s="1" t="n">
        <v>45758</v>
      </c>
      <c r="D1306" t="inlineStr">
        <is>
          <t>STOCKHOLMS LÄN</t>
        </is>
      </c>
      <c r="E1306" t="inlineStr">
        <is>
          <t>NORRTÄLJE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35693-2023</t>
        </is>
      </c>
      <c r="B1307" s="1" t="n">
        <v>45147</v>
      </c>
      <c r="C1307" s="1" t="n">
        <v>45758</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35701-2023</t>
        </is>
      </c>
      <c r="B1308" s="1" t="n">
        <v>45147</v>
      </c>
      <c r="C1308" s="1" t="n">
        <v>45758</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35823-2023</t>
        </is>
      </c>
      <c r="B1309" s="1" t="n">
        <v>45148</v>
      </c>
      <c r="C1309" s="1" t="n">
        <v>45758</v>
      </c>
      <c r="D1309" t="inlineStr">
        <is>
          <t>STOCKHOLMS LÄN</t>
        </is>
      </c>
      <c r="E1309" t="inlineStr">
        <is>
          <t>NORRTÄLJE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36253-2023</t>
        </is>
      </c>
      <c r="B1310" s="1" t="n">
        <v>45151</v>
      </c>
      <c r="C1310" s="1" t="n">
        <v>45758</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36257-2023</t>
        </is>
      </c>
      <c r="B1311" s="1" t="n">
        <v>45151</v>
      </c>
      <c r="C1311" s="1" t="n">
        <v>45758</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36259-2023</t>
        </is>
      </c>
      <c r="B1312" s="1" t="n">
        <v>45151</v>
      </c>
      <c r="C1312" s="1" t="n">
        <v>45758</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36254-2023</t>
        </is>
      </c>
      <c r="B1313" s="1" t="n">
        <v>45151</v>
      </c>
      <c r="C1313" s="1" t="n">
        <v>45758</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36258-2023</t>
        </is>
      </c>
      <c r="B1314" s="1" t="n">
        <v>45151</v>
      </c>
      <c r="C1314" s="1" t="n">
        <v>45758</v>
      </c>
      <c r="D1314" t="inlineStr">
        <is>
          <t>STOCKHOLMS LÄN</t>
        </is>
      </c>
      <c r="E1314" t="inlineStr">
        <is>
          <t>NORRTÄLJE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36689-2023</t>
        </is>
      </c>
      <c r="B1315" s="1" t="n">
        <v>45152</v>
      </c>
      <c r="C1315" s="1" t="n">
        <v>45758</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36865-2023</t>
        </is>
      </c>
      <c r="B1316" s="1" t="n">
        <v>45154</v>
      </c>
      <c r="C1316" s="1" t="n">
        <v>45758</v>
      </c>
      <c r="D1316" t="inlineStr">
        <is>
          <t>STOCKHOLMS LÄN</t>
        </is>
      </c>
      <c r="E1316" t="inlineStr">
        <is>
          <t>NORRTÄLJE</t>
        </is>
      </c>
      <c r="F1316" t="inlineStr">
        <is>
          <t>Kyrkan</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37139-2023</t>
        </is>
      </c>
      <c r="B1317" s="1" t="n">
        <v>45155</v>
      </c>
      <c r="C1317" s="1" t="n">
        <v>45758</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37136-2023</t>
        </is>
      </c>
      <c r="B1318" s="1" t="n">
        <v>45155</v>
      </c>
      <c r="C1318" s="1" t="n">
        <v>45758</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37147-2023</t>
        </is>
      </c>
      <c r="B1319" s="1" t="n">
        <v>45155</v>
      </c>
      <c r="C1319" s="1" t="n">
        <v>45758</v>
      </c>
      <c r="D1319" t="inlineStr">
        <is>
          <t>STOCKHOLMS LÄN</t>
        </is>
      </c>
      <c r="E1319" t="inlineStr">
        <is>
          <t>NORRTÄLJE</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37670-2023</t>
        </is>
      </c>
      <c r="B1320" s="1" t="n">
        <v>45159</v>
      </c>
      <c r="C1320" s="1" t="n">
        <v>45758</v>
      </c>
      <c r="D1320" t="inlineStr">
        <is>
          <t>STOCKHOLMS LÄN</t>
        </is>
      </c>
      <c r="E1320" t="inlineStr">
        <is>
          <t>NORRTÄLJE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38049-2023</t>
        </is>
      </c>
      <c r="B1321" s="1" t="n">
        <v>45159</v>
      </c>
      <c r="C1321" s="1" t="n">
        <v>45758</v>
      </c>
      <c r="D1321" t="inlineStr">
        <is>
          <t>STOCKHOLMS LÄN</t>
        </is>
      </c>
      <c r="E1321" t="inlineStr">
        <is>
          <t>NORRTÄLJE</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38022-2023</t>
        </is>
      </c>
      <c r="B1322" s="1" t="n">
        <v>45160</v>
      </c>
      <c r="C1322" s="1" t="n">
        <v>45758</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38482-2023</t>
        </is>
      </c>
      <c r="B1323" s="1" t="n">
        <v>45162</v>
      </c>
      <c r="C1323" s="1" t="n">
        <v>45758</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38487-2023</t>
        </is>
      </c>
      <c r="B1324" s="1" t="n">
        <v>45162</v>
      </c>
      <c r="C1324" s="1" t="n">
        <v>45758</v>
      </c>
      <c r="D1324" t="inlineStr">
        <is>
          <t>STOCKHOLMS LÄN</t>
        </is>
      </c>
      <c r="E1324" t="inlineStr">
        <is>
          <t>NORRTÄLJE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38591-2023</t>
        </is>
      </c>
      <c r="B1325" s="1" t="n">
        <v>45162</v>
      </c>
      <c r="C1325" s="1" t="n">
        <v>45758</v>
      </c>
      <c r="D1325" t="inlineStr">
        <is>
          <t>STOCKHOLMS LÄN</t>
        </is>
      </c>
      <c r="E1325" t="inlineStr">
        <is>
          <t>NORRTÄLJE</t>
        </is>
      </c>
      <c r="F1325" t="inlineStr">
        <is>
          <t>Övriga Aktiebolag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39229-2023</t>
        </is>
      </c>
      <c r="B1326" s="1" t="n">
        <v>45166</v>
      </c>
      <c r="C1326" s="1" t="n">
        <v>45758</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39255-2023</t>
        </is>
      </c>
      <c r="B1327" s="1" t="n">
        <v>45166</v>
      </c>
      <c r="C1327" s="1" t="n">
        <v>45758</v>
      </c>
      <c r="D1327" t="inlineStr">
        <is>
          <t>STOCKHOLMS LÄN</t>
        </is>
      </c>
      <c r="E1327" t="inlineStr">
        <is>
          <t>NORRTÄLJE</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39879-2023</t>
        </is>
      </c>
      <c r="B1328" s="1" t="n">
        <v>45168</v>
      </c>
      <c r="C1328" s="1" t="n">
        <v>45758</v>
      </c>
      <c r="D1328" t="inlineStr">
        <is>
          <t>STOCKHOLMS LÄN</t>
        </is>
      </c>
      <c r="E1328" t="inlineStr">
        <is>
          <t>NORRTÄLJE</t>
        </is>
      </c>
      <c r="F1328" t="inlineStr">
        <is>
          <t>Holmen skog AB</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39905-2023</t>
        </is>
      </c>
      <c r="B1329" s="1" t="n">
        <v>45168</v>
      </c>
      <c r="C1329" s="1" t="n">
        <v>45758</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40139-2023</t>
        </is>
      </c>
      <c r="B1330" s="1" t="n">
        <v>45169</v>
      </c>
      <c r="C1330" s="1" t="n">
        <v>45758</v>
      </c>
      <c r="D1330" t="inlineStr">
        <is>
          <t>STOCKHOLMS LÄN</t>
        </is>
      </c>
      <c r="E1330" t="inlineStr">
        <is>
          <t>NORRTÄLJE</t>
        </is>
      </c>
      <c r="F1330" t="inlineStr">
        <is>
          <t>Kyrkan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40192-2023</t>
        </is>
      </c>
      <c r="B1331" s="1" t="n">
        <v>45169</v>
      </c>
      <c r="C1331" s="1" t="n">
        <v>45758</v>
      </c>
      <c r="D1331" t="inlineStr">
        <is>
          <t>STOCKHOLMS LÄN</t>
        </is>
      </c>
      <c r="E1331" t="inlineStr">
        <is>
          <t>NORRTÄLJE</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40161-2023</t>
        </is>
      </c>
      <c r="B1332" s="1" t="n">
        <v>45169</v>
      </c>
      <c r="C1332" s="1" t="n">
        <v>45758</v>
      </c>
      <c r="D1332" t="inlineStr">
        <is>
          <t>STOCKHOLMS LÄN</t>
        </is>
      </c>
      <c r="E1332" t="inlineStr">
        <is>
          <t>NORRTÄLJE</t>
        </is>
      </c>
      <c r="F1332" t="inlineStr">
        <is>
          <t>Kyrkan</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40190-2023</t>
        </is>
      </c>
      <c r="B1333" s="1" t="n">
        <v>45169</v>
      </c>
      <c r="C1333" s="1" t="n">
        <v>45758</v>
      </c>
      <c r="D1333" t="inlineStr">
        <is>
          <t>STOCKHOLMS LÄN</t>
        </is>
      </c>
      <c r="E1333" t="inlineStr">
        <is>
          <t>NORRTÄLJE</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40379-2023</t>
        </is>
      </c>
      <c r="B1334" s="1" t="n">
        <v>45169</v>
      </c>
      <c r="C1334" s="1" t="n">
        <v>45758</v>
      </c>
      <c r="D1334" t="inlineStr">
        <is>
          <t>STOCKHOLMS LÄN</t>
        </is>
      </c>
      <c r="E1334" t="inlineStr">
        <is>
          <t>NORRTÄLJE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41172-2023</t>
        </is>
      </c>
      <c r="B1335" s="1" t="n">
        <v>45170</v>
      </c>
      <c r="C1335" s="1" t="n">
        <v>45758</v>
      </c>
      <c r="D1335" t="inlineStr">
        <is>
          <t>STOCKHOLMS LÄN</t>
        </is>
      </c>
      <c r="E1335" t="inlineStr">
        <is>
          <t>NORRTÄLJE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40995-2023</t>
        </is>
      </c>
      <c r="B1336" s="1" t="n">
        <v>45173</v>
      </c>
      <c r="C1336" s="1" t="n">
        <v>45758</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41335-2023</t>
        </is>
      </c>
      <c r="B1337" s="1" t="n">
        <v>45174</v>
      </c>
      <c r="C1337" s="1" t="n">
        <v>45758</v>
      </c>
      <c r="D1337" t="inlineStr">
        <is>
          <t>STOCKHOLMS LÄN</t>
        </is>
      </c>
      <c r="E1337" t="inlineStr">
        <is>
          <t>NORRTÄLJE</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41587-2023</t>
        </is>
      </c>
      <c r="B1338" s="1" t="n">
        <v>45175</v>
      </c>
      <c r="C1338" s="1" t="n">
        <v>45758</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41716-2023</t>
        </is>
      </c>
      <c r="B1339" s="1" t="n">
        <v>45176</v>
      </c>
      <c r="C1339" s="1" t="n">
        <v>45758</v>
      </c>
      <c r="D1339" t="inlineStr">
        <is>
          <t>STOCKHOLMS LÄN</t>
        </is>
      </c>
      <c r="E1339" t="inlineStr">
        <is>
          <t>NORRTÄLJE</t>
        </is>
      </c>
      <c r="F1339" t="inlineStr">
        <is>
          <t>Kyrkan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41715-2023</t>
        </is>
      </c>
      <c r="B1340" s="1" t="n">
        <v>45176</v>
      </c>
      <c r="C1340" s="1" t="n">
        <v>45758</v>
      </c>
      <c r="D1340" t="inlineStr">
        <is>
          <t>STOCKHOLMS LÄN</t>
        </is>
      </c>
      <c r="E1340" t="inlineStr">
        <is>
          <t>NORRTÄLJE</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41880-2023</t>
        </is>
      </c>
      <c r="B1341" s="1" t="n">
        <v>45176</v>
      </c>
      <c r="C1341" s="1" t="n">
        <v>45758</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42094-2023</t>
        </is>
      </c>
      <c r="B1342" s="1" t="n">
        <v>45177</v>
      </c>
      <c r="C1342" s="1" t="n">
        <v>45758</v>
      </c>
      <c r="D1342" t="inlineStr">
        <is>
          <t>STOCKHOLMS LÄN</t>
        </is>
      </c>
      <c r="E1342" t="inlineStr">
        <is>
          <t>NORRTÄLJE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42075-2023</t>
        </is>
      </c>
      <c r="B1343" s="1" t="n">
        <v>45177</v>
      </c>
      <c r="C1343" s="1" t="n">
        <v>45758</v>
      </c>
      <c r="D1343" t="inlineStr">
        <is>
          <t>STOCKHOLMS LÄN</t>
        </is>
      </c>
      <c r="E1343" t="inlineStr">
        <is>
          <t>NORRTÄLJE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42199-2023</t>
        </is>
      </c>
      <c r="B1344" s="1" t="n">
        <v>45179</v>
      </c>
      <c r="C1344" s="1" t="n">
        <v>45758</v>
      </c>
      <c r="D1344" t="inlineStr">
        <is>
          <t>STOCKHOLMS LÄN</t>
        </is>
      </c>
      <c r="E1344" t="inlineStr">
        <is>
          <t>NORRTÄLJE</t>
        </is>
      </c>
      <c r="F1344" t="inlineStr">
        <is>
          <t>Sveaskog</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42200-2023</t>
        </is>
      </c>
      <c r="B1345" s="1" t="n">
        <v>45179</v>
      </c>
      <c r="C1345" s="1" t="n">
        <v>45758</v>
      </c>
      <c r="D1345" t="inlineStr">
        <is>
          <t>STOCKHOLMS LÄN</t>
        </is>
      </c>
      <c r="E1345" t="inlineStr">
        <is>
          <t>NORRTÄLJE</t>
        </is>
      </c>
      <c r="F1345" t="inlineStr">
        <is>
          <t>Sveaskog</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42765-2023</t>
        </is>
      </c>
      <c r="B1346" s="1" t="n">
        <v>45181</v>
      </c>
      <c r="C1346" s="1" t="n">
        <v>45758</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42775-2023</t>
        </is>
      </c>
      <c r="B1347" s="1" t="n">
        <v>45181</v>
      </c>
      <c r="C1347" s="1" t="n">
        <v>45758</v>
      </c>
      <c r="D1347" t="inlineStr">
        <is>
          <t>STOCKHOLMS LÄN</t>
        </is>
      </c>
      <c r="E1347" t="inlineStr">
        <is>
          <t>NORRTÄLJE</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42948-2023</t>
        </is>
      </c>
      <c r="B1348" s="1" t="n">
        <v>45182</v>
      </c>
      <c r="C1348" s="1" t="n">
        <v>45758</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42977-2023</t>
        </is>
      </c>
      <c r="B1349" s="1" t="n">
        <v>45182</v>
      </c>
      <c r="C1349" s="1" t="n">
        <v>45758</v>
      </c>
      <c r="D1349" t="inlineStr">
        <is>
          <t>STOCKHOLMS LÄN</t>
        </is>
      </c>
      <c r="E1349" t="inlineStr">
        <is>
          <t>NORRTÄLJE</t>
        </is>
      </c>
      <c r="F1349" t="inlineStr">
        <is>
          <t>Sveaskog</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43140-2023</t>
        </is>
      </c>
      <c r="B1350" s="1" t="n">
        <v>45183</v>
      </c>
      <c r="C1350" s="1" t="n">
        <v>45758</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43207-2023</t>
        </is>
      </c>
      <c r="B1351" s="1" t="n">
        <v>45183</v>
      </c>
      <c r="C1351" s="1" t="n">
        <v>45758</v>
      </c>
      <c r="D1351" t="inlineStr">
        <is>
          <t>STOCKHOLMS LÄN</t>
        </is>
      </c>
      <c r="E1351" t="inlineStr">
        <is>
          <t>NORRTÄLJE</t>
        </is>
      </c>
      <c r="F1351" t="inlineStr">
        <is>
          <t>Kyrkan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43150-2023</t>
        </is>
      </c>
      <c r="B1352" s="1" t="n">
        <v>45183</v>
      </c>
      <c r="C1352" s="1" t="n">
        <v>45758</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43170-2023</t>
        </is>
      </c>
      <c r="B1353" s="1" t="n">
        <v>45183</v>
      </c>
      <c r="C1353" s="1" t="n">
        <v>45758</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43289-2023</t>
        </is>
      </c>
      <c r="B1354" s="1" t="n">
        <v>45183</v>
      </c>
      <c r="C1354" s="1" t="n">
        <v>45758</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43300-2023</t>
        </is>
      </c>
      <c r="B1355" s="1" t="n">
        <v>45183</v>
      </c>
      <c r="C1355" s="1" t="n">
        <v>45758</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43638-2023</t>
        </is>
      </c>
      <c r="B1356" s="1" t="n">
        <v>45186</v>
      </c>
      <c r="C1356" s="1" t="n">
        <v>45758</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43684-2023</t>
        </is>
      </c>
      <c r="B1357" s="1" t="n">
        <v>45187</v>
      </c>
      <c r="C1357" s="1" t="n">
        <v>45758</v>
      </c>
      <c r="D1357" t="inlineStr">
        <is>
          <t>STOCKHOLMS LÄN</t>
        </is>
      </c>
      <c r="E1357" t="inlineStr">
        <is>
          <t>NORRTÄLJE</t>
        </is>
      </c>
      <c r="F1357" t="inlineStr">
        <is>
          <t>Holmen skog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43836-2023</t>
        </is>
      </c>
      <c r="B1358" s="1" t="n">
        <v>45187</v>
      </c>
      <c r="C1358" s="1" t="n">
        <v>45758</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43710-2023</t>
        </is>
      </c>
      <c r="B1359" s="1" t="n">
        <v>45187</v>
      </c>
      <c r="C1359" s="1" t="n">
        <v>45758</v>
      </c>
      <c r="D1359" t="inlineStr">
        <is>
          <t>STOCKHOLMS LÄN</t>
        </is>
      </c>
      <c r="E1359" t="inlineStr">
        <is>
          <t>NORRTÄLJE</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44891-2023</t>
        </is>
      </c>
      <c r="B1360" s="1" t="n">
        <v>45187</v>
      </c>
      <c r="C1360" s="1" t="n">
        <v>45758</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44885-2023</t>
        </is>
      </c>
      <c r="B1361" s="1" t="n">
        <v>45187</v>
      </c>
      <c r="C1361" s="1" t="n">
        <v>45758</v>
      </c>
      <c r="D1361" t="inlineStr">
        <is>
          <t>STOCKHOLMS LÄN</t>
        </is>
      </c>
      <c r="E1361" t="inlineStr">
        <is>
          <t>NORRTÄLJE</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44075-2023</t>
        </is>
      </c>
      <c r="B1362" s="1" t="n">
        <v>45188</v>
      </c>
      <c r="C1362" s="1" t="n">
        <v>45758</v>
      </c>
      <c r="D1362" t="inlineStr">
        <is>
          <t>STOCKHOLMS LÄN</t>
        </is>
      </c>
      <c r="E1362" t="inlineStr">
        <is>
          <t>NORRTÄLJE</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44154-2023</t>
        </is>
      </c>
      <c r="B1363" s="1" t="n">
        <v>45188</v>
      </c>
      <c r="C1363" s="1" t="n">
        <v>45758</v>
      </c>
      <c r="D1363" t="inlineStr">
        <is>
          <t>STOCKHOLMS LÄN</t>
        </is>
      </c>
      <c r="E1363" t="inlineStr">
        <is>
          <t>NORRTÄLJE</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44571-2023</t>
        </is>
      </c>
      <c r="B1364" s="1" t="n">
        <v>45189</v>
      </c>
      <c r="C1364" s="1" t="n">
        <v>45758</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44836-2023</t>
        </is>
      </c>
      <c r="B1365" s="1" t="n">
        <v>45190</v>
      </c>
      <c r="C1365" s="1" t="n">
        <v>45758</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45173-2023</t>
        </is>
      </c>
      <c r="B1366" s="1" t="n">
        <v>45191</v>
      </c>
      <c r="C1366" s="1" t="n">
        <v>45758</v>
      </c>
      <c r="D1366" t="inlineStr">
        <is>
          <t>STOCKHOLMS LÄN</t>
        </is>
      </c>
      <c r="E1366" t="inlineStr">
        <is>
          <t>NORRTÄLJE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45174-2023</t>
        </is>
      </c>
      <c r="B1367" s="1" t="n">
        <v>45191</v>
      </c>
      <c r="C1367" s="1" t="n">
        <v>45758</v>
      </c>
      <c r="D1367" t="inlineStr">
        <is>
          <t>STOCKHOLMS LÄN</t>
        </is>
      </c>
      <c r="E1367" t="inlineStr">
        <is>
          <t>NORRTÄLJE</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46161-2023</t>
        </is>
      </c>
      <c r="B1368" s="1" t="n">
        <v>45196</v>
      </c>
      <c r="C1368" s="1" t="n">
        <v>45758</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46155-2023</t>
        </is>
      </c>
      <c r="B1369" s="1" t="n">
        <v>45196</v>
      </c>
      <c r="C1369" s="1" t="n">
        <v>45758</v>
      </c>
      <c r="D1369" t="inlineStr">
        <is>
          <t>STOCKHOLMS LÄN</t>
        </is>
      </c>
      <c r="E1369" t="inlineStr">
        <is>
          <t>NORRTÄLJE</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46621-2023</t>
        </is>
      </c>
      <c r="B1370" s="1" t="n">
        <v>45198</v>
      </c>
      <c r="C1370" s="1" t="n">
        <v>45758</v>
      </c>
      <c r="D1370" t="inlineStr">
        <is>
          <t>STOCKHOLMS LÄN</t>
        </is>
      </c>
      <c r="E1370" t="inlineStr">
        <is>
          <t>NORRTÄLJE</t>
        </is>
      </c>
      <c r="F1370" t="inlineStr">
        <is>
          <t>Holmen skog AB</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47419-2023</t>
        </is>
      </c>
      <c r="B1371" s="1" t="n">
        <v>45202</v>
      </c>
      <c r="C1371" s="1" t="n">
        <v>45758</v>
      </c>
      <c r="D1371" t="inlineStr">
        <is>
          <t>STOCKHOLMS LÄN</t>
        </is>
      </c>
      <c r="E1371" t="inlineStr">
        <is>
          <t>NORRTÄLJE</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47431-2023</t>
        </is>
      </c>
      <c r="B1372" s="1" t="n">
        <v>45202</v>
      </c>
      <c r="C1372" s="1" t="n">
        <v>45758</v>
      </c>
      <c r="D1372" t="inlineStr">
        <is>
          <t>STOCKHOLMS LÄN</t>
        </is>
      </c>
      <c r="E1372" t="inlineStr">
        <is>
          <t>NORRTÄLJE</t>
        </is>
      </c>
      <c r="F1372" t="inlineStr">
        <is>
          <t>Naturvårdsverket</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47325-2023</t>
        </is>
      </c>
      <c r="B1373" s="1" t="n">
        <v>45202</v>
      </c>
      <c r="C1373" s="1" t="n">
        <v>45758</v>
      </c>
      <c r="D1373" t="inlineStr">
        <is>
          <t>STOCKHOLMS LÄN</t>
        </is>
      </c>
      <c r="E1373" t="inlineStr">
        <is>
          <t>NORRTÄLJE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47433-2023</t>
        </is>
      </c>
      <c r="B1374" s="1" t="n">
        <v>45202</v>
      </c>
      <c r="C1374" s="1" t="n">
        <v>45758</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47388-2023</t>
        </is>
      </c>
      <c r="B1375" s="1" t="n">
        <v>45202</v>
      </c>
      <c r="C1375" s="1" t="n">
        <v>45758</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47430-2023</t>
        </is>
      </c>
      <c r="B1376" s="1" t="n">
        <v>45202</v>
      </c>
      <c r="C1376" s="1" t="n">
        <v>45758</v>
      </c>
      <c r="D1376" t="inlineStr">
        <is>
          <t>STOCKHOLMS LÄN</t>
        </is>
      </c>
      <c r="E1376" t="inlineStr">
        <is>
          <t>NORRTÄLJE</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49775-2023</t>
        </is>
      </c>
      <c r="B1377" s="1" t="n">
        <v>45202</v>
      </c>
      <c r="C1377" s="1" t="n">
        <v>45758</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48578-2023</t>
        </is>
      </c>
      <c r="B1378" s="1" t="n">
        <v>45202</v>
      </c>
      <c r="C1378" s="1" t="n">
        <v>45758</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49774-2023</t>
        </is>
      </c>
      <c r="B1379" s="1" t="n">
        <v>45202</v>
      </c>
      <c r="C1379" s="1" t="n">
        <v>45758</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47672-2023</t>
        </is>
      </c>
      <c r="B1380" s="1" t="n">
        <v>45203</v>
      </c>
      <c r="C1380" s="1" t="n">
        <v>45758</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47694-2023</t>
        </is>
      </c>
      <c r="B1381" s="1" t="n">
        <v>45203</v>
      </c>
      <c r="C1381" s="1" t="n">
        <v>45758</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47708-2023</t>
        </is>
      </c>
      <c r="B1382" s="1" t="n">
        <v>45203</v>
      </c>
      <c r="C1382" s="1" t="n">
        <v>45758</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47758-2023</t>
        </is>
      </c>
      <c r="B1383" s="1" t="n">
        <v>45203</v>
      </c>
      <c r="C1383" s="1" t="n">
        <v>45758</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47699-2023</t>
        </is>
      </c>
      <c r="B1384" s="1" t="n">
        <v>45203</v>
      </c>
      <c r="C1384" s="1" t="n">
        <v>45758</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47735-2023</t>
        </is>
      </c>
      <c r="B1385" s="1" t="n">
        <v>45203</v>
      </c>
      <c r="C1385" s="1" t="n">
        <v>45758</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48167-2023</t>
        </is>
      </c>
      <c r="B1386" s="1" t="n">
        <v>45205</v>
      </c>
      <c r="C1386" s="1" t="n">
        <v>45758</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48180-2023</t>
        </is>
      </c>
      <c r="B1387" s="1" t="n">
        <v>45205</v>
      </c>
      <c r="C1387" s="1" t="n">
        <v>45758</v>
      </c>
      <c r="D1387" t="inlineStr">
        <is>
          <t>STOCKHOLMS LÄN</t>
        </is>
      </c>
      <c r="E1387" t="inlineStr">
        <is>
          <t>NORRTÄLJE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48185-2023</t>
        </is>
      </c>
      <c r="B1388" s="1" t="n">
        <v>45205</v>
      </c>
      <c r="C1388" s="1" t="n">
        <v>45758</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48302-2023</t>
        </is>
      </c>
      <c r="B1389" s="1" t="n">
        <v>45205</v>
      </c>
      <c r="C1389" s="1" t="n">
        <v>45758</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48333-2023</t>
        </is>
      </c>
      <c r="B1390" s="1" t="n">
        <v>45205</v>
      </c>
      <c r="C1390" s="1" t="n">
        <v>45758</v>
      </c>
      <c r="D1390" t="inlineStr">
        <is>
          <t>STOCKHOLMS LÄN</t>
        </is>
      </c>
      <c r="E1390" t="inlineStr">
        <is>
          <t>NORRTÄLJE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48541-2023</t>
        </is>
      </c>
      <c r="B1391" s="1" t="n">
        <v>45208</v>
      </c>
      <c r="C1391" s="1" t="n">
        <v>45758</v>
      </c>
      <c r="D1391" t="inlineStr">
        <is>
          <t>STOCKHOLMS LÄN</t>
        </is>
      </c>
      <c r="E1391" t="inlineStr">
        <is>
          <t>NORRTÄLJE</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48552-2023</t>
        </is>
      </c>
      <c r="B1392" s="1" t="n">
        <v>45208</v>
      </c>
      <c r="C1392" s="1" t="n">
        <v>45758</v>
      </c>
      <c r="D1392" t="inlineStr">
        <is>
          <t>STOCKHOLMS LÄN</t>
        </is>
      </c>
      <c r="E1392" t="inlineStr">
        <is>
          <t>NORRTÄLJE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48587-2023</t>
        </is>
      </c>
      <c r="B1393" s="1" t="n">
        <v>45208</v>
      </c>
      <c r="C1393" s="1" t="n">
        <v>45758</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48633-2023</t>
        </is>
      </c>
      <c r="B1394" s="1" t="n">
        <v>45208</v>
      </c>
      <c r="C1394" s="1" t="n">
        <v>45758</v>
      </c>
      <c r="D1394" t="inlineStr">
        <is>
          <t>STOCKHOLMS LÄN</t>
        </is>
      </c>
      <c r="E1394" t="inlineStr">
        <is>
          <t>NORRTÄLJE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48641-2023</t>
        </is>
      </c>
      <c r="B1395" s="1" t="n">
        <v>45208</v>
      </c>
      <c r="C1395" s="1" t="n">
        <v>45758</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48686-2023</t>
        </is>
      </c>
      <c r="B1396" s="1" t="n">
        <v>45208</v>
      </c>
      <c r="C1396" s="1" t="n">
        <v>45758</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48629-2023</t>
        </is>
      </c>
      <c r="B1397" s="1" t="n">
        <v>45208</v>
      </c>
      <c r="C1397" s="1" t="n">
        <v>45758</v>
      </c>
      <c r="D1397" t="inlineStr">
        <is>
          <t>STOCKHOLMS LÄN</t>
        </is>
      </c>
      <c r="E1397" t="inlineStr">
        <is>
          <t>NORRTÄLJE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48668-2023</t>
        </is>
      </c>
      <c r="B1398" s="1" t="n">
        <v>45208</v>
      </c>
      <c r="C1398" s="1" t="n">
        <v>45758</v>
      </c>
      <c r="D1398" t="inlineStr">
        <is>
          <t>STOCKHOLMS LÄN</t>
        </is>
      </c>
      <c r="E1398" t="inlineStr">
        <is>
          <t>NORRTÄLJE</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48685-2023</t>
        </is>
      </c>
      <c r="B1399" s="1" t="n">
        <v>45208</v>
      </c>
      <c r="C1399" s="1" t="n">
        <v>45758</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48691-2023</t>
        </is>
      </c>
      <c r="B1400" s="1" t="n">
        <v>45208</v>
      </c>
      <c r="C1400" s="1" t="n">
        <v>45758</v>
      </c>
      <c r="D1400" t="inlineStr">
        <is>
          <t>STOCKHOLMS LÄN</t>
        </is>
      </c>
      <c r="E1400" t="inlineStr">
        <is>
          <t>NORRTÄLJE</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48701-2023</t>
        </is>
      </c>
      <c r="B1401" s="1" t="n">
        <v>45208</v>
      </c>
      <c r="C1401" s="1" t="n">
        <v>45758</v>
      </c>
      <c r="D1401" t="inlineStr">
        <is>
          <t>STOCKHOLMS LÄN</t>
        </is>
      </c>
      <c r="E1401" t="inlineStr">
        <is>
          <t>NORRTÄLJE</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48716-2023</t>
        </is>
      </c>
      <c r="B1402" s="1" t="n">
        <v>45208</v>
      </c>
      <c r="C1402" s="1" t="n">
        <v>45758</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48709-2023</t>
        </is>
      </c>
      <c r="B1403" s="1" t="n">
        <v>45208</v>
      </c>
      <c r="C1403" s="1" t="n">
        <v>45758</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48722-2023</t>
        </is>
      </c>
      <c r="B1404" s="1" t="n">
        <v>45208</v>
      </c>
      <c r="C1404" s="1" t="n">
        <v>45758</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48726-2023</t>
        </is>
      </c>
      <c r="B1405" s="1" t="n">
        <v>45208</v>
      </c>
      <c r="C1405" s="1" t="n">
        <v>45758</v>
      </c>
      <c r="D1405" t="inlineStr">
        <is>
          <t>STOCKHOLMS LÄN</t>
        </is>
      </c>
      <c r="E1405" t="inlineStr">
        <is>
          <t>NORRTÄLJE</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49169-2023</t>
        </is>
      </c>
      <c r="B1406" s="1" t="n">
        <v>45210</v>
      </c>
      <c r="C1406" s="1" t="n">
        <v>45758</v>
      </c>
      <c r="D1406" t="inlineStr">
        <is>
          <t>STOCKHOLMS LÄN</t>
        </is>
      </c>
      <c r="E1406" t="inlineStr">
        <is>
          <t>NORRTÄLJE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49176-2023</t>
        </is>
      </c>
      <c r="B1407" s="1" t="n">
        <v>45210</v>
      </c>
      <c r="C1407" s="1" t="n">
        <v>45758</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49224-2023</t>
        </is>
      </c>
      <c r="B1408" s="1" t="n">
        <v>45210</v>
      </c>
      <c r="C1408" s="1" t="n">
        <v>45758</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49696-2023</t>
        </is>
      </c>
      <c r="B1409" s="1" t="n">
        <v>45212</v>
      </c>
      <c r="C1409" s="1" t="n">
        <v>45758</v>
      </c>
      <c r="D1409" t="inlineStr">
        <is>
          <t>STOCKHOLMS LÄN</t>
        </is>
      </c>
      <c r="E1409" t="inlineStr">
        <is>
          <t>NORRTÄLJE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49700-2023</t>
        </is>
      </c>
      <c r="B1410" s="1" t="n">
        <v>45212</v>
      </c>
      <c r="C1410" s="1" t="n">
        <v>45758</v>
      </c>
      <c r="D1410" t="inlineStr">
        <is>
          <t>STOCKHOLMS LÄN</t>
        </is>
      </c>
      <c r="E1410" t="inlineStr">
        <is>
          <t>NORRTÄLJE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49694-2023</t>
        </is>
      </c>
      <c r="B1411" s="1" t="n">
        <v>45212</v>
      </c>
      <c r="C1411" s="1" t="n">
        <v>45758</v>
      </c>
      <c r="D1411" t="inlineStr">
        <is>
          <t>STOCKHOLMS LÄN</t>
        </is>
      </c>
      <c r="E1411" t="inlineStr">
        <is>
          <t>NORRTÄLJE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50143-2023</t>
        </is>
      </c>
      <c r="B1412" s="1" t="n">
        <v>45215</v>
      </c>
      <c r="C1412" s="1" t="n">
        <v>45758</v>
      </c>
      <c r="D1412" t="inlineStr">
        <is>
          <t>STOCKHOLMS LÄN</t>
        </is>
      </c>
      <c r="E1412" t="inlineStr">
        <is>
          <t>NORRTÄLJE</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50107-2023</t>
        </is>
      </c>
      <c r="B1413" s="1" t="n">
        <v>45215</v>
      </c>
      <c r="C1413" s="1" t="n">
        <v>45758</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50033-2023</t>
        </is>
      </c>
      <c r="B1414" s="1" t="n">
        <v>45215</v>
      </c>
      <c r="C1414" s="1" t="n">
        <v>45758</v>
      </c>
      <c r="D1414" t="inlineStr">
        <is>
          <t>STOCKHOLMS LÄN</t>
        </is>
      </c>
      <c r="E1414" t="inlineStr">
        <is>
          <t>NORRTÄLJE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50136-2023</t>
        </is>
      </c>
      <c r="B1415" s="1" t="n">
        <v>45215</v>
      </c>
      <c r="C1415" s="1" t="n">
        <v>45758</v>
      </c>
      <c r="D1415" t="inlineStr">
        <is>
          <t>STOCKHOLMS LÄN</t>
        </is>
      </c>
      <c r="E1415" t="inlineStr">
        <is>
          <t>NORRTÄLJE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50150-2023</t>
        </is>
      </c>
      <c r="B1416" s="1" t="n">
        <v>45215</v>
      </c>
      <c r="C1416" s="1" t="n">
        <v>45758</v>
      </c>
      <c r="D1416" t="inlineStr">
        <is>
          <t>STOCKHOLMS LÄN</t>
        </is>
      </c>
      <c r="E1416" t="inlineStr">
        <is>
          <t>NORRTÄLJE</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50289-2023</t>
        </is>
      </c>
      <c r="B1417" s="1" t="n">
        <v>45216</v>
      </c>
      <c r="C1417" s="1" t="n">
        <v>45758</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50436-2023</t>
        </is>
      </c>
      <c r="B1418" s="1" t="n">
        <v>45216</v>
      </c>
      <c r="C1418" s="1" t="n">
        <v>45758</v>
      </c>
      <c r="D1418" t="inlineStr">
        <is>
          <t>STOCKHOLMS LÄN</t>
        </is>
      </c>
      <c r="E1418" t="inlineStr">
        <is>
          <t>NORRTÄLJE</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50690-2023</t>
        </is>
      </c>
      <c r="B1419" s="1" t="n">
        <v>45217</v>
      </c>
      <c r="C1419" s="1" t="n">
        <v>45758</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51049-2023</t>
        </is>
      </c>
      <c r="B1420" s="1" t="n">
        <v>45218</v>
      </c>
      <c r="C1420" s="1" t="n">
        <v>45758</v>
      </c>
      <c r="D1420" t="inlineStr">
        <is>
          <t>STOCKHOLMS LÄN</t>
        </is>
      </c>
      <c r="E1420" t="inlineStr">
        <is>
          <t>NORRTÄLJE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51063-2023</t>
        </is>
      </c>
      <c r="B1421" s="1" t="n">
        <v>45218</v>
      </c>
      <c r="C1421" s="1" t="n">
        <v>45758</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50880-2023</t>
        </is>
      </c>
      <c r="B1422" s="1" t="n">
        <v>45218</v>
      </c>
      <c r="C1422" s="1" t="n">
        <v>45758</v>
      </c>
      <c r="D1422" t="inlineStr">
        <is>
          <t>STOCKHOLMS LÄN</t>
        </is>
      </c>
      <c r="E1422" t="inlineStr">
        <is>
          <t>NORRTÄLJE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51046-2023</t>
        </is>
      </c>
      <c r="B1423" s="1" t="n">
        <v>45218</v>
      </c>
      <c r="C1423" s="1" t="n">
        <v>45758</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51043-2023</t>
        </is>
      </c>
      <c r="B1424" s="1" t="n">
        <v>45218</v>
      </c>
      <c r="C1424" s="1" t="n">
        <v>45758</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51061-2023</t>
        </is>
      </c>
      <c r="B1425" s="1" t="n">
        <v>45218</v>
      </c>
      <c r="C1425" s="1" t="n">
        <v>45758</v>
      </c>
      <c r="D1425" t="inlineStr">
        <is>
          <t>STOCKHOLMS LÄN</t>
        </is>
      </c>
      <c r="E1425" t="inlineStr">
        <is>
          <t>NORRTÄLJE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51325-2023</t>
        </is>
      </c>
      <c r="B1426" s="1" t="n">
        <v>45219</v>
      </c>
      <c r="C1426" s="1" t="n">
        <v>45758</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51312-2023</t>
        </is>
      </c>
      <c r="B1427" s="1" t="n">
        <v>45219</v>
      </c>
      <c r="C1427" s="1" t="n">
        <v>45758</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51597-2023</t>
        </is>
      </c>
      <c r="B1428" s="1" t="n">
        <v>45222</v>
      </c>
      <c r="C1428" s="1" t="n">
        <v>45758</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51657-2023</t>
        </is>
      </c>
      <c r="B1429" s="1" t="n">
        <v>45222</v>
      </c>
      <c r="C1429" s="1" t="n">
        <v>45758</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51903-2023</t>
        </is>
      </c>
      <c r="B1430" s="1" t="n">
        <v>45223</v>
      </c>
      <c r="C1430" s="1" t="n">
        <v>45758</v>
      </c>
      <c r="D1430" t="inlineStr">
        <is>
          <t>STOCKHOLMS LÄN</t>
        </is>
      </c>
      <c r="E1430" t="inlineStr">
        <is>
          <t>NORRTÄLJE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52095-2023</t>
        </is>
      </c>
      <c r="B1431" s="1" t="n">
        <v>45223</v>
      </c>
      <c r="C1431" s="1" t="n">
        <v>45758</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51978-2023</t>
        </is>
      </c>
      <c r="B1432" s="1" t="n">
        <v>45223</v>
      </c>
      <c r="C1432" s="1" t="n">
        <v>45758</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51997-2023</t>
        </is>
      </c>
      <c r="B1433" s="1" t="n">
        <v>45223</v>
      </c>
      <c r="C1433" s="1" t="n">
        <v>45758</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52001-2023</t>
        </is>
      </c>
      <c r="B1434" s="1" t="n">
        <v>45223</v>
      </c>
      <c r="C1434" s="1" t="n">
        <v>45758</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52096-2023</t>
        </is>
      </c>
      <c r="B1435" s="1" t="n">
        <v>45223</v>
      </c>
      <c r="C1435" s="1" t="n">
        <v>45758</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53362-2023</t>
        </is>
      </c>
      <c r="B1436" s="1" t="n">
        <v>45223</v>
      </c>
      <c r="C1436" s="1" t="n">
        <v>45758</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53372-2023</t>
        </is>
      </c>
      <c r="B1437" s="1" t="n">
        <v>45223</v>
      </c>
      <c r="C1437" s="1" t="n">
        <v>45758</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52221-2023</t>
        </is>
      </c>
      <c r="B1438" s="1" t="n">
        <v>45224</v>
      </c>
      <c r="C1438" s="1" t="n">
        <v>45758</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53561-2023</t>
        </is>
      </c>
      <c r="B1439" s="1" t="n">
        <v>45224</v>
      </c>
      <c r="C1439" s="1" t="n">
        <v>45758</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53556-2023</t>
        </is>
      </c>
      <c r="B1440" s="1" t="n">
        <v>45224</v>
      </c>
      <c r="C1440" s="1" t="n">
        <v>45758</v>
      </c>
      <c r="D1440" t="inlineStr">
        <is>
          <t>STOCKHOLMS LÄN</t>
        </is>
      </c>
      <c r="E1440" t="inlineStr">
        <is>
          <t>NORRTÄLJE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52570-2023</t>
        </is>
      </c>
      <c r="B1441" s="1" t="n">
        <v>45225</v>
      </c>
      <c r="C1441" s="1" t="n">
        <v>45758</v>
      </c>
      <c r="D1441" t="inlineStr">
        <is>
          <t>STOCKHOLMS LÄN</t>
        </is>
      </c>
      <c r="E1441" t="inlineStr">
        <is>
          <t>NORRTÄLJE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52619-2023</t>
        </is>
      </c>
      <c r="B1442" s="1" t="n">
        <v>45225</v>
      </c>
      <c r="C1442" s="1" t="n">
        <v>45758</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52875-2023</t>
        </is>
      </c>
      <c r="B1443" s="1" t="n">
        <v>45226</v>
      </c>
      <c r="C1443" s="1" t="n">
        <v>45758</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52899-2023</t>
        </is>
      </c>
      <c r="B1444" s="1" t="n">
        <v>45226</v>
      </c>
      <c r="C1444" s="1" t="n">
        <v>45758</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53563-2023</t>
        </is>
      </c>
      <c r="B1445" s="1" t="n">
        <v>45230</v>
      </c>
      <c r="C1445" s="1" t="n">
        <v>45758</v>
      </c>
      <c r="D1445" t="inlineStr">
        <is>
          <t>STOCKHOLMS LÄN</t>
        </is>
      </c>
      <c r="E1445" t="inlineStr">
        <is>
          <t>NORRTÄLJE</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53718-2023</t>
        </is>
      </c>
      <c r="B1446" s="1" t="n">
        <v>45230</v>
      </c>
      <c r="C1446" s="1" t="n">
        <v>45758</v>
      </c>
      <c r="D1446" t="inlineStr">
        <is>
          <t>STOCKHOLMS LÄN</t>
        </is>
      </c>
      <c r="E1446" t="inlineStr">
        <is>
          <t>NORRTÄLJE</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53787-2023</t>
        </is>
      </c>
      <c r="B1447" s="1" t="n">
        <v>45231</v>
      </c>
      <c r="C1447" s="1" t="n">
        <v>45758</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53792-2023</t>
        </is>
      </c>
      <c r="B1448" s="1" t="n">
        <v>45231</v>
      </c>
      <c r="C1448" s="1" t="n">
        <v>45758</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55518-2023</t>
        </is>
      </c>
      <c r="B1449" s="1" t="n">
        <v>45231</v>
      </c>
      <c r="C1449" s="1" t="n">
        <v>45758</v>
      </c>
      <c r="D1449" t="inlineStr">
        <is>
          <t>STOCKHOLMS LÄN</t>
        </is>
      </c>
      <c r="E1449" t="inlineStr">
        <is>
          <t>NORRTÄLJE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55533-2023</t>
        </is>
      </c>
      <c r="B1450" s="1" t="n">
        <v>45231</v>
      </c>
      <c r="C1450" s="1" t="n">
        <v>45758</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54259-2023</t>
        </is>
      </c>
      <c r="B1451" s="1" t="n">
        <v>45232</v>
      </c>
      <c r="C1451" s="1" t="n">
        <v>45758</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54546-2023</t>
        </is>
      </c>
      <c r="B1452" s="1" t="n">
        <v>45233</v>
      </c>
      <c r="C1452" s="1" t="n">
        <v>45758</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54776-2023</t>
        </is>
      </c>
      <c r="B1453" s="1" t="n">
        <v>45236</v>
      </c>
      <c r="C1453" s="1" t="n">
        <v>45758</v>
      </c>
      <c r="D1453" t="inlineStr">
        <is>
          <t>STOCKHOLMS LÄN</t>
        </is>
      </c>
      <c r="E1453" t="inlineStr">
        <is>
          <t>NORRTÄLJE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55038-2023</t>
        </is>
      </c>
      <c r="B1454" s="1" t="n">
        <v>45237</v>
      </c>
      <c r="C1454" s="1" t="n">
        <v>45758</v>
      </c>
      <c r="D1454" t="inlineStr">
        <is>
          <t>STOCKHOLMS LÄN</t>
        </is>
      </c>
      <c r="E1454" t="inlineStr">
        <is>
          <t>NORRTÄLJE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55243-2023</t>
        </is>
      </c>
      <c r="B1455" s="1" t="n">
        <v>45237</v>
      </c>
      <c r="C1455" s="1" t="n">
        <v>45758</v>
      </c>
      <c r="D1455" t="inlineStr">
        <is>
          <t>STOCKHOLMS LÄN</t>
        </is>
      </c>
      <c r="E1455" t="inlineStr">
        <is>
          <t>NORRTÄLJE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55369-2023</t>
        </is>
      </c>
      <c r="B1456" s="1" t="n">
        <v>45238</v>
      </c>
      <c r="C1456" s="1" t="n">
        <v>45758</v>
      </c>
      <c r="D1456" t="inlineStr">
        <is>
          <t>STOCKHOLMS LÄN</t>
        </is>
      </c>
      <c r="E1456" t="inlineStr">
        <is>
          <t>NORRTÄLJE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55755-2023</t>
        </is>
      </c>
      <c r="B1457" s="1" t="n">
        <v>45239</v>
      </c>
      <c r="C1457" s="1" t="n">
        <v>45758</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56428-2023</t>
        </is>
      </c>
      <c r="B1458" s="1" t="n">
        <v>45243</v>
      </c>
      <c r="C1458" s="1" t="n">
        <v>45758</v>
      </c>
      <c r="D1458" t="inlineStr">
        <is>
          <t>STOCKHOLMS LÄN</t>
        </is>
      </c>
      <c r="E1458" t="inlineStr">
        <is>
          <t>NORRTÄLJE</t>
        </is>
      </c>
      <c r="F1458" t="inlineStr">
        <is>
          <t>Kyrkan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56439-2023</t>
        </is>
      </c>
      <c r="B1459" s="1" t="n">
        <v>45243</v>
      </c>
      <c r="C1459" s="1" t="n">
        <v>45758</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56445-2023</t>
        </is>
      </c>
      <c r="B1460" s="1" t="n">
        <v>45243</v>
      </c>
      <c r="C1460" s="1" t="n">
        <v>45758</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56577-2023</t>
        </is>
      </c>
      <c r="B1461" s="1" t="n">
        <v>45243</v>
      </c>
      <c r="C1461" s="1" t="n">
        <v>45758</v>
      </c>
      <c r="D1461" t="inlineStr">
        <is>
          <t>STOCKHOLMS LÄN</t>
        </is>
      </c>
      <c r="E1461" t="inlineStr">
        <is>
          <t>NORRTÄLJE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56593-2023</t>
        </is>
      </c>
      <c r="B1462" s="1" t="n">
        <v>45243</v>
      </c>
      <c r="C1462" s="1" t="n">
        <v>45758</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56819-2023</t>
        </is>
      </c>
      <c r="B1463" s="1" t="n">
        <v>45244</v>
      </c>
      <c r="C1463" s="1" t="n">
        <v>45758</v>
      </c>
      <c r="D1463" t="inlineStr">
        <is>
          <t>STOCKHOLMS LÄN</t>
        </is>
      </c>
      <c r="E1463" t="inlineStr">
        <is>
          <t>NORRTÄLJE</t>
        </is>
      </c>
      <c r="G1463" t="n">
        <v>13.6</v>
      </c>
      <c r="H1463" t="n">
        <v>0</v>
      </c>
      <c r="I1463" t="n">
        <v>0</v>
      </c>
      <c r="J1463" t="n">
        <v>0</v>
      </c>
      <c r="K1463" t="n">
        <v>0</v>
      </c>
      <c r="L1463" t="n">
        <v>0</v>
      </c>
      <c r="M1463" t="n">
        <v>0</v>
      </c>
      <c r="N1463" t="n">
        <v>0</v>
      </c>
      <c r="O1463" t="n">
        <v>0</v>
      </c>
      <c r="P1463" t="n">
        <v>0</v>
      </c>
      <c r="Q1463" t="n">
        <v>0</v>
      </c>
      <c r="R1463" s="2" t="inlineStr"/>
    </row>
    <row r="1464" ht="15" customHeight="1">
      <c r="A1464" t="inlineStr">
        <is>
          <t>A 58261-2023</t>
        </is>
      </c>
      <c r="B1464" s="1" t="n">
        <v>45245</v>
      </c>
      <c r="C1464" s="1" t="n">
        <v>45758</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58209-2023</t>
        </is>
      </c>
      <c r="B1465" s="1" t="n">
        <v>45245</v>
      </c>
      <c r="C1465" s="1" t="n">
        <v>45758</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58227-2023</t>
        </is>
      </c>
      <c r="B1466" s="1" t="n">
        <v>45245</v>
      </c>
      <c r="C1466" s="1" t="n">
        <v>45758</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58291-2023</t>
        </is>
      </c>
      <c r="B1467" s="1" t="n">
        <v>45245</v>
      </c>
      <c r="C1467" s="1" t="n">
        <v>45758</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58277-2023</t>
        </is>
      </c>
      <c r="B1468" s="1" t="n">
        <v>45245</v>
      </c>
      <c r="C1468" s="1" t="n">
        <v>45758</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58213-2023</t>
        </is>
      </c>
      <c r="B1469" s="1" t="n">
        <v>45245</v>
      </c>
      <c r="C1469" s="1" t="n">
        <v>45758</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58311-2023</t>
        </is>
      </c>
      <c r="B1470" s="1" t="n">
        <v>45245</v>
      </c>
      <c r="C1470" s="1" t="n">
        <v>45758</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58300-2023</t>
        </is>
      </c>
      <c r="B1471" s="1" t="n">
        <v>45245</v>
      </c>
      <c r="C1471" s="1" t="n">
        <v>45758</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58260-2023</t>
        </is>
      </c>
      <c r="B1472" s="1" t="n">
        <v>45245</v>
      </c>
      <c r="C1472" s="1" t="n">
        <v>45758</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58297-2023</t>
        </is>
      </c>
      <c r="B1473" s="1" t="n">
        <v>45245</v>
      </c>
      <c r="C1473" s="1" t="n">
        <v>45758</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58306-2023</t>
        </is>
      </c>
      <c r="B1474" s="1" t="n">
        <v>45245</v>
      </c>
      <c r="C1474" s="1" t="n">
        <v>45758</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58404-2023</t>
        </is>
      </c>
      <c r="B1475" s="1" t="n">
        <v>45245</v>
      </c>
      <c r="C1475" s="1" t="n">
        <v>45758</v>
      </c>
      <c r="D1475" t="inlineStr">
        <is>
          <t>STOCKHOLMS LÄN</t>
        </is>
      </c>
      <c r="E1475" t="inlineStr">
        <is>
          <t>NORRTÄLJE</t>
        </is>
      </c>
      <c r="G1475" t="n">
        <v>53.5</v>
      </c>
      <c r="H1475" t="n">
        <v>0</v>
      </c>
      <c r="I1475" t="n">
        <v>0</v>
      </c>
      <c r="J1475" t="n">
        <v>0</v>
      </c>
      <c r="K1475" t="n">
        <v>0</v>
      </c>
      <c r="L1475" t="n">
        <v>0</v>
      </c>
      <c r="M1475" t="n">
        <v>0</v>
      </c>
      <c r="N1475" t="n">
        <v>0</v>
      </c>
      <c r="O1475" t="n">
        <v>0</v>
      </c>
      <c r="P1475" t="n">
        <v>0</v>
      </c>
      <c r="Q1475" t="n">
        <v>0</v>
      </c>
      <c r="R1475" s="2" t="inlineStr"/>
    </row>
    <row r="1476" ht="15" customHeight="1">
      <c r="A1476" t="inlineStr">
        <is>
          <t>A 58191-2023</t>
        </is>
      </c>
      <c r="B1476" s="1" t="n">
        <v>45250</v>
      </c>
      <c r="C1476" s="1" t="n">
        <v>45758</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58186-2023</t>
        </is>
      </c>
      <c r="B1477" s="1" t="n">
        <v>45250</v>
      </c>
      <c r="C1477" s="1" t="n">
        <v>45758</v>
      </c>
      <c r="D1477" t="inlineStr">
        <is>
          <t>STOCKHOLMS LÄN</t>
        </is>
      </c>
      <c r="E1477" t="inlineStr">
        <is>
          <t>NORRTÄLJE</t>
        </is>
      </c>
      <c r="F1477" t="inlineStr">
        <is>
          <t>Kyrkan</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58981-2023</t>
        </is>
      </c>
      <c r="B1478" s="1" t="n">
        <v>45250</v>
      </c>
      <c r="C1478" s="1" t="n">
        <v>45758</v>
      </c>
      <c r="D1478" t="inlineStr">
        <is>
          <t>STOCKHOLMS LÄN</t>
        </is>
      </c>
      <c r="E1478" t="inlineStr">
        <is>
          <t>NORRTÄLJE</t>
        </is>
      </c>
      <c r="F1478" t="inlineStr">
        <is>
          <t>Övriga statliga verk och myndigheter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58601-2023</t>
        </is>
      </c>
      <c r="B1479" s="1" t="n">
        <v>45251</v>
      </c>
      <c r="C1479" s="1" t="n">
        <v>45758</v>
      </c>
      <c r="D1479" t="inlineStr">
        <is>
          <t>STOCKHOLMS LÄN</t>
        </is>
      </c>
      <c r="E1479" t="inlineStr">
        <is>
          <t>NORRTÄLJE</t>
        </is>
      </c>
      <c r="F1479" t="inlineStr">
        <is>
          <t>Holmen skog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59310-2023</t>
        </is>
      </c>
      <c r="B1480" s="1" t="n">
        <v>45253</v>
      </c>
      <c r="C1480" s="1" t="n">
        <v>45758</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59326-2023</t>
        </is>
      </c>
      <c r="B1481" s="1" t="n">
        <v>45253</v>
      </c>
      <c r="C1481" s="1" t="n">
        <v>45758</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59212-2023</t>
        </is>
      </c>
      <c r="B1482" s="1" t="n">
        <v>45253</v>
      </c>
      <c r="C1482" s="1" t="n">
        <v>45758</v>
      </c>
      <c r="D1482" t="inlineStr">
        <is>
          <t>STOCKHOLMS LÄN</t>
        </is>
      </c>
      <c r="E1482" t="inlineStr">
        <is>
          <t>NORRTÄLJE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59276-2023</t>
        </is>
      </c>
      <c r="B1483" s="1" t="n">
        <v>45253</v>
      </c>
      <c r="C1483" s="1" t="n">
        <v>45758</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59468-2023</t>
        </is>
      </c>
      <c r="B1484" s="1" t="n">
        <v>45254</v>
      </c>
      <c r="C1484" s="1" t="n">
        <v>45758</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59499-2023</t>
        </is>
      </c>
      <c r="B1485" s="1" t="n">
        <v>45254</v>
      </c>
      <c r="C1485" s="1" t="n">
        <v>45758</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59504-2023</t>
        </is>
      </c>
      <c r="B1486" s="1" t="n">
        <v>45254</v>
      </c>
      <c r="C1486" s="1" t="n">
        <v>45758</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59676-2023</t>
        </is>
      </c>
      <c r="B1487" s="1" t="n">
        <v>45255</v>
      </c>
      <c r="C1487" s="1" t="n">
        <v>45758</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59904-2023</t>
        </is>
      </c>
      <c r="B1488" s="1" t="n">
        <v>45257</v>
      </c>
      <c r="C1488" s="1" t="n">
        <v>45758</v>
      </c>
      <c r="D1488" t="inlineStr">
        <is>
          <t>STOCKHOLMS LÄN</t>
        </is>
      </c>
      <c r="E1488" t="inlineStr">
        <is>
          <t>NORRTÄLJE</t>
        </is>
      </c>
      <c r="G1488" t="n">
        <v>17.4</v>
      </c>
      <c r="H1488" t="n">
        <v>0</v>
      </c>
      <c r="I1488" t="n">
        <v>0</v>
      </c>
      <c r="J1488" t="n">
        <v>0</v>
      </c>
      <c r="K1488" t="n">
        <v>0</v>
      </c>
      <c r="L1488" t="n">
        <v>0</v>
      </c>
      <c r="M1488" t="n">
        <v>0</v>
      </c>
      <c r="N1488" t="n">
        <v>0</v>
      </c>
      <c r="O1488" t="n">
        <v>0</v>
      </c>
      <c r="P1488" t="n">
        <v>0</v>
      </c>
      <c r="Q1488" t="n">
        <v>0</v>
      </c>
      <c r="R1488" s="2" t="inlineStr"/>
    </row>
    <row r="1489" ht="15" customHeight="1">
      <c r="A1489" t="inlineStr">
        <is>
          <t>A 59906-2023</t>
        </is>
      </c>
      <c r="B1489" s="1" t="n">
        <v>45257</v>
      </c>
      <c r="C1489" s="1" t="n">
        <v>45758</v>
      </c>
      <c r="D1489" t="inlineStr">
        <is>
          <t>STOCKHOLMS LÄN</t>
        </is>
      </c>
      <c r="E1489" t="inlineStr">
        <is>
          <t>NORRTÄLJE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59992-2023</t>
        </is>
      </c>
      <c r="B1490" s="1" t="n">
        <v>45257</v>
      </c>
      <c r="C1490" s="1" t="n">
        <v>45758</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60224-2023</t>
        </is>
      </c>
      <c r="B1491" s="1" t="n">
        <v>45257</v>
      </c>
      <c r="C1491" s="1" t="n">
        <v>45758</v>
      </c>
      <c r="D1491" t="inlineStr">
        <is>
          <t>STOCKHOLMS LÄN</t>
        </is>
      </c>
      <c r="E1491" t="inlineStr">
        <is>
          <t>NORRTÄLJE</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60073-2023</t>
        </is>
      </c>
      <c r="B1492" s="1" t="n">
        <v>45258</v>
      </c>
      <c r="C1492" s="1" t="n">
        <v>45758</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60492-2023</t>
        </is>
      </c>
      <c r="B1493" s="1" t="n">
        <v>45259</v>
      </c>
      <c r="C1493" s="1" t="n">
        <v>45758</v>
      </c>
      <c r="D1493" t="inlineStr">
        <is>
          <t>STOCKHOLMS LÄN</t>
        </is>
      </c>
      <c r="E1493" t="inlineStr">
        <is>
          <t>NORRTÄLJE</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60529-2023</t>
        </is>
      </c>
      <c r="B1494" s="1" t="n">
        <v>45259</v>
      </c>
      <c r="C1494" s="1" t="n">
        <v>45758</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60822-2023</t>
        </is>
      </c>
      <c r="B1495" s="1" t="n">
        <v>45259</v>
      </c>
      <c r="C1495" s="1" t="n">
        <v>45758</v>
      </c>
      <c r="D1495" t="inlineStr">
        <is>
          <t>STOCKHOLMS LÄN</t>
        </is>
      </c>
      <c r="E1495" t="inlineStr">
        <is>
          <t>NORRTÄLJE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60654-2023</t>
        </is>
      </c>
      <c r="B1496" s="1" t="n">
        <v>45260</v>
      </c>
      <c r="C1496" s="1" t="n">
        <v>45758</v>
      </c>
      <c r="D1496" t="inlineStr">
        <is>
          <t>STOCKHOLMS LÄN</t>
        </is>
      </c>
      <c r="E1496" t="inlineStr">
        <is>
          <t>NORRTÄLJE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60640-2023</t>
        </is>
      </c>
      <c r="B1497" s="1" t="n">
        <v>45260</v>
      </c>
      <c r="C1497" s="1" t="n">
        <v>45758</v>
      </c>
      <c r="D1497" t="inlineStr">
        <is>
          <t>STOCKHOLMS LÄN</t>
        </is>
      </c>
      <c r="E1497" t="inlineStr">
        <is>
          <t>NORRTÄLJE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60672-2023</t>
        </is>
      </c>
      <c r="B1498" s="1" t="n">
        <v>45260</v>
      </c>
      <c r="C1498" s="1" t="n">
        <v>45758</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60823-2023</t>
        </is>
      </c>
      <c r="B1499" s="1" t="n">
        <v>45260</v>
      </c>
      <c r="C1499" s="1" t="n">
        <v>45758</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60656-2023</t>
        </is>
      </c>
      <c r="B1500" s="1" t="n">
        <v>45260</v>
      </c>
      <c r="C1500" s="1" t="n">
        <v>45758</v>
      </c>
      <c r="D1500" t="inlineStr">
        <is>
          <t>STOCKHOLMS LÄN</t>
        </is>
      </c>
      <c r="E1500" t="inlineStr">
        <is>
          <t>NORRTÄLJE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60765-2023</t>
        </is>
      </c>
      <c r="B1501" s="1" t="n">
        <v>45260</v>
      </c>
      <c r="C1501" s="1" t="n">
        <v>45758</v>
      </c>
      <c r="D1501" t="inlineStr">
        <is>
          <t>STOCKHOLMS LÄN</t>
        </is>
      </c>
      <c r="E1501" t="inlineStr">
        <is>
          <t>NORRTÄLJE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61113-2023</t>
        </is>
      </c>
      <c r="B1502" s="1" t="n">
        <v>45261</v>
      </c>
      <c r="C1502" s="1" t="n">
        <v>45758</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62644-2023</t>
        </is>
      </c>
      <c r="B1503" s="1" t="n">
        <v>45271</v>
      </c>
      <c r="C1503" s="1" t="n">
        <v>45758</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62998-2023</t>
        </is>
      </c>
      <c r="B1504" s="1" t="n">
        <v>45272</v>
      </c>
      <c r="C1504" s="1" t="n">
        <v>45758</v>
      </c>
      <c r="D1504" t="inlineStr">
        <is>
          <t>STOCKHOLMS LÄN</t>
        </is>
      </c>
      <c r="E1504" t="inlineStr">
        <is>
          <t>NORRTÄLJE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63015-2023</t>
        </is>
      </c>
      <c r="B1505" s="1" t="n">
        <v>45272</v>
      </c>
      <c r="C1505" s="1" t="n">
        <v>45758</v>
      </c>
      <c r="D1505" t="inlineStr">
        <is>
          <t>STOCKHOLMS LÄN</t>
        </is>
      </c>
      <c r="E1505" t="inlineStr">
        <is>
          <t>NORRTÄLJE</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62971-2023</t>
        </is>
      </c>
      <c r="B1506" s="1" t="n">
        <v>45272</v>
      </c>
      <c r="C1506" s="1" t="n">
        <v>45758</v>
      </c>
      <c r="D1506" t="inlineStr">
        <is>
          <t>STOCKHOLMS LÄN</t>
        </is>
      </c>
      <c r="E1506" t="inlineStr">
        <is>
          <t>NORRTÄLJE</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63013-2023</t>
        </is>
      </c>
      <c r="B1507" s="1" t="n">
        <v>45272</v>
      </c>
      <c r="C1507" s="1" t="n">
        <v>45758</v>
      </c>
      <c r="D1507" t="inlineStr">
        <is>
          <t>STOCKHOLMS LÄN</t>
        </is>
      </c>
      <c r="E1507" t="inlineStr">
        <is>
          <t>NORRTÄLJE</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63161-2023</t>
        </is>
      </c>
      <c r="B1508" s="1" t="n">
        <v>45273</v>
      </c>
      <c r="C1508" s="1" t="n">
        <v>45758</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63655-2023</t>
        </is>
      </c>
      <c r="B1509" s="1" t="n">
        <v>45275</v>
      </c>
      <c r="C1509" s="1" t="n">
        <v>45758</v>
      </c>
      <c r="D1509" t="inlineStr">
        <is>
          <t>STOCKHOLMS LÄN</t>
        </is>
      </c>
      <c r="E1509" t="inlineStr">
        <is>
          <t>NORRTÄLJE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64902-2023</t>
        </is>
      </c>
      <c r="B1510" s="1" t="n">
        <v>45282</v>
      </c>
      <c r="C1510" s="1" t="n">
        <v>45758</v>
      </c>
      <c r="D1510" t="inlineStr">
        <is>
          <t>STOCKHOLMS LÄN</t>
        </is>
      </c>
      <c r="E1510" t="inlineStr">
        <is>
          <t>NORRTÄLJE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64899-2023</t>
        </is>
      </c>
      <c r="B1511" s="1" t="n">
        <v>45282</v>
      </c>
      <c r="C1511" s="1" t="n">
        <v>45758</v>
      </c>
      <c r="D1511" t="inlineStr">
        <is>
          <t>STOCKHOLMS LÄN</t>
        </is>
      </c>
      <c r="E1511" t="inlineStr">
        <is>
          <t>NORRTÄLJE</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9-2024</t>
        </is>
      </c>
      <c r="B1512" s="1" t="n">
        <v>45293</v>
      </c>
      <c r="C1512" s="1" t="n">
        <v>45758</v>
      </c>
      <c r="D1512" t="inlineStr">
        <is>
          <t>STOCKHOLMS LÄN</t>
        </is>
      </c>
      <c r="E1512" t="inlineStr">
        <is>
          <t>NORRTÄLJE</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13-2024</t>
        </is>
      </c>
      <c r="B1513" s="1" t="n">
        <v>45293</v>
      </c>
      <c r="C1513" s="1" t="n">
        <v>45758</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11-2024</t>
        </is>
      </c>
      <c r="B1514" s="1" t="n">
        <v>45293</v>
      </c>
      <c r="C1514" s="1" t="n">
        <v>45758</v>
      </c>
      <c r="D1514" t="inlineStr">
        <is>
          <t>STOCKHOLMS LÄN</t>
        </is>
      </c>
      <c r="E1514" t="inlineStr">
        <is>
          <t>NORRTÄLJE</t>
        </is>
      </c>
      <c r="F1514" t="inlineStr">
        <is>
          <t>Sveaskog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19-2024</t>
        </is>
      </c>
      <c r="B1515" s="1" t="n">
        <v>45293</v>
      </c>
      <c r="C1515" s="1" t="n">
        <v>45758</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329-2024</t>
        </is>
      </c>
      <c r="B1516" s="1" t="n">
        <v>45295</v>
      </c>
      <c r="C1516" s="1" t="n">
        <v>45758</v>
      </c>
      <c r="D1516" t="inlineStr">
        <is>
          <t>STOCKHOLMS LÄN</t>
        </is>
      </c>
      <c r="E1516" t="inlineStr">
        <is>
          <t>NORRTÄLJE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498-2024</t>
        </is>
      </c>
      <c r="B1517" s="1" t="n">
        <v>45299</v>
      </c>
      <c r="C1517" s="1" t="n">
        <v>45758</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577-2024</t>
        </is>
      </c>
      <c r="B1518" s="1" t="n">
        <v>45299</v>
      </c>
      <c r="C1518" s="1" t="n">
        <v>45758</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1372-2024</t>
        </is>
      </c>
      <c r="B1519" s="1" t="n">
        <v>45303</v>
      </c>
      <c r="C1519" s="1" t="n">
        <v>45758</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1996-2024</t>
        </is>
      </c>
      <c r="B1520" s="1" t="n">
        <v>45308</v>
      </c>
      <c r="C1520" s="1" t="n">
        <v>45758</v>
      </c>
      <c r="D1520" t="inlineStr">
        <is>
          <t>STOCKHOLMS LÄN</t>
        </is>
      </c>
      <c r="E1520" t="inlineStr">
        <is>
          <t>NORRTÄLJE</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2287-2024</t>
        </is>
      </c>
      <c r="B1521" s="1" t="n">
        <v>45310</v>
      </c>
      <c r="C1521" s="1" t="n">
        <v>45758</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2281-2024</t>
        </is>
      </c>
      <c r="B1522" s="1" t="n">
        <v>45310</v>
      </c>
      <c r="C1522" s="1" t="n">
        <v>45758</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2613-2024</t>
        </is>
      </c>
      <c r="B1523" s="1" t="n">
        <v>45313</v>
      </c>
      <c r="C1523" s="1" t="n">
        <v>45758</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2611-2024</t>
        </is>
      </c>
      <c r="B1524" s="1" t="n">
        <v>45313</v>
      </c>
      <c r="C1524" s="1" t="n">
        <v>45758</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3084-2024</t>
        </is>
      </c>
      <c r="B1525" s="1" t="n">
        <v>45316</v>
      </c>
      <c r="C1525" s="1" t="n">
        <v>45758</v>
      </c>
      <c r="D1525" t="inlineStr">
        <is>
          <t>STOCKHOLMS LÄN</t>
        </is>
      </c>
      <c r="E1525" t="inlineStr">
        <is>
          <t>NORRTÄLJE</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3152-2024</t>
        </is>
      </c>
      <c r="B1526" s="1" t="n">
        <v>45316</v>
      </c>
      <c r="C1526" s="1" t="n">
        <v>45758</v>
      </c>
      <c r="D1526" t="inlineStr">
        <is>
          <t>STOCKHOLMS LÄN</t>
        </is>
      </c>
      <c r="E1526" t="inlineStr">
        <is>
          <t>NORRTÄLJE</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3381-2024</t>
        </is>
      </c>
      <c r="B1527" s="1" t="n">
        <v>45317</v>
      </c>
      <c r="C1527" s="1" t="n">
        <v>45758</v>
      </c>
      <c r="D1527" t="inlineStr">
        <is>
          <t>STOCKHOLMS LÄN</t>
        </is>
      </c>
      <c r="E1527" t="inlineStr">
        <is>
          <t>NORRTÄLJE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3942-2024</t>
        </is>
      </c>
      <c r="B1528" s="1" t="n">
        <v>45322</v>
      </c>
      <c r="C1528" s="1" t="n">
        <v>45758</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3966-2024</t>
        </is>
      </c>
      <c r="B1529" s="1" t="n">
        <v>45322</v>
      </c>
      <c r="C1529" s="1" t="n">
        <v>45758</v>
      </c>
      <c r="D1529" t="inlineStr">
        <is>
          <t>STOCKHOLMS LÄN</t>
        </is>
      </c>
      <c r="E1529" t="inlineStr">
        <is>
          <t>NORRTÄLJE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4051-2024</t>
        </is>
      </c>
      <c r="B1530" s="1" t="n">
        <v>45323</v>
      </c>
      <c r="C1530" s="1" t="n">
        <v>45758</v>
      </c>
      <c r="D1530" t="inlineStr">
        <is>
          <t>STOCKHOLMS LÄN</t>
        </is>
      </c>
      <c r="E1530" t="inlineStr">
        <is>
          <t>NORRTÄLJE</t>
        </is>
      </c>
      <c r="F1530" t="inlineStr">
        <is>
          <t>Kyrkan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4542-2024</t>
        </is>
      </c>
      <c r="B1531" s="1" t="n">
        <v>45327</v>
      </c>
      <c r="C1531" s="1" t="n">
        <v>45758</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4658-2024</t>
        </is>
      </c>
      <c r="B1532" s="1" t="n">
        <v>45328</v>
      </c>
      <c r="C1532" s="1" t="n">
        <v>45758</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5158-2024</t>
        </is>
      </c>
      <c r="B1533" s="1" t="n">
        <v>45330</v>
      </c>
      <c r="C1533" s="1" t="n">
        <v>45758</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5670-2024</t>
        </is>
      </c>
      <c r="B1534" s="1" t="n">
        <v>45334</v>
      </c>
      <c r="C1534" s="1" t="n">
        <v>45758</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5664-2024</t>
        </is>
      </c>
      <c r="B1535" s="1" t="n">
        <v>45334</v>
      </c>
      <c r="C1535" s="1" t="n">
        <v>45758</v>
      </c>
      <c r="D1535" t="inlineStr">
        <is>
          <t>STOCKHOLMS LÄN</t>
        </is>
      </c>
      <c r="E1535" t="inlineStr">
        <is>
          <t>NORRTÄLJE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5683-2024</t>
        </is>
      </c>
      <c r="B1536" s="1" t="n">
        <v>45334</v>
      </c>
      <c r="C1536" s="1" t="n">
        <v>45758</v>
      </c>
      <c r="D1536" t="inlineStr">
        <is>
          <t>STOCKHOLMS LÄN</t>
        </is>
      </c>
      <c r="E1536" t="inlineStr">
        <is>
          <t>NORRTÄLJE</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5625-2024</t>
        </is>
      </c>
      <c r="B1537" s="1" t="n">
        <v>45334</v>
      </c>
      <c r="C1537" s="1" t="n">
        <v>45758</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5862-2024</t>
        </is>
      </c>
      <c r="B1538" s="1" t="n">
        <v>45335</v>
      </c>
      <c r="C1538" s="1" t="n">
        <v>45758</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5831-2024</t>
        </is>
      </c>
      <c r="B1539" s="1" t="n">
        <v>45335</v>
      </c>
      <c r="C1539" s="1" t="n">
        <v>45758</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5894-2024</t>
        </is>
      </c>
      <c r="B1540" s="1" t="n">
        <v>45335</v>
      </c>
      <c r="C1540" s="1" t="n">
        <v>45758</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6401-2024</t>
        </is>
      </c>
      <c r="B1541" s="1" t="n">
        <v>45338</v>
      </c>
      <c r="C1541" s="1" t="n">
        <v>45758</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6537-2024</t>
        </is>
      </c>
      <c r="B1542" s="1" t="n">
        <v>45341</v>
      </c>
      <c r="C1542" s="1" t="n">
        <v>45758</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7009-2024</t>
        </is>
      </c>
      <c r="B1543" s="1" t="n">
        <v>45343</v>
      </c>
      <c r="C1543" s="1" t="n">
        <v>45758</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7186-2024</t>
        </is>
      </c>
      <c r="B1544" s="1" t="n">
        <v>45344</v>
      </c>
      <c r="C1544" s="1" t="n">
        <v>45758</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7408-2024</t>
        </is>
      </c>
      <c r="B1545" s="1" t="n">
        <v>45345</v>
      </c>
      <c r="C1545" s="1" t="n">
        <v>45758</v>
      </c>
      <c r="D1545" t="inlineStr">
        <is>
          <t>STOCKHOLMS LÄN</t>
        </is>
      </c>
      <c r="E1545" t="inlineStr">
        <is>
          <t>NORRTÄLJE</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7573-2024</t>
        </is>
      </c>
      <c r="B1546" s="1" t="n">
        <v>45345</v>
      </c>
      <c r="C1546" s="1" t="n">
        <v>45758</v>
      </c>
      <c r="D1546" t="inlineStr">
        <is>
          <t>STOCKHOLMS LÄN</t>
        </is>
      </c>
      <c r="E1546" t="inlineStr">
        <is>
          <t>NORRTÄLJE</t>
        </is>
      </c>
      <c r="F1546" t="inlineStr">
        <is>
          <t>Övriga Aktiebolag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7425-2024</t>
        </is>
      </c>
      <c r="B1547" s="1" t="n">
        <v>45345</v>
      </c>
      <c r="C1547" s="1" t="n">
        <v>45758</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7413-2024</t>
        </is>
      </c>
      <c r="B1548" s="1" t="n">
        <v>45345</v>
      </c>
      <c r="C1548" s="1" t="n">
        <v>45758</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7385-2024</t>
        </is>
      </c>
      <c r="B1549" s="1" t="n">
        <v>45345</v>
      </c>
      <c r="C1549" s="1" t="n">
        <v>45758</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7329-2024</t>
        </is>
      </c>
      <c r="B1550" s="1" t="n">
        <v>45345</v>
      </c>
      <c r="C1550" s="1" t="n">
        <v>45758</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7483-2024</t>
        </is>
      </c>
      <c r="B1551" s="1" t="n">
        <v>45346</v>
      </c>
      <c r="C1551" s="1" t="n">
        <v>45758</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7571-2024</t>
        </is>
      </c>
      <c r="B1552" s="1" t="n">
        <v>45348</v>
      </c>
      <c r="C1552" s="1" t="n">
        <v>45758</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8270-2024</t>
        </is>
      </c>
      <c r="B1553" s="1" t="n">
        <v>45352</v>
      </c>
      <c r="C1553" s="1" t="n">
        <v>45758</v>
      </c>
      <c r="D1553" t="inlineStr">
        <is>
          <t>STOCKHOLMS LÄN</t>
        </is>
      </c>
      <c r="E1553" t="inlineStr">
        <is>
          <t>NORRTÄLJE</t>
        </is>
      </c>
      <c r="F1553" t="inlineStr">
        <is>
          <t>Kyrkan</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8399-2024</t>
        </is>
      </c>
      <c r="B1554" s="1" t="n">
        <v>45352</v>
      </c>
      <c r="C1554" s="1" t="n">
        <v>45758</v>
      </c>
      <c r="D1554" t="inlineStr">
        <is>
          <t>STOCKHOLMS LÄN</t>
        </is>
      </c>
      <c r="E1554" t="inlineStr">
        <is>
          <t>NORRTÄLJE</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8365-2024</t>
        </is>
      </c>
      <c r="B1555" s="1" t="n">
        <v>45352</v>
      </c>
      <c r="C1555" s="1" t="n">
        <v>45758</v>
      </c>
      <c r="D1555" t="inlineStr">
        <is>
          <t>STOCKHOLMS LÄN</t>
        </is>
      </c>
      <c r="E1555" t="inlineStr">
        <is>
          <t>NORRTÄLJE</t>
        </is>
      </c>
      <c r="F1555" t="inlineStr">
        <is>
          <t>Naturvårdsverket</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8400-2024</t>
        </is>
      </c>
      <c r="B1556" s="1" t="n">
        <v>45352</v>
      </c>
      <c r="C1556" s="1" t="n">
        <v>45758</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8401-2024</t>
        </is>
      </c>
      <c r="B1557" s="1" t="n">
        <v>45352</v>
      </c>
      <c r="C1557" s="1" t="n">
        <v>45758</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8739-2024</t>
        </is>
      </c>
      <c r="B1558" s="1" t="n">
        <v>45356</v>
      </c>
      <c r="C1558" s="1" t="n">
        <v>45758</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8736-2024</t>
        </is>
      </c>
      <c r="B1559" s="1" t="n">
        <v>45356</v>
      </c>
      <c r="C1559" s="1" t="n">
        <v>45758</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9246-2024</t>
        </is>
      </c>
      <c r="B1560" s="1" t="n">
        <v>45357</v>
      </c>
      <c r="C1560" s="1" t="n">
        <v>45758</v>
      </c>
      <c r="D1560" t="inlineStr">
        <is>
          <t>STOCKHOLMS LÄN</t>
        </is>
      </c>
      <c r="E1560" t="inlineStr">
        <is>
          <t>NORRTÄLJE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9300-2024</t>
        </is>
      </c>
      <c r="B1561" s="1" t="n">
        <v>45358</v>
      </c>
      <c r="C1561" s="1" t="n">
        <v>45758</v>
      </c>
      <c r="D1561" t="inlineStr">
        <is>
          <t>STOCKHOLMS LÄN</t>
        </is>
      </c>
      <c r="E1561" t="inlineStr">
        <is>
          <t>NORRTÄLJE</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9297-2024</t>
        </is>
      </c>
      <c r="B1562" s="1" t="n">
        <v>45358</v>
      </c>
      <c r="C1562" s="1" t="n">
        <v>45758</v>
      </c>
      <c r="D1562" t="inlineStr">
        <is>
          <t>STOCKHOLMS LÄN</t>
        </is>
      </c>
      <c r="E1562" t="inlineStr">
        <is>
          <t>NORRTÄLJE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9301-2024</t>
        </is>
      </c>
      <c r="B1563" s="1" t="n">
        <v>45358</v>
      </c>
      <c r="C1563" s="1" t="n">
        <v>45758</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9305-2024</t>
        </is>
      </c>
      <c r="B1564" s="1" t="n">
        <v>45358</v>
      </c>
      <c r="C1564" s="1" t="n">
        <v>45758</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9765-2024</t>
        </is>
      </c>
      <c r="B1565" s="1" t="n">
        <v>45362</v>
      </c>
      <c r="C1565" s="1" t="n">
        <v>45758</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9959-2024</t>
        </is>
      </c>
      <c r="B1566" s="1" t="n">
        <v>45363</v>
      </c>
      <c r="C1566" s="1" t="n">
        <v>45758</v>
      </c>
      <c r="D1566" t="inlineStr">
        <is>
          <t>STOCKHOLMS LÄN</t>
        </is>
      </c>
      <c r="E1566" t="inlineStr">
        <is>
          <t>NORRTÄLJE</t>
        </is>
      </c>
      <c r="F1566" t="inlineStr">
        <is>
          <t>Naturvårdsverket</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10258-2024</t>
        </is>
      </c>
      <c r="B1567" s="1" t="n">
        <v>45365</v>
      </c>
      <c r="C1567" s="1" t="n">
        <v>45758</v>
      </c>
      <c r="D1567" t="inlineStr">
        <is>
          <t>STOCKHOLMS LÄN</t>
        </is>
      </c>
      <c r="E1567" t="inlineStr">
        <is>
          <t>NORRTÄLJE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10279-2024</t>
        </is>
      </c>
      <c r="B1568" s="1" t="n">
        <v>45365</v>
      </c>
      <c r="C1568" s="1" t="n">
        <v>45758</v>
      </c>
      <c r="D1568" t="inlineStr">
        <is>
          <t>STOCKHOLMS LÄN</t>
        </is>
      </c>
      <c r="E1568" t="inlineStr">
        <is>
          <t>NORRTÄLJE</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10643-2024</t>
        </is>
      </c>
      <c r="B1569" s="1" t="n">
        <v>45367</v>
      </c>
      <c r="C1569" s="1" t="n">
        <v>45758</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10840-2024</t>
        </is>
      </c>
      <c r="B1570" s="1" t="n">
        <v>45369</v>
      </c>
      <c r="C1570" s="1" t="n">
        <v>45758</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10810-2024</t>
        </is>
      </c>
      <c r="B1571" s="1" t="n">
        <v>45369</v>
      </c>
      <c r="C1571" s="1" t="n">
        <v>45758</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10930-2024</t>
        </is>
      </c>
      <c r="B1572" s="1" t="n">
        <v>45370</v>
      </c>
      <c r="C1572" s="1" t="n">
        <v>45758</v>
      </c>
      <c r="D1572" t="inlineStr">
        <is>
          <t>STOCKHOLMS LÄN</t>
        </is>
      </c>
      <c r="E1572" t="inlineStr">
        <is>
          <t>NORRTÄLJE</t>
        </is>
      </c>
      <c r="G1572" t="n">
        <v>8.699999999999999</v>
      </c>
      <c r="H1572" t="n">
        <v>0</v>
      </c>
      <c r="I1572" t="n">
        <v>0</v>
      </c>
      <c r="J1572" t="n">
        <v>0</v>
      </c>
      <c r="K1572" t="n">
        <v>0</v>
      </c>
      <c r="L1572" t="n">
        <v>0</v>
      </c>
      <c r="M1572" t="n">
        <v>0</v>
      </c>
      <c r="N1572" t="n">
        <v>0</v>
      </c>
      <c r="O1572" t="n">
        <v>0</v>
      </c>
      <c r="P1572" t="n">
        <v>0</v>
      </c>
      <c r="Q1572" t="n">
        <v>0</v>
      </c>
      <c r="R1572" s="2" t="inlineStr"/>
      <c r="U1572">
        <f>HYPERLINK("https://klasma.github.io/Logging_0188/knärot/A 10930-2024 karta knärot.png", "A 10930-2024")</f>
        <v/>
      </c>
      <c r="V1572">
        <f>HYPERLINK("https://klasma.github.io/Logging_0188/klagomål/A 10930-2024 FSC-klagomål.docx", "A 10930-2024")</f>
        <v/>
      </c>
      <c r="W1572">
        <f>HYPERLINK("https://klasma.github.io/Logging_0188/klagomålsmail/A 10930-2024 FSC-klagomål mail.docx", "A 10930-2024")</f>
        <v/>
      </c>
      <c r="X1572">
        <f>HYPERLINK("https://klasma.github.io/Logging_0188/tillsyn/A 10930-2024 tillsynsbegäran.docx", "A 10930-2024")</f>
        <v/>
      </c>
      <c r="Y1572">
        <f>HYPERLINK("https://klasma.github.io/Logging_0188/tillsynsmail/A 10930-2024 tillsynsbegäran mail.docx", "A 10930-2024")</f>
        <v/>
      </c>
    </row>
    <row r="1573" ht="15" customHeight="1">
      <c r="A1573" t="inlineStr">
        <is>
          <t>A 11062-2024</t>
        </is>
      </c>
      <c r="B1573" s="1" t="n">
        <v>45370</v>
      </c>
      <c r="C1573" s="1" t="n">
        <v>45758</v>
      </c>
      <c r="D1573" t="inlineStr">
        <is>
          <t>STOCKHOLMS LÄN</t>
        </is>
      </c>
      <c r="E1573" t="inlineStr">
        <is>
          <t>NORRTÄLJE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10968-2024</t>
        </is>
      </c>
      <c r="B1574" s="1" t="n">
        <v>45370</v>
      </c>
      <c r="C1574" s="1" t="n">
        <v>45758</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11902-2024</t>
        </is>
      </c>
      <c r="B1575" s="1" t="n">
        <v>45376</v>
      </c>
      <c r="C1575" s="1" t="n">
        <v>45758</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11926-2024</t>
        </is>
      </c>
      <c r="B1576" s="1" t="n">
        <v>45376</v>
      </c>
      <c r="C1576" s="1" t="n">
        <v>45758</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11896-2024</t>
        </is>
      </c>
      <c r="B1577" s="1" t="n">
        <v>45376</v>
      </c>
      <c r="C1577" s="1" t="n">
        <v>45758</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11900-2024</t>
        </is>
      </c>
      <c r="B1578" s="1" t="n">
        <v>45376</v>
      </c>
      <c r="C1578" s="1" t="n">
        <v>45758</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11924-2024</t>
        </is>
      </c>
      <c r="B1579" s="1" t="n">
        <v>45376</v>
      </c>
      <c r="C1579" s="1" t="n">
        <v>45758</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11893-2024</t>
        </is>
      </c>
      <c r="B1580" s="1" t="n">
        <v>45376</v>
      </c>
      <c r="C1580" s="1" t="n">
        <v>45758</v>
      </c>
      <c r="D1580" t="inlineStr">
        <is>
          <t>STOCKHOLMS LÄN</t>
        </is>
      </c>
      <c r="E1580" t="inlineStr">
        <is>
          <t>NORRTÄLJE</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11901-2024</t>
        </is>
      </c>
      <c r="B1581" s="1" t="n">
        <v>45376</v>
      </c>
      <c r="C1581" s="1" t="n">
        <v>45758</v>
      </c>
      <c r="D1581" t="inlineStr">
        <is>
          <t>STOCKHOLMS LÄN</t>
        </is>
      </c>
      <c r="E1581" t="inlineStr">
        <is>
          <t>NORRTÄLJE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11929-2024</t>
        </is>
      </c>
      <c r="B1582" s="1" t="n">
        <v>45376</v>
      </c>
      <c r="C1582" s="1" t="n">
        <v>45758</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11996-2024</t>
        </is>
      </c>
      <c r="B1583" s="1" t="n">
        <v>45376</v>
      </c>
      <c r="C1583" s="1" t="n">
        <v>45758</v>
      </c>
      <c r="D1583" t="inlineStr">
        <is>
          <t>STOCKHOLMS LÄN</t>
        </is>
      </c>
      <c r="E1583" t="inlineStr">
        <is>
          <t>NORRTÄLJE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11997-2024</t>
        </is>
      </c>
      <c r="B1584" s="1" t="n">
        <v>45377</v>
      </c>
      <c r="C1584" s="1" t="n">
        <v>45758</v>
      </c>
      <c r="D1584" t="inlineStr">
        <is>
          <t>STOCKHOLMS LÄN</t>
        </is>
      </c>
      <c r="E1584" t="inlineStr">
        <is>
          <t>NORRTÄLJE</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12135-2024</t>
        </is>
      </c>
      <c r="B1585" s="1" t="n">
        <v>45377</v>
      </c>
      <c r="C1585" s="1" t="n">
        <v>45758</v>
      </c>
      <c r="D1585" t="inlineStr">
        <is>
          <t>STOCKHOLMS LÄN</t>
        </is>
      </c>
      <c r="E1585" t="inlineStr">
        <is>
          <t>NORRTÄLJE</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12022-2024</t>
        </is>
      </c>
      <c r="B1586" s="1" t="n">
        <v>45377</v>
      </c>
      <c r="C1586" s="1" t="n">
        <v>45758</v>
      </c>
      <c r="D1586" t="inlineStr">
        <is>
          <t>STOCKHOLMS LÄN</t>
        </is>
      </c>
      <c r="E1586" t="inlineStr">
        <is>
          <t>NORRTÄLJE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12323-2024</t>
        </is>
      </c>
      <c r="B1587" s="1" t="n">
        <v>45378</v>
      </c>
      <c r="C1587" s="1" t="n">
        <v>45758</v>
      </c>
      <c r="D1587" t="inlineStr">
        <is>
          <t>STOCKHOLMS LÄN</t>
        </is>
      </c>
      <c r="E1587" t="inlineStr">
        <is>
          <t>NORRTÄLJE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12470-2024</t>
        </is>
      </c>
      <c r="B1588" s="1" t="n">
        <v>45379</v>
      </c>
      <c r="C1588" s="1" t="n">
        <v>45758</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12560-2024</t>
        </is>
      </c>
      <c r="B1589" s="1" t="n">
        <v>45379</v>
      </c>
      <c r="C1589" s="1" t="n">
        <v>45758</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12629-2024</t>
        </is>
      </c>
      <c r="B1590" s="1" t="n">
        <v>45383</v>
      </c>
      <c r="C1590" s="1" t="n">
        <v>45758</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12896-2024</t>
        </is>
      </c>
      <c r="B1591" s="1" t="n">
        <v>45385</v>
      </c>
      <c r="C1591" s="1" t="n">
        <v>45758</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12904-2024</t>
        </is>
      </c>
      <c r="B1592" s="1" t="n">
        <v>45385</v>
      </c>
      <c r="C1592" s="1" t="n">
        <v>45758</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12901-2024</t>
        </is>
      </c>
      <c r="B1593" s="1" t="n">
        <v>45385</v>
      </c>
      <c r="C1593" s="1" t="n">
        <v>45758</v>
      </c>
      <c r="D1593" t="inlineStr">
        <is>
          <t>STOCKHOLMS LÄN</t>
        </is>
      </c>
      <c r="E1593" t="inlineStr">
        <is>
          <t>NORRTÄLJE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12890-2024</t>
        </is>
      </c>
      <c r="B1594" s="1" t="n">
        <v>45385</v>
      </c>
      <c r="C1594" s="1" t="n">
        <v>45758</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12902-2024</t>
        </is>
      </c>
      <c r="B1595" s="1" t="n">
        <v>45385</v>
      </c>
      <c r="C1595" s="1" t="n">
        <v>45758</v>
      </c>
      <c r="D1595" t="inlineStr">
        <is>
          <t>STOCKHOLMS LÄN</t>
        </is>
      </c>
      <c r="E1595" t="inlineStr">
        <is>
          <t>NORRTÄLJE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13115-2024</t>
        </is>
      </c>
      <c r="B1596" s="1" t="n">
        <v>45385</v>
      </c>
      <c r="C1596" s="1" t="n">
        <v>45758</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13137-2024</t>
        </is>
      </c>
      <c r="B1597" s="1" t="n">
        <v>45386</v>
      </c>
      <c r="C1597" s="1" t="n">
        <v>45758</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13241-2024</t>
        </is>
      </c>
      <c r="B1598" s="1" t="n">
        <v>45386</v>
      </c>
      <c r="C1598" s="1" t="n">
        <v>45758</v>
      </c>
      <c r="D1598" t="inlineStr">
        <is>
          <t>STOCKHOLMS LÄN</t>
        </is>
      </c>
      <c r="E1598" t="inlineStr">
        <is>
          <t>NORRTÄLJE</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13391-2024</t>
        </is>
      </c>
      <c r="B1599" s="1" t="n">
        <v>45387</v>
      </c>
      <c r="C1599" s="1" t="n">
        <v>45758</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13785-2024</t>
        </is>
      </c>
      <c r="B1600" s="1" t="n">
        <v>45391</v>
      </c>
      <c r="C1600" s="1" t="n">
        <v>45758</v>
      </c>
      <c r="D1600" t="inlineStr">
        <is>
          <t>STOCKHOLMS LÄN</t>
        </is>
      </c>
      <c r="E1600" t="inlineStr">
        <is>
          <t>NORRTÄLJE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14530-2024</t>
        </is>
      </c>
      <c r="B1601" s="1" t="n">
        <v>45394</v>
      </c>
      <c r="C1601" s="1" t="n">
        <v>45758</v>
      </c>
      <c r="D1601" t="inlineStr">
        <is>
          <t>STOCKHOLMS LÄN</t>
        </is>
      </c>
      <c r="E1601" t="inlineStr">
        <is>
          <t>NORRTÄLJE</t>
        </is>
      </c>
      <c r="F1601" t="inlineStr">
        <is>
          <t>Kyrkan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14498-2024</t>
        </is>
      </c>
      <c r="B1602" s="1" t="n">
        <v>45394</v>
      </c>
      <c r="C1602" s="1" t="n">
        <v>45758</v>
      </c>
      <c r="D1602" t="inlineStr">
        <is>
          <t>STOCKHOLMS LÄN</t>
        </is>
      </c>
      <c r="E1602" t="inlineStr">
        <is>
          <t>NORRTÄLJE</t>
        </is>
      </c>
      <c r="F1602" t="inlineStr">
        <is>
          <t>Kyrkan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14559-2024</t>
        </is>
      </c>
      <c r="B1603" s="1" t="n">
        <v>45394</v>
      </c>
      <c r="C1603" s="1" t="n">
        <v>45758</v>
      </c>
      <c r="D1603" t="inlineStr">
        <is>
          <t>STOCKHOLMS LÄN</t>
        </is>
      </c>
      <c r="E1603" t="inlineStr">
        <is>
          <t>NORRTÄLJE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14751-2024</t>
        </is>
      </c>
      <c r="B1604" s="1" t="n">
        <v>45397</v>
      </c>
      <c r="C1604" s="1" t="n">
        <v>45758</v>
      </c>
      <c r="D1604" t="inlineStr">
        <is>
          <t>STOCKHOLMS LÄN</t>
        </is>
      </c>
      <c r="E1604" t="inlineStr">
        <is>
          <t>NORRTÄLJE</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14762-2024</t>
        </is>
      </c>
      <c r="B1605" s="1" t="n">
        <v>45397</v>
      </c>
      <c r="C1605" s="1" t="n">
        <v>45758</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15347-2024</t>
        </is>
      </c>
      <c r="B1606" s="1" t="n">
        <v>45400</v>
      </c>
      <c r="C1606" s="1" t="n">
        <v>45758</v>
      </c>
      <c r="D1606" t="inlineStr">
        <is>
          <t>STOCKHOLMS LÄN</t>
        </is>
      </c>
      <c r="E1606" t="inlineStr">
        <is>
          <t>NORRTÄLJE</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15317-2024</t>
        </is>
      </c>
      <c r="B1607" s="1" t="n">
        <v>45400</v>
      </c>
      <c r="C1607" s="1" t="n">
        <v>45758</v>
      </c>
      <c r="D1607" t="inlineStr">
        <is>
          <t>STOCKHOLMS LÄN</t>
        </is>
      </c>
      <c r="E1607" t="inlineStr">
        <is>
          <t>NORRTÄLJE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15429-2024</t>
        </is>
      </c>
      <c r="B1608" s="1" t="n">
        <v>45401</v>
      </c>
      <c r="C1608" s="1" t="n">
        <v>45758</v>
      </c>
      <c r="D1608" t="inlineStr">
        <is>
          <t>STOCKHOLMS LÄN</t>
        </is>
      </c>
      <c r="E1608" t="inlineStr">
        <is>
          <t>NORRTÄLJE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15422-2024</t>
        </is>
      </c>
      <c r="B1609" s="1" t="n">
        <v>45401</v>
      </c>
      <c r="C1609" s="1" t="n">
        <v>45758</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15470-2024</t>
        </is>
      </c>
      <c r="B1610" s="1" t="n">
        <v>45401</v>
      </c>
      <c r="C1610" s="1" t="n">
        <v>45758</v>
      </c>
      <c r="D1610" t="inlineStr">
        <is>
          <t>STOCKHOLMS LÄN</t>
        </is>
      </c>
      <c r="E1610" t="inlineStr">
        <is>
          <t>NORRTÄLJE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15428-2024</t>
        </is>
      </c>
      <c r="B1611" s="1" t="n">
        <v>45401</v>
      </c>
      <c r="C1611" s="1" t="n">
        <v>45758</v>
      </c>
      <c r="D1611" t="inlineStr">
        <is>
          <t>STOCKHOLMS LÄN</t>
        </is>
      </c>
      <c r="E1611" t="inlineStr">
        <is>
          <t>NORRTÄLJE</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15415-2024</t>
        </is>
      </c>
      <c r="B1612" s="1" t="n">
        <v>45401</v>
      </c>
      <c r="C1612" s="1" t="n">
        <v>45758</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15956-2024</t>
        </is>
      </c>
      <c r="B1613" s="1" t="n">
        <v>45405</v>
      </c>
      <c r="C1613" s="1" t="n">
        <v>45758</v>
      </c>
      <c r="D1613" t="inlineStr">
        <is>
          <t>STOCKHOLMS LÄN</t>
        </is>
      </c>
      <c r="E1613" t="inlineStr">
        <is>
          <t>NORRTÄLJE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15978-2024</t>
        </is>
      </c>
      <c r="B1614" s="1" t="n">
        <v>45405</v>
      </c>
      <c r="C1614" s="1" t="n">
        <v>45758</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16072-2024</t>
        </is>
      </c>
      <c r="B1615" s="1" t="n">
        <v>45406</v>
      </c>
      <c r="C1615" s="1" t="n">
        <v>45758</v>
      </c>
      <c r="D1615" t="inlineStr">
        <is>
          <t>STOCKHOLMS LÄN</t>
        </is>
      </c>
      <c r="E1615" t="inlineStr">
        <is>
          <t>NORRTÄLJE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16071-2024</t>
        </is>
      </c>
      <c r="B1616" s="1" t="n">
        <v>45406</v>
      </c>
      <c r="C1616" s="1" t="n">
        <v>45758</v>
      </c>
      <c r="D1616" t="inlineStr">
        <is>
          <t>STOCKHOLMS LÄN</t>
        </is>
      </c>
      <c r="E1616" t="inlineStr">
        <is>
          <t>NORRTÄLJE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16075-2024</t>
        </is>
      </c>
      <c r="B1617" s="1" t="n">
        <v>45406</v>
      </c>
      <c r="C1617" s="1" t="n">
        <v>45758</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16620-2024</t>
        </is>
      </c>
      <c r="B1618" s="1" t="n">
        <v>45408</v>
      </c>
      <c r="C1618" s="1" t="n">
        <v>45758</v>
      </c>
      <c r="D1618" t="inlineStr">
        <is>
          <t>STOCKHOLMS LÄN</t>
        </is>
      </c>
      <c r="E1618" t="inlineStr">
        <is>
          <t>NORRTÄLJE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16852-2024</t>
        </is>
      </c>
      <c r="B1619" s="1" t="n">
        <v>45411</v>
      </c>
      <c r="C1619" s="1" t="n">
        <v>45758</v>
      </c>
      <c r="D1619" t="inlineStr">
        <is>
          <t>STOCKHOLMS LÄN</t>
        </is>
      </c>
      <c r="E1619" t="inlineStr">
        <is>
          <t>NORRTÄLJE</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17013-2024</t>
        </is>
      </c>
      <c r="B1620" s="1" t="n">
        <v>45412</v>
      </c>
      <c r="C1620" s="1" t="n">
        <v>45758</v>
      </c>
      <c r="D1620" t="inlineStr">
        <is>
          <t>STOCKHOLMS LÄN</t>
        </is>
      </c>
      <c r="E1620" t="inlineStr">
        <is>
          <t>NORRTÄLJE</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17039-2024</t>
        </is>
      </c>
      <c r="B1621" s="1" t="n">
        <v>45412</v>
      </c>
      <c r="C1621" s="1" t="n">
        <v>45758</v>
      </c>
      <c r="D1621" t="inlineStr">
        <is>
          <t>STOCKHOLMS LÄN</t>
        </is>
      </c>
      <c r="E1621" t="inlineStr">
        <is>
          <t>NORRTÄLJE</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17348-2024</t>
        </is>
      </c>
      <c r="B1622" s="1" t="n">
        <v>45414</v>
      </c>
      <c r="C1622" s="1" t="n">
        <v>45758</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17304-2024</t>
        </is>
      </c>
      <c r="B1623" s="1" t="n">
        <v>45414</v>
      </c>
      <c r="C1623" s="1" t="n">
        <v>45758</v>
      </c>
      <c r="D1623" t="inlineStr">
        <is>
          <t>STOCKHOLMS LÄN</t>
        </is>
      </c>
      <c r="E1623" t="inlineStr">
        <is>
          <t>NORRTÄLJE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17354-2024</t>
        </is>
      </c>
      <c r="B1624" s="1" t="n">
        <v>45414</v>
      </c>
      <c r="C1624" s="1" t="n">
        <v>45758</v>
      </c>
      <c r="D1624" t="inlineStr">
        <is>
          <t>STOCKHOLMS LÄN</t>
        </is>
      </c>
      <c r="E1624" t="inlineStr">
        <is>
          <t>NORRTÄLJE</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17385-2024</t>
        </is>
      </c>
      <c r="B1625" s="1" t="n">
        <v>45414</v>
      </c>
      <c r="C1625" s="1" t="n">
        <v>45758</v>
      </c>
      <c r="D1625" t="inlineStr">
        <is>
          <t>STOCKHOLMS LÄN</t>
        </is>
      </c>
      <c r="E1625" t="inlineStr">
        <is>
          <t>NORRTÄLJE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17382-2024</t>
        </is>
      </c>
      <c r="B1626" s="1" t="n">
        <v>45414</v>
      </c>
      <c r="C1626" s="1" t="n">
        <v>45758</v>
      </c>
      <c r="D1626" t="inlineStr">
        <is>
          <t>STOCKHOLMS LÄN</t>
        </is>
      </c>
      <c r="E1626" t="inlineStr">
        <is>
          <t>NORRTÄLJE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17397-2024</t>
        </is>
      </c>
      <c r="B1627" s="1" t="n">
        <v>45414</v>
      </c>
      <c r="C1627" s="1" t="n">
        <v>45758</v>
      </c>
      <c r="D1627" t="inlineStr">
        <is>
          <t>STOCKHOLMS LÄN</t>
        </is>
      </c>
      <c r="E1627" t="inlineStr">
        <is>
          <t>NORRTÄLJE</t>
        </is>
      </c>
      <c r="F1627" t="inlineStr">
        <is>
          <t>Holmen skog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17554-2024</t>
        </is>
      </c>
      <c r="B1628" s="1" t="n">
        <v>45415</v>
      </c>
      <c r="C1628" s="1" t="n">
        <v>45758</v>
      </c>
      <c r="D1628" t="inlineStr">
        <is>
          <t>STOCKHOLMS LÄN</t>
        </is>
      </c>
      <c r="E1628" t="inlineStr">
        <is>
          <t>NORRTÄLJE</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17775-2024</t>
        </is>
      </c>
      <c r="B1629" s="1" t="n">
        <v>45418</v>
      </c>
      <c r="C1629" s="1" t="n">
        <v>45758</v>
      </c>
      <c r="D1629" t="inlineStr">
        <is>
          <t>STOCKHOLMS LÄN</t>
        </is>
      </c>
      <c r="E1629" t="inlineStr">
        <is>
          <t>NORRTÄLJE</t>
        </is>
      </c>
      <c r="F1629" t="inlineStr">
        <is>
          <t>Holmen skog AB</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17785-2024</t>
        </is>
      </c>
      <c r="B1630" s="1" t="n">
        <v>45418</v>
      </c>
      <c r="C1630" s="1" t="n">
        <v>45758</v>
      </c>
      <c r="D1630" t="inlineStr">
        <is>
          <t>STOCKHOLMS LÄN</t>
        </is>
      </c>
      <c r="E1630" t="inlineStr">
        <is>
          <t>NORRTÄLJE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17843-2024</t>
        </is>
      </c>
      <c r="B1631" s="1" t="n">
        <v>45418</v>
      </c>
      <c r="C1631" s="1" t="n">
        <v>45758</v>
      </c>
      <c r="D1631" t="inlineStr">
        <is>
          <t>STOCKHOLMS LÄN</t>
        </is>
      </c>
      <c r="E1631" t="inlineStr">
        <is>
          <t>NORRTÄLJE</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18331-2024</t>
        </is>
      </c>
      <c r="B1632" s="1" t="n">
        <v>45422</v>
      </c>
      <c r="C1632" s="1" t="n">
        <v>45758</v>
      </c>
      <c r="D1632" t="inlineStr">
        <is>
          <t>STOCKHOLMS LÄN</t>
        </is>
      </c>
      <c r="E1632" t="inlineStr">
        <is>
          <t>NORRTÄLJE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18285-2024</t>
        </is>
      </c>
      <c r="B1633" s="1" t="n">
        <v>45422</v>
      </c>
      <c r="C1633" s="1" t="n">
        <v>45758</v>
      </c>
      <c r="D1633" t="inlineStr">
        <is>
          <t>STOCKHOLMS LÄN</t>
        </is>
      </c>
      <c r="E1633" t="inlineStr">
        <is>
          <t>NORRTÄLJE</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18287-2024</t>
        </is>
      </c>
      <c r="B1634" s="1" t="n">
        <v>45422</v>
      </c>
      <c r="C1634" s="1" t="n">
        <v>45758</v>
      </c>
      <c r="D1634" t="inlineStr">
        <is>
          <t>STOCKHOLMS LÄN</t>
        </is>
      </c>
      <c r="E1634" t="inlineStr">
        <is>
          <t>NORRTÄLJE</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19058-2024</t>
        </is>
      </c>
      <c r="B1635" s="1" t="n">
        <v>45427</v>
      </c>
      <c r="C1635" s="1" t="n">
        <v>45758</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19057-2024</t>
        </is>
      </c>
      <c r="B1636" s="1" t="n">
        <v>45427</v>
      </c>
      <c r="C1636" s="1" t="n">
        <v>45758</v>
      </c>
      <c r="D1636" t="inlineStr">
        <is>
          <t>STOCKHOLMS LÄN</t>
        </is>
      </c>
      <c r="E1636" t="inlineStr">
        <is>
          <t>NORRTÄLJE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19150-2024</t>
        </is>
      </c>
      <c r="B1637" s="1" t="n">
        <v>45428</v>
      </c>
      <c r="C1637" s="1" t="n">
        <v>45758</v>
      </c>
      <c r="D1637" t="inlineStr">
        <is>
          <t>STOCKHOLMS LÄN</t>
        </is>
      </c>
      <c r="E1637" t="inlineStr">
        <is>
          <t>NORRTÄLJE</t>
        </is>
      </c>
      <c r="F1637" t="inlineStr">
        <is>
          <t>Holmen skog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19915-2024</t>
        </is>
      </c>
      <c r="B1638" s="1" t="n">
        <v>45433</v>
      </c>
      <c r="C1638" s="1" t="n">
        <v>45758</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19919-2024</t>
        </is>
      </c>
      <c r="B1639" s="1" t="n">
        <v>45433</v>
      </c>
      <c r="C1639" s="1" t="n">
        <v>45758</v>
      </c>
      <c r="D1639" t="inlineStr">
        <is>
          <t>STOCKHOLMS LÄN</t>
        </is>
      </c>
      <c r="E1639" t="inlineStr">
        <is>
          <t>NORRTÄLJE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20336-2024</t>
        </is>
      </c>
      <c r="B1640" s="1" t="n">
        <v>45435</v>
      </c>
      <c r="C1640" s="1" t="n">
        <v>45758</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20345-2024</t>
        </is>
      </c>
      <c r="B1641" s="1" t="n">
        <v>45435</v>
      </c>
      <c r="C1641" s="1" t="n">
        <v>45758</v>
      </c>
      <c r="D1641" t="inlineStr">
        <is>
          <t>STOCKHOLMS LÄN</t>
        </is>
      </c>
      <c r="E1641" t="inlineStr">
        <is>
          <t>NORRTÄLJE</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20343-2024</t>
        </is>
      </c>
      <c r="B1642" s="1" t="n">
        <v>45435</v>
      </c>
      <c r="C1642" s="1" t="n">
        <v>45758</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20393-2024</t>
        </is>
      </c>
      <c r="B1643" s="1" t="n">
        <v>45435</v>
      </c>
      <c r="C1643" s="1" t="n">
        <v>45758</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20445-2024</t>
        </is>
      </c>
      <c r="B1644" s="1" t="n">
        <v>45435</v>
      </c>
      <c r="C1644" s="1" t="n">
        <v>45758</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20428-2024</t>
        </is>
      </c>
      <c r="B1645" s="1" t="n">
        <v>45435</v>
      </c>
      <c r="C1645" s="1" t="n">
        <v>45758</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20460-2024</t>
        </is>
      </c>
      <c r="B1646" s="1" t="n">
        <v>45435</v>
      </c>
      <c r="C1646" s="1" t="n">
        <v>45758</v>
      </c>
      <c r="D1646" t="inlineStr">
        <is>
          <t>STOCKHOLMS LÄN</t>
        </is>
      </c>
      <c r="E1646" t="inlineStr">
        <is>
          <t>NORRTÄLJE</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20464-2024</t>
        </is>
      </c>
      <c r="B1647" s="1" t="n">
        <v>45435</v>
      </c>
      <c r="C1647" s="1" t="n">
        <v>45758</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20431-2024</t>
        </is>
      </c>
      <c r="B1648" s="1" t="n">
        <v>45435</v>
      </c>
      <c r="C1648" s="1" t="n">
        <v>45758</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20680-2024</t>
        </is>
      </c>
      <c r="B1649" s="1" t="n">
        <v>45436</v>
      </c>
      <c r="C1649" s="1" t="n">
        <v>45758</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20698-2024</t>
        </is>
      </c>
      <c r="B1650" s="1" t="n">
        <v>45436</v>
      </c>
      <c r="C1650" s="1" t="n">
        <v>45758</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20730-2024</t>
        </is>
      </c>
      <c r="B1651" s="1" t="n">
        <v>45436</v>
      </c>
      <c r="C1651" s="1" t="n">
        <v>45758</v>
      </c>
      <c r="D1651" t="inlineStr">
        <is>
          <t>STOCKHOLMS LÄN</t>
        </is>
      </c>
      <c r="E1651" t="inlineStr">
        <is>
          <t>NORRTÄLJE</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20825-2024</t>
        </is>
      </c>
      <c r="B1652" s="1" t="n">
        <v>45439</v>
      </c>
      <c r="C1652" s="1" t="n">
        <v>45758</v>
      </c>
      <c r="D1652" t="inlineStr">
        <is>
          <t>STOCKHOLMS LÄN</t>
        </is>
      </c>
      <c r="E1652" t="inlineStr">
        <is>
          <t>NORRTÄLJE</t>
        </is>
      </c>
      <c r="F1652" t="inlineStr">
        <is>
          <t>Holmen skog AB</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20836-2024</t>
        </is>
      </c>
      <c r="B1653" s="1" t="n">
        <v>45439</v>
      </c>
      <c r="C1653" s="1" t="n">
        <v>45758</v>
      </c>
      <c r="D1653" t="inlineStr">
        <is>
          <t>STOCKHOLMS LÄN</t>
        </is>
      </c>
      <c r="E1653" t="inlineStr">
        <is>
          <t>NORRTÄLJE</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21066-2024</t>
        </is>
      </c>
      <c r="B1654" s="1" t="n">
        <v>45439</v>
      </c>
      <c r="C1654" s="1" t="n">
        <v>45758</v>
      </c>
      <c r="D1654" t="inlineStr">
        <is>
          <t>STOCKHOLMS LÄN</t>
        </is>
      </c>
      <c r="E1654" t="inlineStr">
        <is>
          <t>NORRTÄLJE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21729-2024</t>
        </is>
      </c>
      <c r="B1655" s="1" t="n">
        <v>45442</v>
      </c>
      <c r="C1655" s="1" t="n">
        <v>45758</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21696-2024</t>
        </is>
      </c>
      <c r="B1656" s="1" t="n">
        <v>45442</v>
      </c>
      <c r="C1656" s="1" t="n">
        <v>45758</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22008-2024</t>
        </is>
      </c>
      <c r="B1657" s="1" t="n">
        <v>45443</v>
      </c>
      <c r="C1657" s="1" t="n">
        <v>45758</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22232-2024</t>
        </is>
      </c>
      <c r="B1658" s="1" t="n">
        <v>45446</v>
      </c>
      <c r="C1658" s="1" t="n">
        <v>45758</v>
      </c>
      <c r="D1658" t="inlineStr">
        <is>
          <t>STOCKHOLMS LÄN</t>
        </is>
      </c>
      <c r="E1658" t="inlineStr">
        <is>
          <t>NORRTÄLJE</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22231-2024</t>
        </is>
      </c>
      <c r="B1659" s="1" t="n">
        <v>45446</v>
      </c>
      <c r="C1659" s="1" t="n">
        <v>45758</v>
      </c>
      <c r="D1659" t="inlineStr">
        <is>
          <t>STOCKHOLMS LÄN</t>
        </is>
      </c>
      <c r="E1659" t="inlineStr">
        <is>
          <t>NORRTÄLJE</t>
        </is>
      </c>
      <c r="F1659" t="inlineStr">
        <is>
          <t>Holmen skog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22833-2024</t>
        </is>
      </c>
      <c r="B1660" s="1" t="n">
        <v>45448</v>
      </c>
      <c r="C1660" s="1" t="n">
        <v>45758</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23018-2024</t>
        </is>
      </c>
      <c r="B1661" s="1" t="n">
        <v>45450</v>
      </c>
      <c r="C1661" s="1" t="n">
        <v>45758</v>
      </c>
      <c r="D1661" t="inlineStr">
        <is>
          <t>STOCKHOLMS LÄN</t>
        </is>
      </c>
      <c r="E1661" t="inlineStr">
        <is>
          <t>NORRTÄLJE</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23149-2024</t>
        </is>
      </c>
      <c r="B1662" s="1" t="n">
        <v>45450</v>
      </c>
      <c r="C1662" s="1" t="n">
        <v>45758</v>
      </c>
      <c r="D1662" t="inlineStr">
        <is>
          <t>STOCKHOLMS LÄN</t>
        </is>
      </c>
      <c r="E1662" t="inlineStr">
        <is>
          <t>NORRTÄLJE</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23150-2024</t>
        </is>
      </c>
      <c r="B1663" s="1" t="n">
        <v>45450</v>
      </c>
      <c r="C1663" s="1" t="n">
        <v>45758</v>
      </c>
      <c r="D1663" t="inlineStr">
        <is>
          <t>STOCKHOLMS LÄN</t>
        </is>
      </c>
      <c r="E1663" t="inlineStr">
        <is>
          <t>NORRTÄLJE</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23151-2024</t>
        </is>
      </c>
      <c r="B1664" s="1" t="n">
        <v>45450</v>
      </c>
      <c r="C1664" s="1" t="n">
        <v>45758</v>
      </c>
      <c r="D1664" t="inlineStr">
        <is>
          <t>STOCKHOLMS LÄN</t>
        </is>
      </c>
      <c r="E1664" t="inlineStr">
        <is>
          <t>NORRTÄLJE</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23307-2024</t>
        </is>
      </c>
      <c r="B1665" s="1" t="n">
        <v>45453</v>
      </c>
      <c r="C1665" s="1" t="n">
        <v>45758</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23683-2024</t>
        </is>
      </c>
      <c r="B1666" s="1" t="n">
        <v>45454</v>
      </c>
      <c r="C1666" s="1" t="n">
        <v>45758</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23692-2024</t>
        </is>
      </c>
      <c r="B1667" s="1" t="n">
        <v>45454</v>
      </c>
      <c r="C1667" s="1" t="n">
        <v>45758</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23572-2024</t>
        </is>
      </c>
      <c r="B1668" s="1" t="n">
        <v>45454</v>
      </c>
      <c r="C1668" s="1" t="n">
        <v>45758</v>
      </c>
      <c r="D1668" t="inlineStr">
        <is>
          <t>STOCKHOLMS LÄN</t>
        </is>
      </c>
      <c r="E1668" t="inlineStr">
        <is>
          <t>NORRTÄLJE</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23749-2024</t>
        </is>
      </c>
      <c r="B1669" s="1" t="n">
        <v>45455</v>
      </c>
      <c r="C1669" s="1" t="n">
        <v>45758</v>
      </c>
      <c r="D1669" t="inlineStr">
        <is>
          <t>STOCKHOLMS LÄN</t>
        </is>
      </c>
      <c r="E1669" t="inlineStr">
        <is>
          <t>NORRTÄLJE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23755-2024</t>
        </is>
      </c>
      <c r="B1670" s="1" t="n">
        <v>45455</v>
      </c>
      <c r="C1670" s="1" t="n">
        <v>45758</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23998-2024</t>
        </is>
      </c>
      <c r="B1671" s="1" t="n">
        <v>45456</v>
      </c>
      <c r="C1671" s="1" t="n">
        <v>45758</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24027-2024</t>
        </is>
      </c>
      <c r="B1672" s="1" t="n">
        <v>45456</v>
      </c>
      <c r="C1672" s="1" t="n">
        <v>45758</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24024-2024</t>
        </is>
      </c>
      <c r="B1673" s="1" t="n">
        <v>45456</v>
      </c>
      <c r="C1673" s="1" t="n">
        <v>45758</v>
      </c>
      <c r="D1673" t="inlineStr">
        <is>
          <t>STOCKHOLMS LÄN</t>
        </is>
      </c>
      <c r="E1673" t="inlineStr">
        <is>
          <t>NORRTÄLJE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23991-2024</t>
        </is>
      </c>
      <c r="B1674" s="1" t="n">
        <v>45456</v>
      </c>
      <c r="C1674" s="1" t="n">
        <v>45758</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24021-2024</t>
        </is>
      </c>
      <c r="B1675" s="1" t="n">
        <v>45456</v>
      </c>
      <c r="C1675" s="1" t="n">
        <v>45758</v>
      </c>
      <c r="D1675" t="inlineStr">
        <is>
          <t>STOCKHOLMS LÄN</t>
        </is>
      </c>
      <c r="E1675" t="inlineStr">
        <is>
          <t>NORRTÄLJE</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24022-2024</t>
        </is>
      </c>
      <c r="B1676" s="1" t="n">
        <v>45456</v>
      </c>
      <c r="C1676" s="1" t="n">
        <v>45758</v>
      </c>
      <c r="D1676" t="inlineStr">
        <is>
          <t>STOCKHOLMS LÄN</t>
        </is>
      </c>
      <c r="E1676" t="inlineStr">
        <is>
          <t>NORRTÄLJE</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24245-2024</t>
        </is>
      </c>
      <c r="B1677" s="1" t="n">
        <v>45457</v>
      </c>
      <c r="C1677" s="1" t="n">
        <v>45758</v>
      </c>
      <c r="D1677" t="inlineStr">
        <is>
          <t>STOCKHOLMS LÄN</t>
        </is>
      </c>
      <c r="E1677" t="inlineStr">
        <is>
          <t>NORRTÄLJE</t>
        </is>
      </c>
      <c r="F1677" t="inlineStr">
        <is>
          <t>Holmen skog AB</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24357-2024</t>
        </is>
      </c>
      <c r="B1678" s="1" t="n">
        <v>45457</v>
      </c>
      <c r="C1678" s="1" t="n">
        <v>45758</v>
      </c>
      <c r="D1678" t="inlineStr">
        <is>
          <t>STOCKHOLMS LÄN</t>
        </is>
      </c>
      <c r="E1678" t="inlineStr">
        <is>
          <t>NORRTÄLJE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24731-2024</t>
        </is>
      </c>
      <c r="B1679" s="1" t="n">
        <v>45460</v>
      </c>
      <c r="C1679" s="1" t="n">
        <v>45758</v>
      </c>
      <c r="D1679" t="inlineStr">
        <is>
          <t>STOCKHOLMS LÄN</t>
        </is>
      </c>
      <c r="E1679" t="inlineStr">
        <is>
          <t>NORRTÄLJE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24575-2024</t>
        </is>
      </c>
      <c r="B1680" s="1" t="n">
        <v>45460</v>
      </c>
      <c r="C1680" s="1" t="n">
        <v>45758</v>
      </c>
      <c r="D1680" t="inlineStr">
        <is>
          <t>STOCKHOLMS LÄN</t>
        </is>
      </c>
      <c r="E1680" t="inlineStr">
        <is>
          <t>NORRTÄLJE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24563-2024</t>
        </is>
      </c>
      <c r="B1681" s="1" t="n">
        <v>45460</v>
      </c>
      <c r="C1681" s="1" t="n">
        <v>45758</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24610-2024</t>
        </is>
      </c>
      <c r="B1682" s="1" t="n">
        <v>45460</v>
      </c>
      <c r="C1682" s="1" t="n">
        <v>45758</v>
      </c>
      <c r="D1682" t="inlineStr">
        <is>
          <t>STOCKHOLMS LÄN</t>
        </is>
      </c>
      <c r="E1682" t="inlineStr">
        <is>
          <t>NORRTÄLJE</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24730-2024</t>
        </is>
      </c>
      <c r="B1683" s="1" t="n">
        <v>45460</v>
      </c>
      <c r="C1683" s="1" t="n">
        <v>45758</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25301-2024</t>
        </is>
      </c>
      <c r="B1684" s="1" t="n">
        <v>45462</v>
      </c>
      <c r="C1684" s="1" t="n">
        <v>45758</v>
      </c>
      <c r="D1684" t="inlineStr">
        <is>
          <t>STOCKHOLMS LÄN</t>
        </is>
      </c>
      <c r="E1684" t="inlineStr">
        <is>
          <t>NORRTÄLJE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25055-2024</t>
        </is>
      </c>
      <c r="B1685" s="1" t="n">
        <v>45462</v>
      </c>
      <c r="C1685" s="1" t="n">
        <v>45758</v>
      </c>
      <c r="D1685" t="inlineStr">
        <is>
          <t>STOCKHOLMS LÄN</t>
        </is>
      </c>
      <c r="E1685" t="inlineStr">
        <is>
          <t>NORRTÄLJE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25565-2024</t>
        </is>
      </c>
      <c r="B1686" s="1" t="n">
        <v>45463</v>
      </c>
      <c r="C1686" s="1" t="n">
        <v>45758</v>
      </c>
      <c r="D1686" t="inlineStr">
        <is>
          <t>STOCKHOLMS LÄN</t>
        </is>
      </c>
      <c r="E1686" t="inlineStr">
        <is>
          <t>NORRTÄLJE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25681-2024</t>
        </is>
      </c>
      <c r="B1687" s="1" t="n">
        <v>45463</v>
      </c>
      <c r="C1687" s="1" t="n">
        <v>45758</v>
      </c>
      <c r="D1687" t="inlineStr">
        <is>
          <t>STOCKHOLMS LÄN</t>
        </is>
      </c>
      <c r="E1687" t="inlineStr">
        <is>
          <t>NORRTÄLJE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25817-2024</t>
        </is>
      </c>
      <c r="B1688" s="1" t="n">
        <v>45467</v>
      </c>
      <c r="C1688" s="1" t="n">
        <v>45758</v>
      </c>
      <c r="D1688" t="inlineStr">
        <is>
          <t>STOCKHOLMS LÄN</t>
        </is>
      </c>
      <c r="E1688" t="inlineStr">
        <is>
          <t>NORRTÄLJE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26116-2024</t>
        </is>
      </c>
      <c r="B1689" s="1" t="n">
        <v>45468</v>
      </c>
      <c r="C1689" s="1" t="n">
        <v>45758</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26115-2024</t>
        </is>
      </c>
      <c r="B1690" s="1" t="n">
        <v>45468</v>
      </c>
      <c r="C1690" s="1" t="n">
        <v>45758</v>
      </c>
      <c r="D1690" t="inlineStr">
        <is>
          <t>STOCKHOLMS LÄN</t>
        </is>
      </c>
      <c r="E1690" t="inlineStr">
        <is>
          <t>NORRTÄLJE</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26067-2024</t>
        </is>
      </c>
      <c r="B1691" s="1" t="n">
        <v>45468</v>
      </c>
      <c r="C1691" s="1" t="n">
        <v>45758</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26117-2024</t>
        </is>
      </c>
      <c r="B1692" s="1" t="n">
        <v>45468</v>
      </c>
      <c r="C1692" s="1" t="n">
        <v>45758</v>
      </c>
      <c r="D1692" t="inlineStr">
        <is>
          <t>STOCKHOLMS LÄN</t>
        </is>
      </c>
      <c r="E1692" t="inlineStr">
        <is>
          <t>NORRTÄLJE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26113-2024</t>
        </is>
      </c>
      <c r="B1693" s="1" t="n">
        <v>45468</v>
      </c>
      <c r="C1693" s="1" t="n">
        <v>45758</v>
      </c>
      <c r="D1693" t="inlineStr">
        <is>
          <t>STOCKHOLMS LÄN</t>
        </is>
      </c>
      <c r="E1693" t="inlineStr">
        <is>
          <t>NORRTÄLJE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26090-2024</t>
        </is>
      </c>
      <c r="B1694" s="1" t="n">
        <v>45468</v>
      </c>
      <c r="C1694" s="1" t="n">
        <v>45758</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26355-2024</t>
        </is>
      </c>
      <c r="B1695" s="1" t="n">
        <v>45469</v>
      </c>
      <c r="C1695" s="1" t="n">
        <v>45758</v>
      </c>
      <c r="D1695" t="inlineStr">
        <is>
          <t>STOCKHOLMS LÄN</t>
        </is>
      </c>
      <c r="E1695" t="inlineStr">
        <is>
          <t>NORRTÄLJE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26359-2024</t>
        </is>
      </c>
      <c r="B1696" s="1" t="n">
        <v>45469</v>
      </c>
      <c r="C1696" s="1" t="n">
        <v>45758</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26365-2024</t>
        </is>
      </c>
      <c r="B1697" s="1" t="n">
        <v>45469</v>
      </c>
      <c r="C1697" s="1" t="n">
        <v>45758</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26526-2024</t>
        </is>
      </c>
      <c r="B1698" s="1" t="n">
        <v>45469</v>
      </c>
      <c r="C1698" s="1" t="n">
        <v>45758</v>
      </c>
      <c r="D1698" t="inlineStr">
        <is>
          <t>STOCKHOLMS LÄN</t>
        </is>
      </c>
      <c r="E1698" t="inlineStr">
        <is>
          <t>NORRTÄLJE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26407-2024</t>
        </is>
      </c>
      <c r="B1699" s="1" t="n">
        <v>45469</v>
      </c>
      <c r="C1699" s="1" t="n">
        <v>45758</v>
      </c>
      <c r="D1699" t="inlineStr">
        <is>
          <t>STOCKHOLMS LÄN</t>
        </is>
      </c>
      <c r="E1699" t="inlineStr">
        <is>
          <t>NORRTÄLJE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26600-2024</t>
        </is>
      </c>
      <c r="B1700" s="1" t="n">
        <v>45469</v>
      </c>
      <c r="C1700" s="1" t="n">
        <v>45758</v>
      </c>
      <c r="D1700" t="inlineStr">
        <is>
          <t>STOCKHOLMS LÄN</t>
        </is>
      </c>
      <c r="E1700" t="inlineStr">
        <is>
          <t>NORRTÄLJE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26612-2024</t>
        </is>
      </c>
      <c r="B1701" s="1" t="n">
        <v>45469</v>
      </c>
      <c r="C1701" s="1" t="n">
        <v>45758</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26644-2024</t>
        </is>
      </c>
      <c r="B1702" s="1" t="n">
        <v>45469</v>
      </c>
      <c r="C1702" s="1" t="n">
        <v>45758</v>
      </c>
      <c r="D1702" t="inlineStr">
        <is>
          <t>STOCKHOLMS LÄN</t>
        </is>
      </c>
      <c r="E1702" t="inlineStr">
        <is>
          <t>NORRTÄLJE</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26668-2024</t>
        </is>
      </c>
      <c r="B1703" s="1" t="n">
        <v>45469</v>
      </c>
      <c r="C1703" s="1" t="n">
        <v>45758</v>
      </c>
      <c r="D1703" t="inlineStr">
        <is>
          <t>STOCKHOLMS LÄN</t>
        </is>
      </c>
      <c r="E1703" t="inlineStr">
        <is>
          <t>NORRTÄLJE</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26698-2024</t>
        </is>
      </c>
      <c r="B1704" s="1" t="n">
        <v>45470</v>
      </c>
      <c r="C1704" s="1" t="n">
        <v>45758</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27059-2024</t>
        </is>
      </c>
      <c r="B1705" s="1" t="n">
        <v>45471</v>
      </c>
      <c r="C1705" s="1" t="n">
        <v>45758</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27248-2024</t>
        </is>
      </c>
      <c r="B1706" s="1" t="n">
        <v>45471</v>
      </c>
      <c r="C1706" s="1" t="n">
        <v>45758</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27381-2024</t>
        </is>
      </c>
      <c r="B1707" s="1" t="n">
        <v>45474</v>
      </c>
      <c r="C1707" s="1" t="n">
        <v>45758</v>
      </c>
      <c r="D1707" t="inlineStr">
        <is>
          <t>STOCKHOLMS LÄN</t>
        </is>
      </c>
      <c r="E1707" t="inlineStr">
        <is>
          <t>NORRTÄLJE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27831-2024</t>
        </is>
      </c>
      <c r="B1708" s="1" t="n">
        <v>45475</v>
      </c>
      <c r="C1708" s="1" t="n">
        <v>45758</v>
      </c>
      <c r="D1708" t="inlineStr">
        <is>
          <t>STOCKHOLMS LÄN</t>
        </is>
      </c>
      <c r="E1708" t="inlineStr">
        <is>
          <t>NORRTÄLJE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28190-2024</t>
        </is>
      </c>
      <c r="B1709" s="1" t="n">
        <v>45477</v>
      </c>
      <c r="C1709" s="1" t="n">
        <v>45758</v>
      </c>
      <c r="D1709" t="inlineStr">
        <is>
          <t>STOCKHOLMS LÄN</t>
        </is>
      </c>
      <c r="E1709" t="inlineStr">
        <is>
          <t>NORRTÄLJE</t>
        </is>
      </c>
      <c r="F1709" t="inlineStr">
        <is>
          <t>Kyrkan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28245-2024</t>
        </is>
      </c>
      <c r="B1710" s="1" t="n">
        <v>45477</v>
      </c>
      <c r="C1710" s="1" t="n">
        <v>45758</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28200-2024</t>
        </is>
      </c>
      <c r="B1711" s="1" t="n">
        <v>45477</v>
      </c>
      <c r="C1711" s="1" t="n">
        <v>45758</v>
      </c>
      <c r="D1711" t="inlineStr">
        <is>
          <t>STOCKHOLMS LÄN</t>
        </is>
      </c>
      <c r="E1711" t="inlineStr">
        <is>
          <t>NORRTÄLJE</t>
        </is>
      </c>
      <c r="F1711" t="inlineStr">
        <is>
          <t>Kyrkan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28603-2024</t>
        </is>
      </c>
      <c r="B1712" s="1" t="n">
        <v>45478</v>
      </c>
      <c r="C1712" s="1" t="n">
        <v>45758</v>
      </c>
      <c r="D1712" t="inlineStr">
        <is>
          <t>STOCKHOLMS LÄN</t>
        </is>
      </c>
      <c r="E1712" t="inlineStr">
        <is>
          <t>NORRTÄLJE</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28764-2024</t>
        </is>
      </c>
      <c r="B1713" s="1" t="n">
        <v>45478</v>
      </c>
      <c r="C1713" s="1" t="n">
        <v>45758</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29210-2024</t>
        </is>
      </c>
      <c r="B1714" s="1" t="n">
        <v>45482</v>
      </c>
      <c r="C1714" s="1" t="n">
        <v>45758</v>
      </c>
      <c r="D1714" t="inlineStr">
        <is>
          <t>STOCKHOLMS LÄN</t>
        </is>
      </c>
      <c r="E1714" t="inlineStr">
        <is>
          <t>NORRTÄLJE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29176-2024</t>
        </is>
      </c>
      <c r="B1715" s="1" t="n">
        <v>45482</v>
      </c>
      <c r="C1715" s="1" t="n">
        <v>45758</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29369-2024</t>
        </is>
      </c>
      <c r="B1716" s="1" t="n">
        <v>45483</v>
      </c>
      <c r="C1716" s="1" t="n">
        <v>45758</v>
      </c>
      <c r="D1716" t="inlineStr">
        <is>
          <t>STOCKHOLMS LÄN</t>
        </is>
      </c>
      <c r="E1716" t="inlineStr">
        <is>
          <t>NORRTÄLJE</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29419-2024</t>
        </is>
      </c>
      <c r="B1717" s="1" t="n">
        <v>45483</v>
      </c>
      <c r="C1717" s="1" t="n">
        <v>45758</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29504-2024</t>
        </is>
      </c>
      <c r="B1718" s="1" t="n">
        <v>45484</v>
      </c>
      <c r="C1718" s="1" t="n">
        <v>45758</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29589-2024</t>
        </is>
      </c>
      <c r="B1719" s="1" t="n">
        <v>45484</v>
      </c>
      <c r="C1719" s="1" t="n">
        <v>45758</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29583-2024</t>
        </is>
      </c>
      <c r="B1720" s="1" t="n">
        <v>45484</v>
      </c>
      <c r="C1720" s="1" t="n">
        <v>45758</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29578-2024</t>
        </is>
      </c>
      <c r="B1721" s="1" t="n">
        <v>45484</v>
      </c>
      <c r="C1721" s="1" t="n">
        <v>45758</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29505-2024</t>
        </is>
      </c>
      <c r="B1722" s="1" t="n">
        <v>45484</v>
      </c>
      <c r="C1722" s="1" t="n">
        <v>45758</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29972-2024</t>
        </is>
      </c>
      <c r="B1723" s="1" t="n">
        <v>45485</v>
      </c>
      <c r="C1723" s="1" t="n">
        <v>45758</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29841-2024</t>
        </is>
      </c>
      <c r="B1724" s="1" t="n">
        <v>45485</v>
      </c>
      <c r="C1724" s="1" t="n">
        <v>45758</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30108-2024</t>
        </is>
      </c>
      <c r="B1725" s="1" t="n">
        <v>45487</v>
      </c>
      <c r="C1725" s="1" t="n">
        <v>45758</v>
      </c>
      <c r="D1725" t="inlineStr">
        <is>
          <t>STOCKHOLMS LÄN</t>
        </is>
      </c>
      <c r="E1725" t="inlineStr">
        <is>
          <t>NORRTÄLJE</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30033-2024</t>
        </is>
      </c>
      <c r="B1726" s="1" t="n">
        <v>45488</v>
      </c>
      <c r="C1726" s="1" t="n">
        <v>45758</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29994-2024</t>
        </is>
      </c>
      <c r="B1727" s="1" t="n">
        <v>45488</v>
      </c>
      <c r="C1727" s="1" t="n">
        <v>45758</v>
      </c>
      <c r="D1727" t="inlineStr">
        <is>
          <t>STOCKHOLMS LÄN</t>
        </is>
      </c>
      <c r="E1727" t="inlineStr">
        <is>
          <t>NORRTÄLJE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30096-2024</t>
        </is>
      </c>
      <c r="B1728" s="1" t="n">
        <v>45489</v>
      </c>
      <c r="C1728" s="1" t="n">
        <v>45758</v>
      </c>
      <c r="D1728" t="inlineStr">
        <is>
          <t>STOCKHOLMS LÄN</t>
        </is>
      </c>
      <c r="E1728" t="inlineStr">
        <is>
          <t>NORRTÄLJE</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30221-2024</t>
        </is>
      </c>
      <c r="B1729" s="1" t="n">
        <v>45490</v>
      </c>
      <c r="C1729" s="1" t="n">
        <v>45758</v>
      </c>
      <c r="D1729" t="inlineStr">
        <is>
          <t>STOCKHOLMS LÄN</t>
        </is>
      </c>
      <c r="E1729" t="inlineStr">
        <is>
          <t>NORRTÄLJE</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30268-2024</t>
        </is>
      </c>
      <c r="B1730" s="1" t="n">
        <v>45490</v>
      </c>
      <c r="C1730" s="1" t="n">
        <v>45758</v>
      </c>
      <c r="D1730" t="inlineStr">
        <is>
          <t>STOCKHOLMS LÄN</t>
        </is>
      </c>
      <c r="E1730" t="inlineStr">
        <is>
          <t>NORRTÄLJE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30323-2024</t>
        </is>
      </c>
      <c r="B1731" s="1" t="n">
        <v>45490</v>
      </c>
      <c r="C1731" s="1" t="n">
        <v>45758</v>
      </c>
      <c r="D1731" t="inlineStr">
        <is>
          <t>STOCKHOLMS LÄN</t>
        </is>
      </c>
      <c r="E1731" t="inlineStr">
        <is>
          <t>NORRTÄLJE</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30396-2024</t>
        </is>
      </c>
      <c r="B1732" s="1" t="n">
        <v>45491</v>
      </c>
      <c r="C1732" s="1" t="n">
        <v>45758</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30553-2024</t>
        </is>
      </c>
      <c r="B1733" s="1" t="n">
        <v>45492</v>
      </c>
      <c r="C1733" s="1" t="n">
        <v>45758</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30666-2024</t>
        </is>
      </c>
      <c r="B1734" s="1" t="n">
        <v>45495</v>
      </c>
      <c r="C1734" s="1" t="n">
        <v>45758</v>
      </c>
      <c r="D1734" t="inlineStr">
        <is>
          <t>STOCKHOLMS LÄN</t>
        </is>
      </c>
      <c r="E1734" t="inlineStr">
        <is>
          <t>NORRTÄLJE</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30963-2024</t>
        </is>
      </c>
      <c r="B1735" s="1" t="n">
        <v>45499</v>
      </c>
      <c r="C1735" s="1" t="n">
        <v>45758</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30995-2024</t>
        </is>
      </c>
      <c r="B1736" s="1" t="n">
        <v>45499</v>
      </c>
      <c r="C1736" s="1" t="n">
        <v>45758</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31027-2024</t>
        </is>
      </c>
      <c r="B1737" s="1" t="n">
        <v>45501</v>
      </c>
      <c r="C1737" s="1" t="n">
        <v>45758</v>
      </c>
      <c r="D1737" t="inlineStr">
        <is>
          <t>STOCKHOLMS LÄN</t>
        </is>
      </c>
      <c r="E1737" t="inlineStr">
        <is>
          <t>NORRTÄLJE</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31228-2024</t>
        </is>
      </c>
      <c r="B1738" s="1" t="n">
        <v>45503</v>
      </c>
      <c r="C1738" s="1" t="n">
        <v>45758</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31232-2024</t>
        </is>
      </c>
      <c r="B1739" s="1" t="n">
        <v>45503</v>
      </c>
      <c r="C1739" s="1" t="n">
        <v>45758</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31343-2024</t>
        </is>
      </c>
      <c r="B1740" s="1" t="n">
        <v>45504</v>
      </c>
      <c r="C1740" s="1" t="n">
        <v>45758</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31311-2024</t>
        </is>
      </c>
      <c r="B1741" s="1" t="n">
        <v>45504</v>
      </c>
      <c r="C1741" s="1" t="n">
        <v>45758</v>
      </c>
      <c r="D1741" t="inlineStr">
        <is>
          <t>STOCKHOLMS LÄN</t>
        </is>
      </c>
      <c r="E1741" t="inlineStr">
        <is>
          <t>NORRTÄLJE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31279-2024</t>
        </is>
      </c>
      <c r="B1742" s="1" t="n">
        <v>45504</v>
      </c>
      <c r="C1742" s="1" t="n">
        <v>45758</v>
      </c>
      <c r="D1742" t="inlineStr">
        <is>
          <t>STOCKHOLMS LÄN</t>
        </is>
      </c>
      <c r="E1742" t="inlineStr">
        <is>
          <t>NORRTÄLJE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32874-2024</t>
        </is>
      </c>
      <c r="B1743" s="1" t="n">
        <v>45516</v>
      </c>
      <c r="C1743" s="1" t="n">
        <v>45758</v>
      </c>
      <c r="D1743" t="inlineStr">
        <is>
          <t>STOCKHOLMS LÄN</t>
        </is>
      </c>
      <c r="E1743" t="inlineStr">
        <is>
          <t>NORRTÄLJE</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32706-2024</t>
        </is>
      </c>
      <c r="B1744" s="1" t="n">
        <v>45516</v>
      </c>
      <c r="C1744" s="1" t="n">
        <v>45758</v>
      </c>
      <c r="D1744" t="inlineStr">
        <is>
          <t>STOCKHOLMS LÄN</t>
        </is>
      </c>
      <c r="E1744" t="inlineStr">
        <is>
          <t>NORRTÄLJE</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33173-2024</t>
        </is>
      </c>
      <c r="B1745" s="1" t="n">
        <v>45518</v>
      </c>
      <c r="C1745" s="1" t="n">
        <v>45758</v>
      </c>
      <c r="D1745" t="inlineStr">
        <is>
          <t>STOCKHOLMS LÄN</t>
        </is>
      </c>
      <c r="E1745" t="inlineStr">
        <is>
          <t>NORRTÄLJE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33226-2024</t>
        </is>
      </c>
      <c r="B1746" s="1" t="n">
        <v>45518</v>
      </c>
      <c r="C1746" s="1" t="n">
        <v>45758</v>
      </c>
      <c r="D1746" t="inlineStr">
        <is>
          <t>STOCKHOLMS LÄN</t>
        </is>
      </c>
      <c r="E1746" t="inlineStr">
        <is>
          <t>NORRTÄLJE</t>
        </is>
      </c>
      <c r="G1746" t="n">
        <v>13.8</v>
      </c>
      <c r="H1746" t="n">
        <v>0</v>
      </c>
      <c r="I1746" t="n">
        <v>0</v>
      </c>
      <c r="J1746" t="n">
        <v>0</v>
      </c>
      <c r="K1746" t="n">
        <v>0</v>
      </c>
      <c r="L1746" t="n">
        <v>0</v>
      </c>
      <c r="M1746" t="n">
        <v>0</v>
      </c>
      <c r="N1746" t="n">
        <v>0</v>
      </c>
      <c r="O1746" t="n">
        <v>0</v>
      </c>
      <c r="P1746" t="n">
        <v>0</v>
      </c>
      <c r="Q1746" t="n">
        <v>0</v>
      </c>
      <c r="R1746" s="2" t="inlineStr"/>
    </row>
    <row r="1747" ht="15" customHeight="1">
      <c r="A1747" t="inlineStr">
        <is>
          <t>A 33175-2024</t>
        </is>
      </c>
      <c r="B1747" s="1" t="n">
        <v>45518</v>
      </c>
      <c r="C1747" s="1" t="n">
        <v>45758</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33385-2024</t>
        </is>
      </c>
      <c r="B1748" s="1" t="n">
        <v>45519</v>
      </c>
      <c r="C1748" s="1" t="n">
        <v>45758</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33592-2024</t>
        </is>
      </c>
      <c r="B1749" s="1" t="n">
        <v>45520</v>
      </c>
      <c r="C1749" s="1" t="n">
        <v>45758</v>
      </c>
      <c r="D1749" t="inlineStr">
        <is>
          <t>STOCKHOLMS LÄN</t>
        </is>
      </c>
      <c r="E1749" t="inlineStr">
        <is>
          <t>NORRTÄLJE</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33878-2024</t>
        </is>
      </c>
      <c r="B1750" s="1" t="n">
        <v>45522</v>
      </c>
      <c r="C1750" s="1" t="n">
        <v>45758</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34295-2024</t>
        </is>
      </c>
      <c r="B1751" s="1" t="n">
        <v>45524</v>
      </c>
      <c r="C1751" s="1" t="n">
        <v>45758</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34444-2024</t>
        </is>
      </c>
      <c r="B1752" s="1" t="n">
        <v>45525</v>
      </c>
      <c r="C1752" s="1" t="n">
        <v>45758</v>
      </c>
      <c r="D1752" t="inlineStr">
        <is>
          <t>STOCKHOLMS LÄN</t>
        </is>
      </c>
      <c r="E1752" t="inlineStr">
        <is>
          <t>NORRTÄLJE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34547-2024</t>
        </is>
      </c>
      <c r="B1753" s="1" t="n">
        <v>45525</v>
      </c>
      <c r="C1753" s="1" t="n">
        <v>45758</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34583-2024</t>
        </is>
      </c>
      <c r="B1754" s="1" t="n">
        <v>45526</v>
      </c>
      <c r="C1754" s="1" t="n">
        <v>45758</v>
      </c>
      <c r="D1754" t="inlineStr">
        <is>
          <t>STOCKHOLMS LÄN</t>
        </is>
      </c>
      <c r="E1754" t="inlineStr">
        <is>
          <t>NORRTÄLJE</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35239-2024</t>
        </is>
      </c>
      <c r="B1755" s="1" t="n">
        <v>45530</v>
      </c>
      <c r="C1755" s="1" t="n">
        <v>45758</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35235-2024</t>
        </is>
      </c>
      <c r="B1756" s="1" t="n">
        <v>45530</v>
      </c>
      <c r="C1756" s="1" t="n">
        <v>45758</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35532-2024</t>
        </is>
      </c>
      <c r="B1757" s="1" t="n">
        <v>45531</v>
      </c>
      <c r="C1757" s="1" t="n">
        <v>45758</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35467-2024</t>
        </is>
      </c>
      <c r="B1758" s="1" t="n">
        <v>45531</v>
      </c>
      <c r="C1758" s="1" t="n">
        <v>45758</v>
      </c>
      <c r="D1758" t="inlineStr">
        <is>
          <t>STOCKHOLMS LÄN</t>
        </is>
      </c>
      <c r="E1758" t="inlineStr">
        <is>
          <t>NORRTÄLJE</t>
        </is>
      </c>
      <c r="F1758" t="inlineStr">
        <is>
          <t>Holmen skog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35640-2024</t>
        </is>
      </c>
      <c r="B1759" s="1" t="n">
        <v>45531</v>
      </c>
      <c r="C1759" s="1" t="n">
        <v>45758</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35719-2024</t>
        </is>
      </c>
      <c r="B1760" s="1" t="n">
        <v>45532</v>
      </c>
      <c r="C1760" s="1" t="n">
        <v>45758</v>
      </c>
      <c r="D1760" t="inlineStr">
        <is>
          <t>STOCKHOLMS LÄN</t>
        </is>
      </c>
      <c r="E1760" t="inlineStr">
        <is>
          <t>NORRTÄLJE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35782-2024</t>
        </is>
      </c>
      <c r="B1761" s="1" t="n">
        <v>45532</v>
      </c>
      <c r="C1761" s="1" t="n">
        <v>45758</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35647-2024</t>
        </is>
      </c>
      <c r="B1762" s="1" t="n">
        <v>45532</v>
      </c>
      <c r="C1762" s="1" t="n">
        <v>45758</v>
      </c>
      <c r="D1762" t="inlineStr">
        <is>
          <t>STOCKHOLMS LÄN</t>
        </is>
      </c>
      <c r="E1762" t="inlineStr">
        <is>
          <t>NORRTÄLJE</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35916-2024</t>
        </is>
      </c>
      <c r="B1763" s="1" t="n">
        <v>45533</v>
      </c>
      <c r="C1763" s="1" t="n">
        <v>45758</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36157-2024</t>
        </is>
      </c>
      <c r="B1764" s="1" t="n">
        <v>45534</v>
      </c>
      <c r="C1764" s="1" t="n">
        <v>45758</v>
      </c>
      <c r="D1764" t="inlineStr">
        <is>
          <t>STOCKHOLMS LÄN</t>
        </is>
      </c>
      <c r="E1764" t="inlineStr">
        <is>
          <t>NORRTÄLJE</t>
        </is>
      </c>
      <c r="F1764" t="inlineStr">
        <is>
          <t>Övriga Aktiebolag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36430-2024</t>
        </is>
      </c>
      <c r="B1765" s="1" t="n">
        <v>45536</v>
      </c>
      <c r="C1765" s="1" t="n">
        <v>45758</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36556-2024</t>
        </is>
      </c>
      <c r="B1766" s="1" t="n">
        <v>45537</v>
      </c>
      <c r="C1766" s="1" t="n">
        <v>45758</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36625-2024</t>
        </is>
      </c>
      <c r="B1767" s="1" t="n">
        <v>45537</v>
      </c>
      <c r="C1767" s="1" t="n">
        <v>45758</v>
      </c>
      <c r="D1767" t="inlineStr">
        <is>
          <t>STOCKHOLMS LÄN</t>
        </is>
      </c>
      <c r="E1767" t="inlineStr">
        <is>
          <t>NORRTÄLJE</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37273-2024</t>
        </is>
      </c>
      <c r="B1768" s="1" t="n">
        <v>45540</v>
      </c>
      <c r="C1768" s="1" t="n">
        <v>45758</v>
      </c>
      <c r="D1768" t="inlineStr">
        <is>
          <t>STOCKHOLMS LÄN</t>
        </is>
      </c>
      <c r="E1768" t="inlineStr">
        <is>
          <t>NORRTÄLJE</t>
        </is>
      </c>
      <c r="F1768" t="inlineStr">
        <is>
          <t>Sveaskog</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37663-2024</t>
        </is>
      </c>
      <c r="B1769" s="1" t="n">
        <v>45541</v>
      </c>
      <c r="C1769" s="1" t="n">
        <v>45758</v>
      </c>
      <c r="D1769" t="inlineStr">
        <is>
          <t>STOCKHOLMS LÄN</t>
        </is>
      </c>
      <c r="E1769" t="inlineStr">
        <is>
          <t>NORRTÄLJE</t>
        </is>
      </c>
      <c r="F1769" t="inlineStr">
        <is>
          <t>Holmen skog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37684-2024</t>
        </is>
      </c>
      <c r="B1770" s="1" t="n">
        <v>45541</v>
      </c>
      <c r="C1770" s="1" t="n">
        <v>45758</v>
      </c>
      <c r="D1770" t="inlineStr">
        <is>
          <t>STOCKHOLMS LÄN</t>
        </is>
      </c>
      <c r="E1770" t="inlineStr">
        <is>
          <t>NORRTÄLJE</t>
        </is>
      </c>
      <c r="F1770" t="inlineStr">
        <is>
          <t>Holmen skog AB</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37980-2024</t>
        </is>
      </c>
      <c r="B1771" s="1" t="n">
        <v>45544</v>
      </c>
      <c r="C1771" s="1" t="n">
        <v>45758</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38073-2024</t>
        </is>
      </c>
      <c r="B1772" s="1" t="n">
        <v>45544</v>
      </c>
      <c r="C1772" s="1" t="n">
        <v>45758</v>
      </c>
      <c r="D1772" t="inlineStr">
        <is>
          <t>STOCKHOLMS LÄN</t>
        </is>
      </c>
      <c r="E1772" t="inlineStr">
        <is>
          <t>NORRTÄLJE</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38878-2024</t>
        </is>
      </c>
      <c r="B1773" s="1" t="n">
        <v>45547</v>
      </c>
      <c r="C1773" s="1" t="n">
        <v>45758</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38889-2024</t>
        </is>
      </c>
      <c r="B1774" s="1" t="n">
        <v>45547</v>
      </c>
      <c r="C1774" s="1" t="n">
        <v>45758</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39203-2024</t>
        </is>
      </c>
      <c r="B1775" s="1" t="n">
        <v>45548</v>
      </c>
      <c r="C1775" s="1" t="n">
        <v>45758</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v>
      </c>
      <c r="C1776" s="1" t="n">
        <v>45758</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39238-2024</t>
        </is>
      </c>
      <c r="B1777" s="1" t="n">
        <v>45549</v>
      </c>
      <c r="C1777" s="1" t="n">
        <v>45758</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39237-2024</t>
        </is>
      </c>
      <c r="B1778" s="1" t="n">
        <v>45549</v>
      </c>
      <c r="C1778" s="1" t="n">
        <v>45758</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39669-2024</t>
        </is>
      </c>
      <c r="B1779" s="1" t="n">
        <v>45552</v>
      </c>
      <c r="C1779" s="1" t="n">
        <v>45758</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39667-2024</t>
        </is>
      </c>
      <c r="B1780" s="1" t="n">
        <v>45552</v>
      </c>
      <c r="C1780" s="1" t="n">
        <v>45758</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39913-2024</t>
        </is>
      </c>
      <c r="B1781" s="1" t="n">
        <v>45553</v>
      </c>
      <c r="C1781" s="1" t="n">
        <v>45758</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40175-2024</t>
        </is>
      </c>
      <c r="B1782" s="1" t="n">
        <v>45554</v>
      </c>
      <c r="C1782" s="1" t="n">
        <v>45758</v>
      </c>
      <c r="D1782" t="inlineStr">
        <is>
          <t>STOCKHOLMS LÄN</t>
        </is>
      </c>
      <c r="E1782" t="inlineStr">
        <is>
          <t>NORRTÄLJE</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40761-2024</t>
        </is>
      </c>
      <c r="B1783" s="1" t="n">
        <v>45558</v>
      </c>
      <c r="C1783" s="1" t="n">
        <v>45758</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41219-2024</t>
        </is>
      </c>
      <c r="B1784" s="1" t="n">
        <v>45559</v>
      </c>
      <c r="C1784" s="1" t="n">
        <v>45758</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41218-2024</t>
        </is>
      </c>
      <c r="B1785" s="1" t="n">
        <v>45559</v>
      </c>
      <c r="C1785" s="1" t="n">
        <v>45758</v>
      </c>
      <c r="D1785" t="inlineStr">
        <is>
          <t>STOCKHOLMS LÄN</t>
        </is>
      </c>
      <c r="E1785" t="inlineStr">
        <is>
          <t>NORRTÄLJE</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41243-2024</t>
        </is>
      </c>
      <c r="B1786" s="1" t="n">
        <v>45559</v>
      </c>
      <c r="C1786" s="1" t="n">
        <v>45758</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41253-2024</t>
        </is>
      </c>
      <c r="B1787" s="1" t="n">
        <v>45559</v>
      </c>
      <c r="C1787" s="1" t="n">
        <v>45758</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41310-2024</t>
        </is>
      </c>
      <c r="B1788" s="1" t="n">
        <v>45559</v>
      </c>
      <c r="C1788" s="1" t="n">
        <v>45758</v>
      </c>
      <c r="D1788" t="inlineStr">
        <is>
          <t>STOCKHOLMS LÄN</t>
        </is>
      </c>
      <c r="E1788" t="inlineStr">
        <is>
          <t>NORRTÄLJE</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41342-2024</t>
        </is>
      </c>
      <c r="B1789" s="1" t="n">
        <v>45559</v>
      </c>
      <c r="C1789" s="1" t="n">
        <v>45758</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41976-2024</t>
        </is>
      </c>
      <c r="B1790" s="1" t="n">
        <v>45561</v>
      </c>
      <c r="C1790" s="1" t="n">
        <v>45758</v>
      </c>
      <c r="D1790" t="inlineStr">
        <is>
          <t>STOCKHOLMS LÄN</t>
        </is>
      </c>
      <c r="E1790" t="inlineStr">
        <is>
          <t>NORRTÄLJE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44032-2024</t>
        </is>
      </c>
      <c r="B1791" s="1" t="n">
        <v>45572</v>
      </c>
      <c r="C1791" s="1" t="n">
        <v>45758</v>
      </c>
      <c r="D1791" t="inlineStr">
        <is>
          <t>STOCKHOLMS LÄN</t>
        </is>
      </c>
      <c r="E1791" t="inlineStr">
        <is>
          <t>NORRTÄLJE</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44776-2024</t>
        </is>
      </c>
      <c r="B1792" s="1" t="n">
        <v>45574</v>
      </c>
      <c r="C1792" s="1" t="n">
        <v>45758</v>
      </c>
      <c r="D1792" t="inlineStr">
        <is>
          <t>STOCKHOLMS LÄN</t>
        </is>
      </c>
      <c r="E1792" t="inlineStr">
        <is>
          <t>NORRTÄLJE</t>
        </is>
      </c>
      <c r="G1792" t="n">
        <v>12.6</v>
      </c>
      <c r="H1792" t="n">
        <v>0</v>
      </c>
      <c r="I1792" t="n">
        <v>0</v>
      </c>
      <c r="J1792" t="n">
        <v>0</v>
      </c>
      <c r="K1792" t="n">
        <v>0</v>
      </c>
      <c r="L1792" t="n">
        <v>0</v>
      </c>
      <c r="M1792" t="n">
        <v>0</v>
      </c>
      <c r="N1792" t="n">
        <v>0</v>
      </c>
      <c r="O1792" t="n">
        <v>0</v>
      </c>
      <c r="P1792" t="n">
        <v>0</v>
      </c>
      <c r="Q1792" t="n">
        <v>0</v>
      </c>
      <c r="R1792" s="2" t="inlineStr"/>
    </row>
    <row r="1793" ht="15" customHeight="1">
      <c r="A1793" t="inlineStr">
        <is>
          <t>A 44821-2024</t>
        </is>
      </c>
      <c r="B1793" s="1" t="n">
        <v>45574</v>
      </c>
      <c r="C1793" s="1" t="n">
        <v>45758</v>
      </c>
      <c r="D1793" t="inlineStr">
        <is>
          <t>STOCKHOLMS LÄN</t>
        </is>
      </c>
      <c r="E1793" t="inlineStr">
        <is>
          <t>NORRTÄLJE</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45220-2024</t>
        </is>
      </c>
      <c r="B1794" s="1" t="n">
        <v>45575</v>
      </c>
      <c r="C1794" s="1" t="n">
        <v>45758</v>
      </c>
      <c r="D1794" t="inlineStr">
        <is>
          <t>STOCKHOLMS LÄN</t>
        </is>
      </c>
      <c r="E1794" t="inlineStr">
        <is>
          <t>NORRTÄLJE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45254-2024</t>
        </is>
      </c>
      <c r="B1795" s="1" t="n">
        <v>45576</v>
      </c>
      <c r="C1795" s="1" t="n">
        <v>45758</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45451-2024</t>
        </is>
      </c>
      <c r="B1796" s="1" t="n">
        <v>45576</v>
      </c>
      <c r="C1796" s="1" t="n">
        <v>45758</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45247-2024</t>
        </is>
      </c>
      <c r="B1797" s="1" t="n">
        <v>45576</v>
      </c>
      <c r="C1797" s="1" t="n">
        <v>45758</v>
      </c>
      <c r="D1797" t="inlineStr">
        <is>
          <t>STOCKHOLMS LÄN</t>
        </is>
      </c>
      <c r="E1797" t="inlineStr">
        <is>
          <t>NORRTÄLJE</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45739-2024</t>
        </is>
      </c>
      <c r="B1798" s="1" t="n">
        <v>45579</v>
      </c>
      <c r="C1798" s="1" t="n">
        <v>45758</v>
      </c>
      <c r="D1798" t="inlineStr">
        <is>
          <t>STOCKHOLMS LÄN</t>
        </is>
      </c>
      <c r="E1798" t="inlineStr">
        <is>
          <t>NORRTÄLJE</t>
        </is>
      </c>
      <c r="G1798" t="n">
        <v>21.9</v>
      </c>
      <c r="H1798" t="n">
        <v>0</v>
      </c>
      <c r="I1798" t="n">
        <v>0</v>
      </c>
      <c r="J1798" t="n">
        <v>0</v>
      </c>
      <c r="K1798" t="n">
        <v>0</v>
      </c>
      <c r="L1798" t="n">
        <v>0</v>
      </c>
      <c r="M1798" t="n">
        <v>0</v>
      </c>
      <c r="N1798" t="n">
        <v>0</v>
      </c>
      <c r="O1798" t="n">
        <v>0</v>
      </c>
      <c r="P1798" t="n">
        <v>0</v>
      </c>
      <c r="Q1798" t="n">
        <v>0</v>
      </c>
      <c r="R1798" s="2" t="inlineStr"/>
    </row>
    <row r="1799" ht="15" customHeight="1">
      <c r="A1799" t="inlineStr">
        <is>
          <t>A 45746-2024</t>
        </is>
      </c>
      <c r="B1799" s="1" t="n">
        <v>45579</v>
      </c>
      <c r="C1799" s="1" t="n">
        <v>45758</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46073-2024</t>
        </is>
      </c>
      <c r="B1800" s="1" t="n">
        <v>45581</v>
      </c>
      <c r="C1800" s="1" t="n">
        <v>45758</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46326-2024</t>
        </is>
      </c>
      <c r="B1801" s="1" t="n">
        <v>45581</v>
      </c>
      <c r="C1801" s="1" t="n">
        <v>45758</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46071-2024</t>
        </is>
      </c>
      <c r="B1802" s="1" t="n">
        <v>45581</v>
      </c>
      <c r="C1802" s="1" t="n">
        <v>45758</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46333-2024</t>
        </is>
      </c>
      <c r="B1803" s="1" t="n">
        <v>45581</v>
      </c>
      <c r="C1803" s="1" t="n">
        <v>45758</v>
      </c>
      <c r="D1803" t="inlineStr">
        <is>
          <t>STOCKHOLMS LÄN</t>
        </is>
      </c>
      <c r="E1803" t="inlineStr">
        <is>
          <t>NORRTÄLJE</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46448-2024</t>
        </is>
      </c>
      <c r="B1804" s="1" t="n">
        <v>45582</v>
      </c>
      <c r="C1804" s="1" t="n">
        <v>45758</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46988-2024</t>
        </is>
      </c>
      <c r="B1805" s="1" t="n">
        <v>45586</v>
      </c>
      <c r="C1805" s="1" t="n">
        <v>45758</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47257-2024</t>
        </is>
      </c>
      <c r="B1806" s="1" t="n">
        <v>45586</v>
      </c>
      <c r="C1806" s="1" t="n">
        <v>45758</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47259-2024</t>
        </is>
      </c>
      <c r="B1807" s="1" t="n">
        <v>45586</v>
      </c>
      <c r="C1807" s="1" t="n">
        <v>45758</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47521-2024</t>
        </is>
      </c>
      <c r="B1808" s="1" t="n">
        <v>45587</v>
      </c>
      <c r="C1808" s="1" t="n">
        <v>45758</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47481-2024</t>
        </is>
      </c>
      <c r="B1809" s="1" t="n">
        <v>45587</v>
      </c>
      <c r="C1809" s="1" t="n">
        <v>45758</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48145-2024</t>
        </is>
      </c>
      <c r="B1810" s="1" t="n">
        <v>45589</v>
      </c>
      <c r="C1810" s="1" t="n">
        <v>45758</v>
      </c>
      <c r="D1810" t="inlineStr">
        <is>
          <t>STOCKHOLMS LÄN</t>
        </is>
      </c>
      <c r="E1810" t="inlineStr">
        <is>
          <t>NORRTÄLJE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48151-2024</t>
        </is>
      </c>
      <c r="B1811" s="1" t="n">
        <v>45589</v>
      </c>
      <c r="C1811" s="1" t="n">
        <v>45758</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48564-2024</t>
        </is>
      </c>
      <c r="B1812" s="1" t="n">
        <v>45593</v>
      </c>
      <c r="C1812" s="1" t="n">
        <v>45758</v>
      </c>
      <c r="D1812" t="inlineStr">
        <is>
          <t>STOCKHOLMS LÄN</t>
        </is>
      </c>
      <c r="E1812" t="inlineStr">
        <is>
          <t>NORRTÄLJE</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48548-2024</t>
        </is>
      </c>
      <c r="B1813" s="1" t="n">
        <v>45593</v>
      </c>
      <c r="C1813" s="1" t="n">
        <v>45758</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48852-2024</t>
        </is>
      </c>
      <c r="B1814" s="1" t="n">
        <v>45593</v>
      </c>
      <c r="C1814" s="1" t="n">
        <v>45758</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48850-2024</t>
        </is>
      </c>
      <c r="B1815" s="1" t="n">
        <v>45593</v>
      </c>
      <c r="C1815" s="1" t="n">
        <v>45758</v>
      </c>
      <c r="D1815" t="inlineStr">
        <is>
          <t>STOCKHOLMS LÄN</t>
        </is>
      </c>
      <c r="E1815" t="inlineStr">
        <is>
          <t>NORRTÄLJE</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48851-2024</t>
        </is>
      </c>
      <c r="B1816" s="1" t="n">
        <v>45593</v>
      </c>
      <c r="C1816" s="1" t="n">
        <v>45758</v>
      </c>
      <c r="D1816" t="inlineStr">
        <is>
          <t>STOCKHOLMS LÄN</t>
        </is>
      </c>
      <c r="E1816" t="inlineStr">
        <is>
          <t>NORRTÄLJE</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49949-2024</t>
        </is>
      </c>
      <c r="B1817" s="1" t="n">
        <v>45597</v>
      </c>
      <c r="C1817" s="1" t="n">
        <v>45758</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50113-2024</t>
        </is>
      </c>
      <c r="B1818" s="1" t="n">
        <v>45600</v>
      </c>
      <c r="C1818" s="1" t="n">
        <v>45758</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50355-2024</t>
        </is>
      </c>
      <c r="B1819" s="1" t="n">
        <v>45600</v>
      </c>
      <c r="C1819" s="1" t="n">
        <v>45758</v>
      </c>
      <c r="D1819" t="inlineStr">
        <is>
          <t>STOCKHOLMS LÄN</t>
        </is>
      </c>
      <c r="E1819" t="inlineStr">
        <is>
          <t>NORRTÄLJE</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50154-2024</t>
        </is>
      </c>
      <c r="B1820" s="1" t="n">
        <v>45600</v>
      </c>
      <c r="C1820" s="1" t="n">
        <v>45758</v>
      </c>
      <c r="D1820" t="inlineStr">
        <is>
          <t>STOCKHOLMS LÄN</t>
        </is>
      </c>
      <c r="E1820" t="inlineStr">
        <is>
          <t>NORRTÄLJE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50182-2024</t>
        </is>
      </c>
      <c r="B1821" s="1" t="n">
        <v>45600</v>
      </c>
      <c r="C1821" s="1" t="n">
        <v>45758</v>
      </c>
      <c r="D1821" t="inlineStr">
        <is>
          <t>STOCKHOLMS LÄN</t>
        </is>
      </c>
      <c r="E1821" t="inlineStr">
        <is>
          <t>NORRTÄLJE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50534-2024</t>
        </is>
      </c>
      <c r="B1822" s="1" t="n">
        <v>45601</v>
      </c>
      <c r="C1822" s="1" t="n">
        <v>45758</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52287-2024</t>
        </is>
      </c>
      <c r="B1823" s="1" t="n">
        <v>45608</v>
      </c>
      <c r="C1823" s="1" t="n">
        <v>45758</v>
      </c>
      <c r="D1823" t="inlineStr">
        <is>
          <t>STOCKHOLMS LÄN</t>
        </is>
      </c>
      <c r="E1823" t="inlineStr">
        <is>
          <t>NORRTÄLJE</t>
        </is>
      </c>
      <c r="F1823" t="inlineStr">
        <is>
          <t>Holmen skog AB</t>
        </is>
      </c>
      <c r="G1823" t="n">
        <v>16.1</v>
      </c>
      <c r="H1823" t="n">
        <v>0</v>
      </c>
      <c r="I1823" t="n">
        <v>0</v>
      </c>
      <c r="J1823" t="n">
        <v>0</v>
      </c>
      <c r="K1823" t="n">
        <v>0</v>
      </c>
      <c r="L1823" t="n">
        <v>0</v>
      </c>
      <c r="M1823" t="n">
        <v>0</v>
      </c>
      <c r="N1823" t="n">
        <v>0</v>
      </c>
      <c r="O1823" t="n">
        <v>0</v>
      </c>
      <c r="P1823" t="n">
        <v>0</v>
      </c>
      <c r="Q1823" t="n">
        <v>0</v>
      </c>
      <c r="R1823" s="2" t="inlineStr"/>
    </row>
    <row r="1824" ht="15" customHeight="1">
      <c r="A1824" t="inlineStr">
        <is>
          <t>A 52321-2024</t>
        </is>
      </c>
      <c r="B1824" s="1" t="n">
        <v>45608</v>
      </c>
      <c r="C1824" s="1" t="n">
        <v>45758</v>
      </c>
      <c r="D1824" t="inlineStr">
        <is>
          <t>STOCKHOLMS LÄN</t>
        </is>
      </c>
      <c r="E1824" t="inlineStr">
        <is>
          <t>NORRTÄLJE</t>
        </is>
      </c>
      <c r="G1824" t="n">
        <v>18.1</v>
      </c>
      <c r="H1824" t="n">
        <v>0</v>
      </c>
      <c r="I1824" t="n">
        <v>0</v>
      </c>
      <c r="J1824" t="n">
        <v>0</v>
      </c>
      <c r="K1824" t="n">
        <v>0</v>
      </c>
      <c r="L1824" t="n">
        <v>0</v>
      </c>
      <c r="M1824" t="n">
        <v>0</v>
      </c>
      <c r="N1824" t="n">
        <v>0</v>
      </c>
      <c r="O1824" t="n">
        <v>0</v>
      </c>
      <c r="P1824" t="n">
        <v>0</v>
      </c>
      <c r="Q1824" t="n">
        <v>0</v>
      </c>
      <c r="R1824" s="2" t="inlineStr"/>
    </row>
    <row r="1825" ht="15" customHeight="1">
      <c r="A1825" t="inlineStr">
        <is>
          <t>A 52407-2024</t>
        </is>
      </c>
      <c r="B1825" s="1" t="n">
        <v>45609</v>
      </c>
      <c r="C1825" s="1" t="n">
        <v>45758</v>
      </c>
      <c r="D1825" t="inlineStr">
        <is>
          <t>STOCKHOLMS LÄN</t>
        </is>
      </c>
      <c r="E1825" t="inlineStr">
        <is>
          <t>NORRTÄLJE</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52615-2024</t>
        </is>
      </c>
      <c r="B1826" s="1" t="n">
        <v>45609</v>
      </c>
      <c r="C1826" s="1" t="n">
        <v>45758</v>
      </c>
      <c r="D1826" t="inlineStr">
        <is>
          <t>STOCKHOLMS LÄN</t>
        </is>
      </c>
      <c r="E1826" t="inlineStr">
        <is>
          <t>NORRTÄLJE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52614-2024</t>
        </is>
      </c>
      <c r="B1827" s="1" t="n">
        <v>45609</v>
      </c>
      <c r="C1827" s="1" t="n">
        <v>45758</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52618-2024</t>
        </is>
      </c>
      <c r="B1828" s="1" t="n">
        <v>45609</v>
      </c>
      <c r="C1828" s="1" t="n">
        <v>45758</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52593-2024</t>
        </is>
      </c>
      <c r="B1829" s="1" t="n">
        <v>45609</v>
      </c>
      <c r="C1829" s="1" t="n">
        <v>45758</v>
      </c>
      <c r="D1829" t="inlineStr">
        <is>
          <t>STOCKHOLMS LÄN</t>
        </is>
      </c>
      <c r="E1829" t="inlineStr">
        <is>
          <t>NORRTÄLJE</t>
        </is>
      </c>
      <c r="F1829" t="inlineStr">
        <is>
          <t>Holmen skog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52617-2024</t>
        </is>
      </c>
      <c r="B1830" s="1" t="n">
        <v>45609</v>
      </c>
      <c r="C1830" s="1" t="n">
        <v>45758</v>
      </c>
      <c r="D1830" t="inlineStr">
        <is>
          <t>STOCKHOLMS LÄN</t>
        </is>
      </c>
      <c r="E1830" t="inlineStr">
        <is>
          <t>NORRTÄLJE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52715-2024</t>
        </is>
      </c>
      <c r="B1831" s="1" t="n">
        <v>45610</v>
      </c>
      <c r="C1831" s="1" t="n">
        <v>45758</v>
      </c>
      <c r="D1831" t="inlineStr">
        <is>
          <t>STOCKHOLMS LÄN</t>
        </is>
      </c>
      <c r="E1831" t="inlineStr">
        <is>
          <t>NORRTÄLJE</t>
        </is>
      </c>
      <c r="G1831" t="n">
        <v>11.1</v>
      </c>
      <c r="H1831" t="n">
        <v>0</v>
      </c>
      <c r="I1831" t="n">
        <v>0</v>
      </c>
      <c r="J1831" t="n">
        <v>0</v>
      </c>
      <c r="K1831" t="n">
        <v>0</v>
      </c>
      <c r="L1831" t="n">
        <v>0</v>
      </c>
      <c r="M1831" t="n">
        <v>0</v>
      </c>
      <c r="N1831" t="n">
        <v>0</v>
      </c>
      <c r="O1831" t="n">
        <v>0</v>
      </c>
      <c r="P1831" t="n">
        <v>0</v>
      </c>
      <c r="Q1831" t="n">
        <v>0</v>
      </c>
      <c r="R1831" s="2" t="inlineStr"/>
      <c r="U1831">
        <f>HYPERLINK("https://klasma.github.io/Logging_0188/knärot/A 52715-2024 karta knärot.png", "A 52715-2024")</f>
        <v/>
      </c>
      <c r="V1831">
        <f>HYPERLINK("https://klasma.github.io/Logging_0188/klagomål/A 52715-2024 FSC-klagomål.docx", "A 52715-2024")</f>
        <v/>
      </c>
      <c r="W1831">
        <f>HYPERLINK("https://klasma.github.io/Logging_0188/klagomålsmail/A 52715-2024 FSC-klagomål mail.docx", "A 52715-2024")</f>
        <v/>
      </c>
      <c r="X1831">
        <f>HYPERLINK("https://klasma.github.io/Logging_0188/tillsyn/A 52715-2024 tillsynsbegäran.docx", "A 52715-2024")</f>
        <v/>
      </c>
      <c r="Y1831">
        <f>HYPERLINK("https://klasma.github.io/Logging_0188/tillsynsmail/A 52715-2024 tillsynsbegäran mail.docx", "A 52715-2024")</f>
        <v/>
      </c>
    </row>
    <row r="1832" ht="15" customHeight="1">
      <c r="A1832" t="inlineStr">
        <is>
          <t>A 52743-2024</t>
        </is>
      </c>
      <c r="B1832" s="1" t="n">
        <v>45610</v>
      </c>
      <c r="C1832" s="1" t="n">
        <v>45758</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52686-2024</t>
        </is>
      </c>
      <c r="B1833" s="1" t="n">
        <v>45610</v>
      </c>
      <c r="C1833" s="1" t="n">
        <v>45758</v>
      </c>
      <c r="D1833" t="inlineStr">
        <is>
          <t>STOCKHOLMS LÄN</t>
        </is>
      </c>
      <c r="E1833" t="inlineStr">
        <is>
          <t>NORRTÄLJE</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53312-2024</t>
        </is>
      </c>
      <c r="B1834" s="1" t="n">
        <v>45614</v>
      </c>
      <c r="C1834" s="1" t="n">
        <v>45758</v>
      </c>
      <c r="D1834" t="inlineStr">
        <is>
          <t>STOCKHOLMS LÄN</t>
        </is>
      </c>
      <c r="E1834" t="inlineStr">
        <is>
          <t>NORRTÄLJE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53305-2024</t>
        </is>
      </c>
      <c r="B1835" s="1" t="n">
        <v>45614</v>
      </c>
      <c r="C1835" s="1" t="n">
        <v>45758</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54113-2024</t>
        </is>
      </c>
      <c r="B1836" s="1" t="n">
        <v>45616</v>
      </c>
      <c r="C1836" s="1" t="n">
        <v>45758</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54315-2024</t>
        </is>
      </c>
      <c r="B1837" s="1" t="n">
        <v>45617</v>
      </c>
      <c r="C1837" s="1" t="n">
        <v>45758</v>
      </c>
      <c r="D1837" t="inlineStr">
        <is>
          <t>STOCKHOLMS LÄN</t>
        </is>
      </c>
      <c r="E1837" t="inlineStr">
        <is>
          <t>NORRTÄLJE</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54558-2024</t>
        </is>
      </c>
      <c r="B1838" s="1" t="n">
        <v>45617</v>
      </c>
      <c r="C1838" s="1" t="n">
        <v>45758</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54496-2024</t>
        </is>
      </c>
      <c r="B1839" s="1" t="n">
        <v>45617</v>
      </c>
      <c r="C1839" s="1" t="n">
        <v>45758</v>
      </c>
      <c r="D1839" t="inlineStr">
        <is>
          <t>STOCKHOLMS LÄN</t>
        </is>
      </c>
      <c r="E1839" t="inlineStr">
        <is>
          <t>NORRTÄLJE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54504-2024</t>
        </is>
      </c>
      <c r="B1840" s="1" t="n">
        <v>45617</v>
      </c>
      <c r="C1840" s="1" t="n">
        <v>45758</v>
      </c>
      <c r="D1840" t="inlineStr">
        <is>
          <t>STOCKHOLMS LÄN</t>
        </is>
      </c>
      <c r="E1840" t="inlineStr">
        <is>
          <t>NORRTÄLJE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55018-2024</t>
        </is>
      </c>
      <c r="B1841" s="1" t="n">
        <v>45621</v>
      </c>
      <c r="C1841" s="1" t="n">
        <v>45758</v>
      </c>
      <c r="D1841" t="inlineStr">
        <is>
          <t>STOCKHOLMS LÄN</t>
        </is>
      </c>
      <c r="E1841" t="inlineStr">
        <is>
          <t>NORRTÄLJE</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55010-2024</t>
        </is>
      </c>
      <c r="B1842" s="1" t="n">
        <v>45621</v>
      </c>
      <c r="C1842" s="1" t="n">
        <v>45758</v>
      </c>
      <c r="D1842" t="inlineStr">
        <is>
          <t>STOCKHOLMS LÄN</t>
        </is>
      </c>
      <c r="E1842" t="inlineStr">
        <is>
          <t>NORRTÄLJE</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55287-2024</t>
        </is>
      </c>
      <c r="B1843" s="1" t="n">
        <v>45621</v>
      </c>
      <c r="C1843" s="1" t="n">
        <v>45758</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55012-2024</t>
        </is>
      </c>
      <c r="B1844" s="1" t="n">
        <v>45621</v>
      </c>
      <c r="C1844" s="1" t="n">
        <v>45758</v>
      </c>
      <c r="D1844" t="inlineStr">
        <is>
          <t>STOCKHOLMS LÄN</t>
        </is>
      </c>
      <c r="E1844" t="inlineStr">
        <is>
          <t>NORRTÄLJE</t>
        </is>
      </c>
      <c r="F1844" t="inlineStr">
        <is>
          <t>Sveaskog</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55952-2024</t>
        </is>
      </c>
      <c r="B1845" s="1" t="n">
        <v>45623</v>
      </c>
      <c r="C1845" s="1" t="n">
        <v>45758</v>
      </c>
      <c r="D1845" t="inlineStr">
        <is>
          <t>STOCKHOLMS LÄN</t>
        </is>
      </c>
      <c r="E1845" t="inlineStr">
        <is>
          <t>NORRTÄLJE</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56631-2024</t>
        </is>
      </c>
      <c r="B1846" s="1" t="n">
        <v>45625</v>
      </c>
      <c r="C1846" s="1" t="n">
        <v>45758</v>
      </c>
      <c r="D1846" t="inlineStr">
        <is>
          <t>STOCKHOLMS LÄN</t>
        </is>
      </c>
      <c r="E1846" t="inlineStr">
        <is>
          <t>NORRTÄLJE</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57155-2024</t>
        </is>
      </c>
      <c r="B1847" s="1" t="n">
        <v>45629</v>
      </c>
      <c r="C1847" s="1" t="n">
        <v>45758</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57353-2024</t>
        </is>
      </c>
      <c r="B1848" s="1" t="n">
        <v>45629</v>
      </c>
      <c r="C1848" s="1" t="n">
        <v>45758</v>
      </c>
      <c r="D1848" t="inlineStr">
        <is>
          <t>STOCKHOLMS LÄN</t>
        </is>
      </c>
      <c r="E1848" t="inlineStr">
        <is>
          <t>NORRTÄLJE</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57602-2024</t>
        </is>
      </c>
      <c r="B1849" s="1" t="n">
        <v>45630</v>
      </c>
      <c r="C1849" s="1" t="n">
        <v>45758</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58040-2024</t>
        </is>
      </c>
      <c r="B1850" s="1" t="n">
        <v>45631</v>
      </c>
      <c r="C1850" s="1" t="n">
        <v>45758</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58041-2024</t>
        </is>
      </c>
      <c r="B1851" s="1" t="n">
        <v>45631</v>
      </c>
      <c r="C1851" s="1" t="n">
        <v>45758</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58530-2024</t>
        </is>
      </c>
      <c r="B1852" s="1" t="n">
        <v>45635</v>
      </c>
      <c r="C1852" s="1" t="n">
        <v>45758</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58785-2024</t>
        </is>
      </c>
      <c r="B1853" s="1" t="n">
        <v>45635</v>
      </c>
      <c r="C1853" s="1" t="n">
        <v>45758</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58863-2024</t>
        </is>
      </c>
      <c r="B1854" s="1" t="n">
        <v>45636</v>
      </c>
      <c r="C1854" s="1" t="n">
        <v>45758</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58853-2024</t>
        </is>
      </c>
      <c r="B1855" s="1" t="n">
        <v>45636</v>
      </c>
      <c r="C1855" s="1" t="n">
        <v>45758</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59091-2024</t>
        </is>
      </c>
      <c r="B1856" s="1" t="n">
        <v>45637</v>
      </c>
      <c r="C1856" s="1" t="n">
        <v>45758</v>
      </c>
      <c r="D1856" t="inlineStr">
        <is>
          <t>STOCKHOLMS LÄN</t>
        </is>
      </c>
      <c r="E1856" t="inlineStr">
        <is>
          <t>NORRTÄLJE</t>
        </is>
      </c>
      <c r="F1856" t="inlineStr">
        <is>
          <t>Övriga Aktiebolag</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59274-2024</t>
        </is>
      </c>
      <c r="B1857" s="1" t="n">
        <v>45637</v>
      </c>
      <c r="C1857" s="1" t="n">
        <v>45758</v>
      </c>
      <c r="D1857" t="inlineStr">
        <is>
          <t>STOCKHOLMS LÄN</t>
        </is>
      </c>
      <c r="E1857" t="inlineStr">
        <is>
          <t>NORRTÄLJE</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59534-2024</t>
        </is>
      </c>
      <c r="B1858" s="1" t="n">
        <v>45638</v>
      </c>
      <c r="C1858" s="1" t="n">
        <v>45758</v>
      </c>
      <c r="D1858" t="inlineStr">
        <is>
          <t>STOCKHOLMS LÄN</t>
        </is>
      </c>
      <c r="E1858" t="inlineStr">
        <is>
          <t>NORRTÄLJE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59535-2024</t>
        </is>
      </c>
      <c r="B1859" s="1" t="n">
        <v>45638</v>
      </c>
      <c r="C1859" s="1" t="n">
        <v>45758</v>
      </c>
      <c r="D1859" t="inlineStr">
        <is>
          <t>STOCKHOLMS LÄN</t>
        </is>
      </c>
      <c r="E1859" t="inlineStr">
        <is>
          <t>NORRTÄLJE</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59721-2024</t>
        </is>
      </c>
      <c r="B1860" s="1" t="n">
        <v>45639</v>
      </c>
      <c r="C1860" s="1" t="n">
        <v>45758</v>
      </c>
      <c r="D1860" t="inlineStr">
        <is>
          <t>STOCKHOLMS LÄN</t>
        </is>
      </c>
      <c r="E1860" t="inlineStr">
        <is>
          <t>NORRTÄLJE</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59712-2024</t>
        </is>
      </c>
      <c r="B1861" s="1" t="n">
        <v>45639</v>
      </c>
      <c r="C1861" s="1" t="n">
        <v>45758</v>
      </c>
      <c r="D1861" t="inlineStr">
        <is>
          <t>STOCKHOLMS LÄN</t>
        </is>
      </c>
      <c r="E1861" t="inlineStr">
        <is>
          <t>NORRTÄLJE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59876-2024</t>
        </is>
      </c>
      <c r="B1862" s="1" t="n">
        <v>45640</v>
      </c>
      <c r="C1862" s="1" t="n">
        <v>45758</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59875-2024</t>
        </is>
      </c>
      <c r="B1863" s="1" t="n">
        <v>45640</v>
      </c>
      <c r="C1863" s="1" t="n">
        <v>45758</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59873-2024</t>
        </is>
      </c>
      <c r="B1864" s="1" t="n">
        <v>45640</v>
      </c>
      <c r="C1864" s="1" t="n">
        <v>45758</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59877-2024</t>
        </is>
      </c>
      <c r="B1865" s="1" t="n">
        <v>45640</v>
      </c>
      <c r="C1865" s="1" t="n">
        <v>45758</v>
      </c>
      <c r="D1865" t="inlineStr">
        <is>
          <t>STOCKHOLMS LÄN</t>
        </is>
      </c>
      <c r="E1865" t="inlineStr">
        <is>
          <t>NORRTÄLJE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59874-2024</t>
        </is>
      </c>
      <c r="B1866" s="1" t="n">
        <v>45640</v>
      </c>
      <c r="C1866" s="1" t="n">
        <v>45758</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59878-2024</t>
        </is>
      </c>
      <c r="B1867" s="1" t="n">
        <v>45640</v>
      </c>
      <c r="C1867" s="1" t="n">
        <v>45758</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60185-2024</t>
        </is>
      </c>
      <c r="B1868" s="1" t="n">
        <v>45642</v>
      </c>
      <c r="C1868" s="1" t="n">
        <v>45758</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60166-2024</t>
        </is>
      </c>
      <c r="B1869" s="1" t="n">
        <v>45642</v>
      </c>
      <c r="C1869" s="1" t="n">
        <v>45758</v>
      </c>
      <c r="D1869" t="inlineStr">
        <is>
          <t>STOCKHOLMS LÄN</t>
        </is>
      </c>
      <c r="E1869" t="inlineStr">
        <is>
          <t>NORRTÄLJE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60160-2024</t>
        </is>
      </c>
      <c r="B1870" s="1" t="n">
        <v>45642</v>
      </c>
      <c r="C1870" s="1" t="n">
        <v>45758</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60317-2024</t>
        </is>
      </c>
      <c r="B1871" s="1" t="n">
        <v>45643</v>
      </c>
      <c r="C1871" s="1" t="n">
        <v>45758</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60694-2024</t>
        </is>
      </c>
      <c r="B1872" s="1" t="n">
        <v>45644</v>
      </c>
      <c r="C1872" s="1" t="n">
        <v>45758</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60884-2024</t>
        </is>
      </c>
      <c r="B1873" s="1" t="n">
        <v>45644</v>
      </c>
      <c r="C1873" s="1" t="n">
        <v>45758</v>
      </c>
      <c r="D1873" t="inlineStr">
        <is>
          <t>STOCKHOLMS LÄN</t>
        </is>
      </c>
      <c r="E1873" t="inlineStr">
        <is>
          <t>NORRTÄLJE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61516-2024</t>
        </is>
      </c>
      <c r="B1874" s="1" t="n">
        <v>45646</v>
      </c>
      <c r="C1874" s="1" t="n">
        <v>45758</v>
      </c>
      <c r="D1874" t="inlineStr">
        <is>
          <t>STOCKHOLMS LÄN</t>
        </is>
      </c>
      <c r="E1874" t="inlineStr">
        <is>
          <t>NORRTÄLJE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62168-2024</t>
        </is>
      </c>
      <c r="B1875" s="1" t="n">
        <v>45657</v>
      </c>
      <c r="C1875" s="1" t="n">
        <v>45758</v>
      </c>
      <c r="D1875" t="inlineStr">
        <is>
          <t>STOCKHOLMS LÄN</t>
        </is>
      </c>
      <c r="E1875" t="inlineStr">
        <is>
          <t>NORRTÄLJE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19-2025</t>
        </is>
      </c>
      <c r="B1876" s="1" t="n">
        <v>45658</v>
      </c>
      <c r="C1876" s="1" t="n">
        <v>45758</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22-2025</t>
        </is>
      </c>
      <c r="B1877" s="1" t="n">
        <v>45658</v>
      </c>
      <c r="C1877" s="1" t="n">
        <v>45758</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520-2025</t>
        </is>
      </c>
      <c r="B1878" s="1" t="n">
        <v>45664</v>
      </c>
      <c r="C1878" s="1" t="n">
        <v>45758</v>
      </c>
      <c r="D1878" t="inlineStr">
        <is>
          <t>STOCKHOLMS LÄN</t>
        </is>
      </c>
      <c r="E1878" t="inlineStr">
        <is>
          <t>NORRTÄLJE</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652-2025</t>
        </is>
      </c>
      <c r="B1879" s="1" t="n">
        <v>45664</v>
      </c>
      <c r="C1879" s="1" t="n">
        <v>45758</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827-2025</t>
        </is>
      </c>
      <c r="B1880" s="1" t="n">
        <v>45665</v>
      </c>
      <c r="C1880" s="1" t="n">
        <v>45758</v>
      </c>
      <c r="D1880" t="inlineStr">
        <is>
          <t>STOCKHOLMS LÄN</t>
        </is>
      </c>
      <c r="E1880" t="inlineStr">
        <is>
          <t>NORRTÄLJE</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1283-2025</t>
        </is>
      </c>
      <c r="B1881" s="1" t="n">
        <v>45667</v>
      </c>
      <c r="C1881" s="1" t="n">
        <v>45758</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1360-2025</t>
        </is>
      </c>
      <c r="B1882" s="1" t="n">
        <v>45667</v>
      </c>
      <c r="C1882" s="1" t="n">
        <v>45758</v>
      </c>
      <c r="D1882" t="inlineStr">
        <is>
          <t>STOCKHOLMS LÄN</t>
        </is>
      </c>
      <c r="E1882" t="inlineStr">
        <is>
          <t>NORRTÄLJE</t>
        </is>
      </c>
      <c r="F1882" t="inlineStr">
        <is>
          <t>Kyrkan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1425-2025</t>
        </is>
      </c>
      <c r="B1883" s="1" t="n">
        <v>45668</v>
      </c>
      <c r="C1883" s="1" t="n">
        <v>45758</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1654-2025</t>
        </is>
      </c>
      <c r="B1884" s="1" t="n">
        <v>45670</v>
      </c>
      <c r="C1884" s="1" t="n">
        <v>45758</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1453-2025</t>
        </is>
      </c>
      <c r="B1885" s="1" t="n">
        <v>45670</v>
      </c>
      <c r="C1885" s="1" t="n">
        <v>45758</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1890-2025</t>
        </is>
      </c>
      <c r="B1886" s="1" t="n">
        <v>45671</v>
      </c>
      <c r="C1886" s="1" t="n">
        <v>45758</v>
      </c>
      <c r="D1886" t="inlineStr">
        <is>
          <t>STOCKHOLMS LÄN</t>
        </is>
      </c>
      <c r="E1886" t="inlineStr">
        <is>
          <t>NORRTÄLJE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2153-2025</t>
        </is>
      </c>
      <c r="B1887" s="1" t="n">
        <v>45672</v>
      </c>
      <c r="C1887" s="1" t="n">
        <v>45758</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2127-2025</t>
        </is>
      </c>
      <c r="B1888" s="1" t="n">
        <v>45672</v>
      </c>
      <c r="C1888" s="1" t="n">
        <v>45758</v>
      </c>
      <c r="D1888" t="inlineStr">
        <is>
          <t>STOCKHOLMS LÄN</t>
        </is>
      </c>
      <c r="E1888" t="inlineStr">
        <is>
          <t>NORRTÄLJE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2627-2025</t>
        </is>
      </c>
      <c r="B1889" s="1" t="n">
        <v>45675</v>
      </c>
      <c r="C1889" s="1" t="n">
        <v>45758</v>
      </c>
      <c r="D1889" t="inlineStr">
        <is>
          <t>STOCKHOLMS LÄN</t>
        </is>
      </c>
      <c r="E1889" t="inlineStr">
        <is>
          <t>NORRTÄLJE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3117-2025</t>
        </is>
      </c>
      <c r="B1890" s="1" t="n">
        <v>45678</v>
      </c>
      <c r="C1890" s="1" t="n">
        <v>45758</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3273-2025</t>
        </is>
      </c>
      <c r="B1891" s="1" t="n">
        <v>45679</v>
      </c>
      <c r="C1891" s="1" t="n">
        <v>45758</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3283-2025</t>
        </is>
      </c>
      <c r="B1892" s="1" t="n">
        <v>45679</v>
      </c>
      <c r="C1892" s="1" t="n">
        <v>45758</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3512-2025</t>
        </is>
      </c>
      <c r="B1893" s="1" t="n">
        <v>45680</v>
      </c>
      <c r="C1893" s="1" t="n">
        <v>45758</v>
      </c>
      <c r="D1893" t="inlineStr">
        <is>
          <t>STOCKHOLMS LÄN</t>
        </is>
      </c>
      <c r="E1893" t="inlineStr">
        <is>
          <t>NORRTÄLJE</t>
        </is>
      </c>
      <c r="F1893" t="inlineStr">
        <is>
          <t>Naturvårdsverket</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3426-2025</t>
        </is>
      </c>
      <c r="B1894" s="1" t="n">
        <v>45680</v>
      </c>
      <c r="C1894" s="1" t="n">
        <v>45758</v>
      </c>
      <c r="D1894" t="inlineStr">
        <is>
          <t>STOCKHOLMS LÄN</t>
        </is>
      </c>
      <c r="E1894" t="inlineStr">
        <is>
          <t>NORRTÄLJE</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4183-2025</t>
        </is>
      </c>
      <c r="B1895" s="1" t="n">
        <v>45685</v>
      </c>
      <c r="C1895" s="1" t="n">
        <v>45758</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4195-2025</t>
        </is>
      </c>
      <c r="B1896" s="1" t="n">
        <v>45685</v>
      </c>
      <c r="C1896" s="1" t="n">
        <v>45758</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4148-2025</t>
        </is>
      </c>
      <c r="B1897" s="1" t="n">
        <v>45685</v>
      </c>
      <c r="C1897" s="1" t="n">
        <v>45758</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4164-2025</t>
        </is>
      </c>
      <c r="B1898" s="1" t="n">
        <v>45685</v>
      </c>
      <c r="C1898" s="1" t="n">
        <v>45758</v>
      </c>
      <c r="D1898" t="inlineStr">
        <is>
          <t>STOCKHOLMS LÄN</t>
        </is>
      </c>
      <c r="E1898" t="inlineStr">
        <is>
          <t>NORRTÄLJE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4415-2025</t>
        </is>
      </c>
      <c r="B1899" s="1" t="n">
        <v>45686</v>
      </c>
      <c r="C1899" s="1" t="n">
        <v>45758</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4498-2025</t>
        </is>
      </c>
      <c r="B1900" s="1" t="n">
        <v>45686</v>
      </c>
      <c r="C1900" s="1" t="n">
        <v>45758</v>
      </c>
      <c r="D1900" t="inlineStr">
        <is>
          <t>STOCKHOLMS LÄN</t>
        </is>
      </c>
      <c r="E1900" t="inlineStr">
        <is>
          <t>NORRTÄLJE</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4484-2025</t>
        </is>
      </c>
      <c r="B1901" s="1" t="n">
        <v>45686</v>
      </c>
      <c r="C1901" s="1" t="n">
        <v>45758</v>
      </c>
      <c r="D1901" t="inlineStr">
        <is>
          <t>STOCKHOLMS LÄN</t>
        </is>
      </c>
      <c r="E1901" t="inlineStr">
        <is>
          <t>NORRTÄLJE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4350-2025</t>
        </is>
      </c>
      <c r="B1902" s="1" t="n">
        <v>45686</v>
      </c>
      <c r="C1902" s="1" t="n">
        <v>45758</v>
      </c>
      <c r="D1902" t="inlineStr">
        <is>
          <t>STOCKHOLMS LÄN</t>
        </is>
      </c>
      <c r="E1902" t="inlineStr">
        <is>
          <t>NORRTÄLJE</t>
        </is>
      </c>
      <c r="F1902" t="inlineStr">
        <is>
          <t>Övriga Aktiebolag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4580-2025</t>
        </is>
      </c>
      <c r="B1903" s="1" t="n">
        <v>45687</v>
      </c>
      <c r="C1903" s="1" t="n">
        <v>45758</v>
      </c>
      <c r="D1903" t="inlineStr">
        <is>
          <t>STOCKHOLMS LÄN</t>
        </is>
      </c>
      <c r="E1903" t="inlineStr">
        <is>
          <t>NORRTÄLJE</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4581-2025</t>
        </is>
      </c>
      <c r="B1904" s="1" t="n">
        <v>45687</v>
      </c>
      <c r="C1904" s="1" t="n">
        <v>45758</v>
      </c>
      <c r="D1904" t="inlineStr">
        <is>
          <t>STOCKHOLMS LÄN</t>
        </is>
      </c>
      <c r="E1904" t="inlineStr">
        <is>
          <t>NORRTÄLJE</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4715-2025</t>
        </is>
      </c>
      <c r="B1905" s="1" t="n">
        <v>45688</v>
      </c>
      <c r="C1905" s="1" t="n">
        <v>45758</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c r="U1905">
        <f>HYPERLINK("https://klasma.github.io/Logging_0188/knärot/A 4715-2025 karta knärot.png", "A 4715-2025")</f>
        <v/>
      </c>
      <c r="V1905">
        <f>HYPERLINK("https://klasma.github.io/Logging_0188/klagomål/A 4715-2025 FSC-klagomål.docx", "A 4715-2025")</f>
        <v/>
      </c>
      <c r="W1905">
        <f>HYPERLINK("https://klasma.github.io/Logging_0188/klagomålsmail/A 4715-2025 FSC-klagomål mail.docx", "A 4715-2025")</f>
        <v/>
      </c>
      <c r="X1905">
        <f>HYPERLINK("https://klasma.github.io/Logging_0188/tillsyn/A 4715-2025 tillsynsbegäran.docx", "A 4715-2025")</f>
        <v/>
      </c>
      <c r="Y1905">
        <f>HYPERLINK("https://klasma.github.io/Logging_0188/tillsynsmail/A 4715-2025 tillsynsbegäran mail.docx", "A 4715-2025")</f>
        <v/>
      </c>
    </row>
    <row r="1906" ht="15" customHeight="1">
      <c r="A1906" t="inlineStr">
        <is>
          <t>A 5027-2025</t>
        </is>
      </c>
      <c r="B1906" s="1" t="n">
        <v>45691</v>
      </c>
      <c r="C1906" s="1" t="n">
        <v>45758</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5389-2025</t>
        </is>
      </c>
      <c r="B1907" s="1" t="n">
        <v>45692</v>
      </c>
      <c r="C1907" s="1" t="n">
        <v>45758</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5665-2025</t>
        </is>
      </c>
      <c r="B1908" s="1" t="n">
        <v>45693</v>
      </c>
      <c r="C1908" s="1" t="n">
        <v>45758</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5804-2025</t>
        </is>
      </c>
      <c r="B1909" s="1" t="n">
        <v>45694</v>
      </c>
      <c r="C1909" s="1" t="n">
        <v>45758</v>
      </c>
      <c r="D1909" t="inlineStr">
        <is>
          <t>STOCKHOLMS LÄN</t>
        </is>
      </c>
      <c r="E1909" t="inlineStr">
        <is>
          <t>NORRTÄLJE</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6003-2025</t>
        </is>
      </c>
      <c r="B1910" s="1" t="n">
        <v>45695</v>
      </c>
      <c r="C1910" s="1" t="n">
        <v>45758</v>
      </c>
      <c r="D1910" t="inlineStr">
        <is>
          <t>STOCKHOLMS LÄN</t>
        </is>
      </c>
      <c r="E1910" t="inlineStr">
        <is>
          <t>NORRTÄLJE</t>
        </is>
      </c>
      <c r="F1910" t="inlineStr">
        <is>
          <t>Holmen skog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6413-2025</t>
        </is>
      </c>
      <c r="B1911" s="1" t="n">
        <v>45699</v>
      </c>
      <c r="C1911" s="1" t="n">
        <v>45758</v>
      </c>
      <c r="D1911" t="inlineStr">
        <is>
          <t>STOCKHOLMS LÄN</t>
        </is>
      </c>
      <c r="E1911" t="inlineStr">
        <is>
          <t>NORRTÄLJE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6855-2025</t>
        </is>
      </c>
      <c r="B1912" s="1" t="n">
        <v>45700</v>
      </c>
      <c r="C1912" s="1" t="n">
        <v>45758</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6678-2025</t>
        </is>
      </c>
      <c r="B1913" s="1" t="n">
        <v>45700</v>
      </c>
      <c r="C1913" s="1" t="n">
        <v>45758</v>
      </c>
      <c r="D1913" t="inlineStr">
        <is>
          <t>STOCKHOLMS LÄN</t>
        </is>
      </c>
      <c r="E1913" t="inlineStr">
        <is>
          <t>NORRTÄLJE</t>
        </is>
      </c>
      <c r="F1913" t="inlineStr">
        <is>
          <t>Övriga Aktiebolag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6919-2025</t>
        </is>
      </c>
      <c r="B1914" s="1" t="n">
        <v>45701</v>
      </c>
      <c r="C1914" s="1" t="n">
        <v>45758</v>
      </c>
      <c r="D1914" t="inlineStr">
        <is>
          <t>STOCKHOLMS LÄN</t>
        </is>
      </c>
      <c r="E1914" t="inlineStr">
        <is>
          <t>NORRTÄLJE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6996-2025</t>
        </is>
      </c>
      <c r="B1915" s="1" t="n">
        <v>45701</v>
      </c>
      <c r="C1915" s="1" t="n">
        <v>45758</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7603-2025</t>
        </is>
      </c>
      <c r="B1916" s="1" t="n">
        <v>45705</v>
      </c>
      <c r="C1916" s="1" t="n">
        <v>45758</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7781-2025</t>
        </is>
      </c>
      <c r="B1917" s="1" t="n">
        <v>45706</v>
      </c>
      <c r="C1917" s="1" t="n">
        <v>45758</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7806-2025</t>
        </is>
      </c>
      <c r="B1918" s="1" t="n">
        <v>45706</v>
      </c>
      <c r="C1918" s="1" t="n">
        <v>45758</v>
      </c>
      <c r="D1918" t="inlineStr">
        <is>
          <t>STOCKHOLMS LÄN</t>
        </is>
      </c>
      <c r="E1918" t="inlineStr">
        <is>
          <t>NORRTÄLJE</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7697-2025</t>
        </is>
      </c>
      <c r="B1919" s="1" t="n">
        <v>45706</v>
      </c>
      <c r="C1919" s="1" t="n">
        <v>45758</v>
      </c>
      <c r="D1919" t="inlineStr">
        <is>
          <t>STOCKHOLMS LÄN</t>
        </is>
      </c>
      <c r="E1919" t="inlineStr">
        <is>
          <t>NORRTÄLJE</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7784-2025</t>
        </is>
      </c>
      <c r="B1920" s="1" t="n">
        <v>45706</v>
      </c>
      <c r="C1920" s="1" t="n">
        <v>45758</v>
      </c>
      <c r="D1920" t="inlineStr">
        <is>
          <t>STOCKHOLMS LÄN</t>
        </is>
      </c>
      <c r="E1920" t="inlineStr">
        <is>
          <t>NORRTÄLJE</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7796-2025</t>
        </is>
      </c>
      <c r="B1921" s="1" t="n">
        <v>45706</v>
      </c>
      <c r="C1921" s="1" t="n">
        <v>45758</v>
      </c>
      <c r="D1921" t="inlineStr">
        <is>
          <t>STOCKHOLMS LÄN</t>
        </is>
      </c>
      <c r="E1921" t="inlineStr">
        <is>
          <t>NORRTÄLJE</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8071-2025</t>
        </is>
      </c>
      <c r="B1922" s="1" t="n">
        <v>45707</v>
      </c>
      <c r="C1922" s="1" t="n">
        <v>45758</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8134-2025</t>
        </is>
      </c>
      <c r="B1923" s="1" t="n">
        <v>45707</v>
      </c>
      <c r="C1923" s="1" t="n">
        <v>45758</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8133-2025</t>
        </is>
      </c>
      <c r="B1924" s="1" t="n">
        <v>45707</v>
      </c>
      <c r="C1924" s="1" t="n">
        <v>45758</v>
      </c>
      <c r="D1924" t="inlineStr">
        <is>
          <t>STOCKHOLMS LÄN</t>
        </is>
      </c>
      <c r="E1924" t="inlineStr">
        <is>
          <t>NORRTÄLJE</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8132-2025</t>
        </is>
      </c>
      <c r="B1925" s="1" t="n">
        <v>45707</v>
      </c>
      <c r="C1925" s="1" t="n">
        <v>45758</v>
      </c>
      <c r="D1925" t="inlineStr">
        <is>
          <t>STOCKHOLMS LÄN</t>
        </is>
      </c>
      <c r="E1925" t="inlineStr">
        <is>
          <t>NORRTÄLJE</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8135-2025</t>
        </is>
      </c>
      <c r="B1926" s="1" t="n">
        <v>45707</v>
      </c>
      <c r="C1926" s="1" t="n">
        <v>45758</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8231-2025</t>
        </is>
      </c>
      <c r="B1927" s="1" t="n">
        <v>45708</v>
      </c>
      <c r="C1927" s="1" t="n">
        <v>45758</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8370-2025</t>
        </is>
      </c>
      <c r="B1928" s="1" t="n">
        <v>45708</v>
      </c>
      <c r="C1928" s="1" t="n">
        <v>45758</v>
      </c>
      <c r="D1928" t="inlineStr">
        <is>
          <t>STOCKHOLMS LÄN</t>
        </is>
      </c>
      <c r="E1928" t="inlineStr">
        <is>
          <t>NORRTÄLJE</t>
        </is>
      </c>
      <c r="F1928" t="inlineStr">
        <is>
          <t>Övriga Aktiebolag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8315-2025</t>
        </is>
      </c>
      <c r="B1929" s="1" t="n">
        <v>45708</v>
      </c>
      <c r="C1929" s="1" t="n">
        <v>45758</v>
      </c>
      <c r="D1929" t="inlineStr">
        <is>
          <t>STOCKHOLMS LÄN</t>
        </is>
      </c>
      <c r="E1929" t="inlineStr">
        <is>
          <t>NORRTÄLJE</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8419-2025</t>
        </is>
      </c>
      <c r="B1930" s="1" t="n">
        <v>45709</v>
      </c>
      <c r="C1930" s="1" t="n">
        <v>45758</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8547-2025</t>
        </is>
      </c>
      <c r="B1931" s="1" t="n">
        <v>45709</v>
      </c>
      <c r="C1931" s="1" t="n">
        <v>45758</v>
      </c>
      <c r="D1931" t="inlineStr">
        <is>
          <t>STOCKHOLMS LÄN</t>
        </is>
      </c>
      <c r="E1931" t="inlineStr">
        <is>
          <t>NORRTÄLJE</t>
        </is>
      </c>
      <c r="F1931" t="inlineStr">
        <is>
          <t>Övriga Aktiebolag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8414-2025</t>
        </is>
      </c>
      <c r="B1932" s="1" t="n">
        <v>45709</v>
      </c>
      <c r="C1932" s="1" t="n">
        <v>45758</v>
      </c>
      <c r="D1932" t="inlineStr">
        <is>
          <t>STOCKHOLMS LÄN</t>
        </is>
      </c>
      <c r="E1932" t="inlineStr">
        <is>
          <t>NORRTÄLJE</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8587-2025</t>
        </is>
      </c>
      <c r="B1933" s="1" t="n">
        <v>45709</v>
      </c>
      <c r="C1933" s="1" t="n">
        <v>45758</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8792-2025</t>
        </is>
      </c>
      <c r="B1934" s="1" t="n">
        <v>45712</v>
      </c>
      <c r="C1934" s="1" t="n">
        <v>45758</v>
      </c>
      <c r="D1934" t="inlineStr">
        <is>
          <t>STOCKHOLMS LÄN</t>
        </is>
      </c>
      <c r="E1934" t="inlineStr">
        <is>
          <t>NORRTÄLJE</t>
        </is>
      </c>
      <c r="F1934" t="inlineStr">
        <is>
          <t>Övriga Aktiebolag</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8950-2025</t>
        </is>
      </c>
      <c r="B1935" s="1" t="n">
        <v>45713</v>
      </c>
      <c r="C1935" s="1" t="n">
        <v>45758</v>
      </c>
      <c r="D1935" t="inlineStr">
        <is>
          <t>STOCKHOLMS LÄN</t>
        </is>
      </c>
      <c r="E1935" t="inlineStr">
        <is>
          <t>NORRTÄLJE</t>
        </is>
      </c>
      <c r="F1935" t="inlineStr">
        <is>
          <t>Övriga Aktiebolag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8963-2025</t>
        </is>
      </c>
      <c r="B1936" s="1" t="n">
        <v>45713</v>
      </c>
      <c r="C1936" s="1" t="n">
        <v>45758</v>
      </c>
      <c r="D1936" t="inlineStr">
        <is>
          <t>STOCKHOLMS LÄN</t>
        </is>
      </c>
      <c r="E1936" t="inlineStr">
        <is>
          <t>NORRTÄLJE</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9130-2025</t>
        </is>
      </c>
      <c r="B1937" s="1" t="n">
        <v>45713</v>
      </c>
      <c r="C1937" s="1" t="n">
        <v>45758</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9520-2025</t>
        </is>
      </c>
      <c r="B1938" s="1" t="n">
        <v>45715</v>
      </c>
      <c r="C1938" s="1" t="n">
        <v>45758</v>
      </c>
      <c r="D1938" t="inlineStr">
        <is>
          <t>STOCKHOLMS LÄN</t>
        </is>
      </c>
      <c r="E1938" t="inlineStr">
        <is>
          <t>NORRTÄLJE</t>
        </is>
      </c>
      <c r="G1938" t="n">
        <v>23.2</v>
      </c>
      <c r="H1938" t="n">
        <v>0</v>
      </c>
      <c r="I1938" t="n">
        <v>0</v>
      </c>
      <c r="J1938" t="n">
        <v>0</v>
      </c>
      <c r="K1938" t="n">
        <v>0</v>
      </c>
      <c r="L1938" t="n">
        <v>0</v>
      </c>
      <c r="M1938" t="n">
        <v>0</v>
      </c>
      <c r="N1938" t="n">
        <v>0</v>
      </c>
      <c r="O1938" t="n">
        <v>0</v>
      </c>
      <c r="P1938" t="n">
        <v>0</v>
      </c>
      <c r="Q1938" t="n">
        <v>0</v>
      </c>
      <c r="R1938" s="2" t="inlineStr"/>
    </row>
    <row r="1939" ht="15" customHeight="1">
      <c r="A1939" t="inlineStr">
        <is>
          <t>A 9480-2025</t>
        </is>
      </c>
      <c r="B1939" s="1" t="n">
        <v>45715</v>
      </c>
      <c r="C1939" s="1" t="n">
        <v>45758</v>
      </c>
      <c r="D1939" t="inlineStr">
        <is>
          <t>STOCKHOLMS LÄN</t>
        </is>
      </c>
      <c r="E1939" t="inlineStr">
        <is>
          <t>NORRTÄLJE</t>
        </is>
      </c>
      <c r="F1939" t="inlineStr">
        <is>
          <t>Övriga Aktiebolag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45758</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10557-2025</t>
        </is>
      </c>
      <c r="B1941" s="1" t="n">
        <v>45721</v>
      </c>
      <c r="C1941" s="1" t="n">
        <v>45758</v>
      </c>
      <c r="D1941" t="inlineStr">
        <is>
          <t>STOCKHOLMS LÄN</t>
        </is>
      </c>
      <c r="E1941" t="inlineStr">
        <is>
          <t>NORRTÄLJE</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10678-2025</t>
        </is>
      </c>
      <c r="B1942" s="1" t="n">
        <v>45721</v>
      </c>
      <c r="C1942" s="1" t="n">
        <v>45758</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10511-2025</t>
        </is>
      </c>
      <c r="B1943" s="1" t="n">
        <v>45721</v>
      </c>
      <c r="C1943" s="1" t="n">
        <v>45758</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10676-2025</t>
        </is>
      </c>
      <c r="B1944" s="1" t="n">
        <v>45721</v>
      </c>
      <c r="C1944" s="1" t="n">
        <v>45758</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10653-2025</t>
        </is>
      </c>
      <c r="B1945" s="1" t="n">
        <v>45721</v>
      </c>
      <c r="C1945" s="1" t="n">
        <v>45758</v>
      </c>
      <c r="D1945" t="inlineStr">
        <is>
          <t>STOCKHOLMS LÄN</t>
        </is>
      </c>
      <c r="E1945" t="inlineStr">
        <is>
          <t>NORRTÄLJE</t>
        </is>
      </c>
      <c r="F1945" t="inlineStr">
        <is>
          <t>Sveaskog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10973-2025</t>
        </is>
      </c>
      <c r="B1946" s="1" t="n">
        <v>45723</v>
      </c>
      <c r="C1946" s="1" t="n">
        <v>45758</v>
      </c>
      <c r="D1946" t="inlineStr">
        <is>
          <t>STOCKHOLMS LÄN</t>
        </is>
      </c>
      <c r="E1946" t="inlineStr">
        <is>
          <t>NORRTÄLJE</t>
        </is>
      </c>
      <c r="F1946" t="inlineStr">
        <is>
          <t>Övriga Aktiebolag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11041-2025</t>
        </is>
      </c>
      <c r="B1947" s="1" t="n">
        <v>45723</v>
      </c>
      <c r="C1947" s="1" t="n">
        <v>45758</v>
      </c>
      <c r="D1947" t="inlineStr">
        <is>
          <t>STOCKHOLMS LÄN</t>
        </is>
      </c>
      <c r="E1947" t="inlineStr">
        <is>
          <t>NORRTÄLJE</t>
        </is>
      </c>
      <c r="F1947" t="inlineStr">
        <is>
          <t>Övriga Aktiebolag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11333-2025</t>
        </is>
      </c>
      <c r="B1948" s="1" t="n">
        <v>45726</v>
      </c>
      <c r="C1948" s="1" t="n">
        <v>45758</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11332-2025</t>
        </is>
      </c>
      <c r="B1949" s="1" t="n">
        <v>45726</v>
      </c>
      <c r="C1949" s="1" t="n">
        <v>45758</v>
      </c>
      <c r="D1949" t="inlineStr">
        <is>
          <t>STOCKHOLMS LÄN</t>
        </is>
      </c>
      <c r="E1949" t="inlineStr">
        <is>
          <t>NORRTÄLJE</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11854-2025</t>
        </is>
      </c>
      <c r="B1950" s="1" t="n">
        <v>45728</v>
      </c>
      <c r="C1950" s="1" t="n">
        <v>45758</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11849-2025</t>
        </is>
      </c>
      <c r="B1951" s="1" t="n">
        <v>45728</v>
      </c>
      <c r="C1951" s="1" t="n">
        <v>45758</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12208-2025</t>
        </is>
      </c>
      <c r="B1952" s="1" t="n">
        <v>45729</v>
      </c>
      <c r="C1952" s="1" t="n">
        <v>45758</v>
      </c>
      <c r="D1952" t="inlineStr">
        <is>
          <t>STOCKHOLMS LÄN</t>
        </is>
      </c>
      <c r="E1952" t="inlineStr">
        <is>
          <t>NORRTÄLJE</t>
        </is>
      </c>
      <c r="F1952" t="inlineStr">
        <is>
          <t>Övriga Aktiebolag</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12302-2025</t>
        </is>
      </c>
      <c r="B1953" s="1" t="n">
        <v>45729</v>
      </c>
      <c r="C1953" s="1" t="n">
        <v>45758</v>
      </c>
      <c r="D1953" t="inlineStr">
        <is>
          <t>STOCKHOLMS LÄN</t>
        </is>
      </c>
      <c r="E1953" t="inlineStr">
        <is>
          <t>NORRTÄLJE</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12301-2025</t>
        </is>
      </c>
      <c r="B1954" s="1" t="n">
        <v>45729</v>
      </c>
      <c r="C1954" s="1" t="n">
        <v>45758</v>
      </c>
      <c r="D1954" t="inlineStr">
        <is>
          <t>STOCKHOLMS LÄN</t>
        </is>
      </c>
      <c r="E1954" t="inlineStr">
        <is>
          <t>NORRTÄLJE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12303-2025</t>
        </is>
      </c>
      <c r="B1955" s="1" t="n">
        <v>45729</v>
      </c>
      <c r="C1955" s="1" t="n">
        <v>45758</v>
      </c>
      <c r="D1955" t="inlineStr">
        <is>
          <t>STOCKHOLMS LÄN</t>
        </is>
      </c>
      <c r="E1955" t="inlineStr">
        <is>
          <t>NORRTÄLJE</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12247-2025</t>
        </is>
      </c>
      <c r="B1956" s="1" t="n">
        <v>45729</v>
      </c>
      <c r="C1956" s="1" t="n">
        <v>45758</v>
      </c>
      <c r="D1956" t="inlineStr">
        <is>
          <t>STOCKHOLMS LÄN</t>
        </is>
      </c>
      <c r="E1956" t="inlineStr">
        <is>
          <t>NORRTÄLJE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12251-2025</t>
        </is>
      </c>
      <c r="B1957" s="1" t="n">
        <v>45729</v>
      </c>
      <c r="C1957" s="1" t="n">
        <v>45758</v>
      </c>
      <c r="D1957" t="inlineStr">
        <is>
          <t>STOCKHOLMS LÄN</t>
        </is>
      </c>
      <c r="E1957" t="inlineStr">
        <is>
          <t>NORRTÄLJE</t>
        </is>
      </c>
      <c r="F1957" t="inlineStr">
        <is>
          <t>Holmen skog AB</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12299-2025</t>
        </is>
      </c>
      <c r="B1958" s="1" t="n">
        <v>45729</v>
      </c>
      <c r="C1958" s="1" t="n">
        <v>45758</v>
      </c>
      <c r="D1958" t="inlineStr">
        <is>
          <t>STOCKHOLMS LÄN</t>
        </is>
      </c>
      <c r="E1958" t="inlineStr">
        <is>
          <t>NORRTÄLJE</t>
        </is>
      </c>
      <c r="F1958" t="inlineStr">
        <is>
          <t>Holmen skog AB</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12530-2025</t>
        </is>
      </c>
      <c r="B1959" s="1" t="n">
        <v>45730</v>
      </c>
      <c r="C1959" s="1" t="n">
        <v>45758</v>
      </c>
      <c r="D1959" t="inlineStr">
        <is>
          <t>STOCKHOLMS LÄN</t>
        </is>
      </c>
      <c r="E1959" t="inlineStr">
        <is>
          <t>NORRTÄLJE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12535-2025</t>
        </is>
      </c>
      <c r="B1960" s="1" t="n">
        <v>45730</v>
      </c>
      <c r="C1960" s="1" t="n">
        <v>45758</v>
      </c>
      <c r="D1960" t="inlineStr">
        <is>
          <t>STOCKHOLMS LÄN</t>
        </is>
      </c>
      <c r="E1960" t="inlineStr">
        <is>
          <t>NORRTÄLJE</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12436-2025</t>
        </is>
      </c>
      <c r="B1961" s="1" t="n">
        <v>45730</v>
      </c>
      <c r="C1961" s="1" t="n">
        <v>45758</v>
      </c>
      <c r="D1961" t="inlineStr">
        <is>
          <t>STOCKHOLMS LÄN</t>
        </is>
      </c>
      <c r="E1961" t="inlineStr">
        <is>
          <t>NORRTÄLJE</t>
        </is>
      </c>
      <c r="F1961" t="inlineStr">
        <is>
          <t>Holmen skog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12527-2025</t>
        </is>
      </c>
      <c r="B1962" s="1" t="n">
        <v>45730</v>
      </c>
      <c r="C1962" s="1" t="n">
        <v>45758</v>
      </c>
      <c r="D1962" t="inlineStr">
        <is>
          <t>STOCKHOLMS LÄN</t>
        </is>
      </c>
      <c r="E1962" t="inlineStr">
        <is>
          <t>NORRTÄLJE</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12529-2025</t>
        </is>
      </c>
      <c r="B1963" s="1" t="n">
        <v>45730</v>
      </c>
      <c r="C1963" s="1" t="n">
        <v>45758</v>
      </c>
      <c r="D1963" t="inlineStr">
        <is>
          <t>STOCKHOLMS LÄN</t>
        </is>
      </c>
      <c r="E1963" t="inlineStr">
        <is>
          <t>NORRTÄLJE</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12534-2025</t>
        </is>
      </c>
      <c r="B1964" s="1" t="n">
        <v>45730</v>
      </c>
      <c r="C1964" s="1" t="n">
        <v>45758</v>
      </c>
      <c r="D1964" t="inlineStr">
        <is>
          <t>STOCKHOLMS LÄN</t>
        </is>
      </c>
      <c r="E1964" t="inlineStr">
        <is>
          <t>NORRTÄLJE</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12532-2025</t>
        </is>
      </c>
      <c r="B1965" s="1" t="n">
        <v>45730</v>
      </c>
      <c r="C1965" s="1" t="n">
        <v>45758</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12348-2025</t>
        </is>
      </c>
      <c r="B1966" s="1" t="n">
        <v>45730</v>
      </c>
      <c r="C1966" s="1" t="n">
        <v>45758</v>
      </c>
      <c r="D1966" t="inlineStr">
        <is>
          <t>STOCKHOLMS LÄN</t>
        </is>
      </c>
      <c r="E1966" t="inlineStr">
        <is>
          <t>NORRTÄLJE</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12407-2025</t>
        </is>
      </c>
      <c r="B1967" s="1" t="n">
        <v>45730</v>
      </c>
      <c r="C1967" s="1" t="n">
        <v>45758</v>
      </c>
      <c r="D1967" t="inlineStr">
        <is>
          <t>STOCKHOLMS LÄN</t>
        </is>
      </c>
      <c r="E1967" t="inlineStr">
        <is>
          <t>NORRTÄLJE</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12876-2025</t>
        </is>
      </c>
      <c r="B1968" s="1" t="n">
        <v>45733</v>
      </c>
      <c r="C1968" s="1" t="n">
        <v>45758</v>
      </c>
      <c r="D1968" t="inlineStr">
        <is>
          <t>STOCKHOLMS LÄN</t>
        </is>
      </c>
      <c r="E1968" t="inlineStr">
        <is>
          <t>NORRTÄLJE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12908-2025</t>
        </is>
      </c>
      <c r="B1969" s="1" t="n">
        <v>45733</v>
      </c>
      <c r="C1969" s="1" t="n">
        <v>45758</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13172-2025</t>
        </is>
      </c>
      <c r="B1970" s="1" t="n">
        <v>45735</v>
      </c>
      <c r="C1970" s="1" t="n">
        <v>45758</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13260-2025</t>
        </is>
      </c>
      <c r="B1971" s="1" t="n">
        <v>45735</v>
      </c>
      <c r="C1971" s="1" t="n">
        <v>45758</v>
      </c>
      <c r="D1971" t="inlineStr">
        <is>
          <t>STOCKHOLMS LÄN</t>
        </is>
      </c>
      <c r="E1971" t="inlineStr">
        <is>
          <t>NORRTÄLJE</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13288-2025</t>
        </is>
      </c>
      <c r="B1972" s="1" t="n">
        <v>45735</v>
      </c>
      <c r="C1972" s="1" t="n">
        <v>45758</v>
      </c>
      <c r="D1972" t="inlineStr">
        <is>
          <t>STOCKHOLMS LÄN</t>
        </is>
      </c>
      <c r="E1972" t="inlineStr">
        <is>
          <t>NORRTÄLJE</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13171-2025</t>
        </is>
      </c>
      <c r="B1973" s="1" t="n">
        <v>45735</v>
      </c>
      <c r="C1973" s="1" t="n">
        <v>45758</v>
      </c>
      <c r="D1973" t="inlineStr">
        <is>
          <t>STOCKHOLMS LÄN</t>
        </is>
      </c>
      <c r="E1973" t="inlineStr">
        <is>
          <t>NORRTÄLJE</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13331-2025</t>
        </is>
      </c>
      <c r="B1974" s="1" t="n">
        <v>45735</v>
      </c>
      <c r="C1974" s="1" t="n">
        <v>45758</v>
      </c>
      <c r="D1974" t="inlineStr">
        <is>
          <t>STOCKHOLMS LÄN</t>
        </is>
      </c>
      <c r="E1974" t="inlineStr">
        <is>
          <t>NORRTÄLJE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13283-2025</t>
        </is>
      </c>
      <c r="B1975" s="1" t="n">
        <v>45735</v>
      </c>
      <c r="C1975" s="1" t="n">
        <v>45758</v>
      </c>
      <c r="D1975" t="inlineStr">
        <is>
          <t>STOCKHOLMS LÄN</t>
        </is>
      </c>
      <c r="E1975" t="inlineStr">
        <is>
          <t>NORRTÄLJE</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13268-2025</t>
        </is>
      </c>
      <c r="B1976" s="1" t="n">
        <v>45735</v>
      </c>
      <c r="C1976" s="1" t="n">
        <v>45758</v>
      </c>
      <c r="D1976" t="inlineStr">
        <is>
          <t>STOCKHOLMS LÄN</t>
        </is>
      </c>
      <c r="E1976" t="inlineStr">
        <is>
          <t>NORRTÄLJE</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13314-2025</t>
        </is>
      </c>
      <c r="B1977" s="1" t="n">
        <v>45735</v>
      </c>
      <c r="C1977" s="1" t="n">
        <v>45758</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13247-2025</t>
        </is>
      </c>
      <c r="B1978" s="1" t="n">
        <v>45735</v>
      </c>
      <c r="C1978" s="1" t="n">
        <v>45758</v>
      </c>
      <c r="D1978" t="inlineStr">
        <is>
          <t>STOCKHOLMS LÄN</t>
        </is>
      </c>
      <c r="E1978" t="inlineStr">
        <is>
          <t>NORRTÄLJE</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13265-2025</t>
        </is>
      </c>
      <c r="B1979" s="1" t="n">
        <v>45735</v>
      </c>
      <c r="C1979" s="1" t="n">
        <v>45758</v>
      </c>
      <c r="D1979" t="inlineStr">
        <is>
          <t>STOCKHOLMS LÄN</t>
        </is>
      </c>
      <c r="E1979" t="inlineStr">
        <is>
          <t>NORRTÄLJE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13270-2025</t>
        </is>
      </c>
      <c r="B1980" s="1" t="n">
        <v>45735</v>
      </c>
      <c r="C1980" s="1" t="n">
        <v>45758</v>
      </c>
      <c r="D1980" t="inlineStr">
        <is>
          <t>STOCKHOLMS LÄN</t>
        </is>
      </c>
      <c r="E1980" t="inlineStr">
        <is>
          <t>NORRTÄLJE</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13279-2025</t>
        </is>
      </c>
      <c r="B1981" s="1" t="n">
        <v>45735</v>
      </c>
      <c r="C1981" s="1" t="n">
        <v>45758</v>
      </c>
      <c r="D1981" t="inlineStr">
        <is>
          <t>STOCKHOLMS LÄN</t>
        </is>
      </c>
      <c r="E1981" t="inlineStr">
        <is>
          <t>NORRTÄLJE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13291-2025</t>
        </is>
      </c>
      <c r="B1982" s="1" t="n">
        <v>45735</v>
      </c>
      <c r="C1982" s="1" t="n">
        <v>45758</v>
      </c>
      <c r="D1982" t="inlineStr">
        <is>
          <t>STOCKHOLMS LÄN</t>
        </is>
      </c>
      <c r="E1982" t="inlineStr">
        <is>
          <t>NORRTÄLJE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13179-2025</t>
        </is>
      </c>
      <c r="B1983" s="1" t="n">
        <v>45735</v>
      </c>
      <c r="C1983" s="1" t="n">
        <v>45758</v>
      </c>
      <c r="D1983" t="inlineStr">
        <is>
          <t>STOCKHOLMS LÄN</t>
        </is>
      </c>
      <c r="E1983" t="inlineStr">
        <is>
          <t>NORRTÄLJE</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13578-2025</t>
        </is>
      </c>
      <c r="B1984" s="1" t="n">
        <v>45736</v>
      </c>
      <c r="C1984" s="1" t="n">
        <v>45758</v>
      </c>
      <c r="D1984" t="inlineStr">
        <is>
          <t>STOCKHOLMS LÄN</t>
        </is>
      </c>
      <c r="E1984" t="inlineStr">
        <is>
          <t>NORRTÄLJE</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13767-2025</t>
        </is>
      </c>
      <c r="B1985" s="1" t="n">
        <v>45737</v>
      </c>
      <c r="C1985" s="1" t="n">
        <v>45758</v>
      </c>
      <c r="D1985" t="inlineStr">
        <is>
          <t>STOCKHOLMS LÄN</t>
        </is>
      </c>
      <c r="E1985" t="inlineStr">
        <is>
          <t>NORRTÄLJE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14130-2025</t>
        </is>
      </c>
      <c r="B1986" s="1" t="n">
        <v>45740</v>
      </c>
      <c r="C1986" s="1" t="n">
        <v>45758</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14132-2025</t>
        </is>
      </c>
      <c r="B1987" s="1" t="n">
        <v>45740</v>
      </c>
      <c r="C1987" s="1" t="n">
        <v>45758</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14127-2025</t>
        </is>
      </c>
      <c r="B1988" s="1" t="n">
        <v>45740</v>
      </c>
      <c r="C1988" s="1" t="n">
        <v>45758</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14133-2025</t>
        </is>
      </c>
      <c r="B1989" s="1" t="n">
        <v>45740</v>
      </c>
      <c r="C1989" s="1" t="n">
        <v>45758</v>
      </c>
      <c r="D1989" t="inlineStr">
        <is>
          <t>STOCKHOLMS LÄN</t>
        </is>
      </c>
      <c r="E1989" t="inlineStr">
        <is>
          <t>NORRTÄLJE</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14365-2025</t>
        </is>
      </c>
      <c r="B1990" s="1" t="n">
        <v>45741</v>
      </c>
      <c r="C1990" s="1" t="n">
        <v>45758</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14621-2025</t>
        </is>
      </c>
      <c r="B1991" s="1" t="n">
        <v>45742</v>
      </c>
      <c r="C1991" s="1" t="n">
        <v>45758</v>
      </c>
      <c r="D1991" t="inlineStr">
        <is>
          <t>STOCKHOLMS LÄN</t>
        </is>
      </c>
      <c r="E1991" t="inlineStr">
        <is>
          <t>NORRTÄLJE</t>
        </is>
      </c>
      <c r="F1991" t="inlineStr">
        <is>
          <t>Kyrkan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14733-2025</t>
        </is>
      </c>
      <c r="B1992" s="1" t="n">
        <v>45742</v>
      </c>
      <c r="C1992" s="1" t="n">
        <v>45758</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14873-2025</t>
        </is>
      </c>
      <c r="B1993" s="1" t="n">
        <v>45743</v>
      </c>
      <c r="C1993" s="1" t="n">
        <v>45758</v>
      </c>
      <c r="D1993" t="inlineStr">
        <is>
          <t>STOCKHOLMS LÄN</t>
        </is>
      </c>
      <c r="E1993" t="inlineStr">
        <is>
          <t>NORRTÄLJE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15328-2025</t>
        </is>
      </c>
      <c r="B1994" s="1" t="n">
        <v>45746</v>
      </c>
      <c r="C1994" s="1" t="n">
        <v>45758</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15534-2025</t>
        </is>
      </c>
      <c r="B1995" s="1" t="n">
        <v>45747</v>
      </c>
      <c r="C1995" s="1" t="n">
        <v>45758</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15559-2025</t>
        </is>
      </c>
      <c r="B1996" s="1" t="n">
        <v>45747</v>
      </c>
      <c r="C1996" s="1" t="n">
        <v>45758</v>
      </c>
      <c r="D1996" t="inlineStr">
        <is>
          <t>STOCKHOLMS LÄN</t>
        </is>
      </c>
      <c r="E1996" t="inlineStr">
        <is>
          <t>NORRTÄLJE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15528-2025</t>
        </is>
      </c>
      <c r="B1997" s="1" t="n">
        <v>45747</v>
      </c>
      <c r="C1997" s="1" t="n">
        <v>45758</v>
      </c>
      <c r="D1997" t="inlineStr">
        <is>
          <t>STOCKHOLMS LÄN</t>
        </is>
      </c>
      <c r="E1997" t="inlineStr">
        <is>
          <t>NORRTÄLJE</t>
        </is>
      </c>
      <c r="G1997" t="n">
        <v>10</v>
      </c>
      <c r="H1997" t="n">
        <v>0</v>
      </c>
      <c r="I1997" t="n">
        <v>0</v>
      </c>
      <c r="J1997" t="n">
        <v>0</v>
      </c>
      <c r="K1997" t="n">
        <v>0</v>
      </c>
      <c r="L1997" t="n">
        <v>0</v>
      </c>
      <c r="M1997" t="n">
        <v>0</v>
      </c>
      <c r="N1997" t="n">
        <v>0</v>
      </c>
      <c r="O1997" t="n">
        <v>0</v>
      </c>
      <c r="P1997" t="n">
        <v>0</v>
      </c>
      <c r="Q1997" t="n">
        <v>0</v>
      </c>
      <c r="R1997" s="2" t="inlineStr"/>
    </row>
    <row r="1998" ht="15" customHeight="1">
      <c r="A1998" t="inlineStr">
        <is>
          <t>A 15560-2025</t>
        </is>
      </c>
      <c r="B1998" s="1" t="n">
        <v>45747</v>
      </c>
      <c r="C1998" s="1" t="n">
        <v>45758</v>
      </c>
      <c r="D1998" t="inlineStr">
        <is>
          <t>STOCKHOLMS LÄN</t>
        </is>
      </c>
      <c r="E1998" t="inlineStr">
        <is>
          <t>NORRTÄLJE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15527-2025</t>
        </is>
      </c>
      <c r="B1999" s="1" t="n">
        <v>45747</v>
      </c>
      <c r="C1999" s="1" t="n">
        <v>45758</v>
      </c>
      <c r="D1999" t="inlineStr">
        <is>
          <t>STOCKHOLMS LÄN</t>
        </is>
      </c>
      <c r="E1999" t="inlineStr">
        <is>
          <t>NORRTÄLJE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15642-2025</t>
        </is>
      </c>
      <c r="B2000" s="1" t="n">
        <v>45748</v>
      </c>
      <c r="C2000" s="1" t="n">
        <v>45758</v>
      </c>
      <c r="D2000" t="inlineStr">
        <is>
          <t>STOCKHOLMS LÄN</t>
        </is>
      </c>
      <c r="E2000" t="inlineStr">
        <is>
          <t>NORRTÄLJE</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15733-2025</t>
        </is>
      </c>
      <c r="B2001" s="1" t="n">
        <v>45748</v>
      </c>
      <c r="C2001" s="1" t="n">
        <v>45758</v>
      </c>
      <c r="D2001" t="inlineStr">
        <is>
          <t>STOCKHOLMS LÄN</t>
        </is>
      </c>
      <c r="E2001" t="inlineStr">
        <is>
          <t>NORRTÄLJE</t>
        </is>
      </c>
      <c r="G2001" t="n">
        <v>13.3</v>
      </c>
      <c r="H2001" t="n">
        <v>0</v>
      </c>
      <c r="I2001" t="n">
        <v>0</v>
      </c>
      <c r="J2001" t="n">
        <v>0</v>
      </c>
      <c r="K2001" t="n">
        <v>0</v>
      </c>
      <c r="L2001" t="n">
        <v>0</v>
      </c>
      <c r="M2001" t="n">
        <v>0</v>
      </c>
      <c r="N2001" t="n">
        <v>0</v>
      </c>
      <c r="O2001" t="n">
        <v>0</v>
      </c>
      <c r="P2001" t="n">
        <v>0</v>
      </c>
      <c r="Q2001" t="n">
        <v>0</v>
      </c>
      <c r="R2001" s="2" t="inlineStr"/>
    </row>
    <row r="2002" ht="15" customHeight="1">
      <c r="A2002" t="inlineStr">
        <is>
          <t>A 16869-2025</t>
        </is>
      </c>
      <c r="B2002" s="1" t="n">
        <v>45754</v>
      </c>
      <c r="C2002" s="1" t="n">
        <v>45758</v>
      </c>
      <c r="D2002" t="inlineStr">
        <is>
          <t>STOCKHOLMS LÄN</t>
        </is>
      </c>
      <c r="E2002" t="inlineStr">
        <is>
          <t>NORRTÄLJE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16913-2025</t>
        </is>
      </c>
      <c r="B2003" s="1" t="n">
        <v>45755</v>
      </c>
      <c r="C2003" s="1" t="n">
        <v>45758</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17545-2025</t>
        </is>
      </c>
      <c r="B2004" s="1" t="n">
        <v>45757</v>
      </c>
      <c r="C2004" s="1" t="n">
        <v>45758</v>
      </c>
      <c r="D2004" t="inlineStr">
        <is>
          <t>STOCKHOLMS LÄN</t>
        </is>
      </c>
      <c r="E2004" t="inlineStr">
        <is>
          <t>NORRTÄLJE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17551-2025</t>
        </is>
      </c>
      <c r="B2005" s="1" t="n">
        <v>45757</v>
      </c>
      <c r="C2005" s="1" t="n">
        <v>45758</v>
      </c>
      <c r="D2005" t="inlineStr">
        <is>
          <t>STOCKHOLMS LÄN</t>
        </is>
      </c>
      <c r="E2005" t="inlineStr">
        <is>
          <t>NORRTÄLJE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17556-2025</t>
        </is>
      </c>
      <c r="B2006" s="1" t="n">
        <v>45757</v>
      </c>
      <c r="C2006" s="1" t="n">
        <v>45758</v>
      </c>
      <c r="D2006" t="inlineStr">
        <is>
          <t>STOCKHOLMS LÄN</t>
        </is>
      </c>
      <c r="E2006" t="inlineStr">
        <is>
          <t>NORRTÄLJE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17574-2025</t>
        </is>
      </c>
      <c r="B2007" s="1" t="n">
        <v>45757</v>
      </c>
      <c r="C2007" s="1" t="n">
        <v>45758</v>
      </c>
      <c r="D2007" t="inlineStr">
        <is>
          <t>STOCKHOLMS LÄN</t>
        </is>
      </c>
      <c r="E2007" t="inlineStr">
        <is>
          <t>NORRTÄLJE</t>
        </is>
      </c>
      <c r="G2007" t="n">
        <v>1.8</v>
      </c>
      <c r="H2007" t="n">
        <v>0</v>
      </c>
      <c r="I2007" t="n">
        <v>0</v>
      </c>
      <c r="J2007" t="n">
        <v>0</v>
      </c>
      <c r="K2007" t="n">
        <v>0</v>
      </c>
      <c r="L2007" t="n">
        <v>0</v>
      </c>
      <c r="M2007" t="n">
        <v>0</v>
      </c>
      <c r="N2007" t="n">
        <v>0</v>
      </c>
      <c r="O2007" t="n">
        <v>0</v>
      </c>
      <c r="P2007" t="n">
        <v>0</v>
      </c>
      <c r="Q2007" t="n">
        <v>0</v>
      </c>
      <c r="R2007" s="2" t="inlineStr"/>
    </row>
    <row r="2008">
      <c r="A2008" t="inlineStr">
        <is>
          <t>A 17407-2025</t>
        </is>
      </c>
      <c r="B2008" s="1" t="n">
        <v>45757</v>
      </c>
      <c r="C2008" s="1" t="n">
        <v>45758</v>
      </c>
      <c r="D2008" t="inlineStr">
        <is>
          <t>STOCKHOLMS LÄN</t>
        </is>
      </c>
      <c r="E2008" t="inlineStr">
        <is>
          <t>NORRTÄLJE</t>
        </is>
      </c>
      <c r="G2008" t="n">
        <v>1.7</v>
      </c>
      <c r="H2008" t="n">
        <v>0</v>
      </c>
      <c r="I2008" t="n">
        <v>0</v>
      </c>
      <c r="J2008" t="n">
        <v>0</v>
      </c>
      <c r="K2008" t="n">
        <v>0</v>
      </c>
      <c r="L2008" t="n">
        <v>0</v>
      </c>
      <c r="M2008" t="n">
        <v>0</v>
      </c>
      <c r="N2008" t="n">
        <v>0</v>
      </c>
      <c r="O2008" t="n">
        <v>0</v>
      </c>
      <c r="P2008" t="n">
        <v>0</v>
      </c>
      <c r="Q2008" t="n">
        <v>0</v>
      </c>
      <c r="R2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2025-04-11T16:41:02Z</dcterms:created>
  <dcterms:modified xmlns:dcterms="http://purl.org/dc/terms/" xmlns:xsi="http://www.w3.org/2001/XMLSchema-instance" xsi:type="dcterms:W3CDTF">2025-04-11T16:41:04Z</dcterms:modified>
</cp:coreProperties>
</file>