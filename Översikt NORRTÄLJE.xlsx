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45657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45657</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45657</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45657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45657</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45657</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45657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45657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45657</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45657</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45657</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45657</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45657</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45657</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45657</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45657</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45657</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45657</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45657</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45657</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45657</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45657</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45657</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56742-2024</t>
        </is>
      </c>
      <c r="B25" s="1" t="n">
        <v>45628</v>
      </c>
      <c r="C25" s="1" t="n">
        <v>45657</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56742-2024 artfynd.xlsx", "A 56742-2024")</f>
        <v/>
      </c>
      <c r="T25">
        <f>HYPERLINK("https://klasma.github.io/Logging_0188/kartor/A 56742-2024 karta.png", "A 56742-2024")</f>
        <v/>
      </c>
      <c r="V25">
        <f>HYPERLINK("https://klasma.github.io/Logging_0188/klagomål/A 56742-2024 FSC-klagomål.docx", "A 56742-2024")</f>
        <v/>
      </c>
      <c r="W25">
        <f>HYPERLINK("https://klasma.github.io/Logging_0188/klagomålsmail/A 56742-2024 FSC-klagomål mail.docx", "A 56742-2024")</f>
        <v/>
      </c>
      <c r="X25">
        <f>HYPERLINK("https://klasma.github.io/Logging_0188/tillsyn/A 56742-2024 tillsynsbegäran.docx", "A 56742-2024")</f>
        <v/>
      </c>
      <c r="Y25">
        <f>HYPERLINK("https://klasma.github.io/Logging_0188/tillsynsmail/A 56742-2024 tillsynsbegäran mail.docx", "A 56742-2024")</f>
        <v/>
      </c>
      <c r="Z25">
        <f>HYPERLINK("https://klasma.github.io/Logging_0188/fåglar/A 56742-2024 prioriterade fågelarter.docx", "A 56742-2024")</f>
        <v/>
      </c>
    </row>
    <row r="26" ht="15" customHeight="1">
      <c r="A26" t="inlineStr">
        <is>
          <t>A 56743-2024</t>
        </is>
      </c>
      <c r="B26" s="1" t="n">
        <v>45628</v>
      </c>
      <c r="C26" s="1" t="n">
        <v>45657</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3472-2023</t>
        </is>
      </c>
      <c r="B27" s="1" t="n">
        <v>44949</v>
      </c>
      <c r="C27" s="1" t="n">
        <v>45657</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45657</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45657</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45657</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45657</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45657</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45657</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45657</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45657</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45657</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45657</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45657</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45657</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45657</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45657</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45657</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45657</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45657</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45657</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45657</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45657</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45657</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59582-2024</t>
        </is>
      </c>
      <c r="B49" s="1" t="n">
        <v>45638</v>
      </c>
      <c r="C49" s="1" t="n">
        <v>45657</v>
      </c>
      <c r="D49" t="inlineStr">
        <is>
          <t>STOCKHOLMS LÄN</t>
        </is>
      </c>
      <c r="E49" t="inlineStr">
        <is>
          <t>NORRTÄLJE</t>
        </is>
      </c>
      <c r="F49" t="inlineStr">
        <is>
          <t>Holmen skog AB</t>
        </is>
      </c>
      <c r="G49" t="n">
        <v>2.7</v>
      </c>
      <c r="H49" t="n">
        <v>3</v>
      </c>
      <c r="I49" t="n">
        <v>4</v>
      </c>
      <c r="J49" t="n">
        <v>2</v>
      </c>
      <c r="K49" t="n">
        <v>0</v>
      </c>
      <c r="L49" t="n">
        <v>0</v>
      </c>
      <c r="M49" t="n">
        <v>0</v>
      </c>
      <c r="N49" t="n">
        <v>0</v>
      </c>
      <c r="O49" t="n">
        <v>2</v>
      </c>
      <c r="P49" t="n">
        <v>0</v>
      </c>
      <c r="Q49" t="n">
        <v>7</v>
      </c>
      <c r="R49" s="2" t="inlineStr">
        <is>
          <t>Duvhök
Spillkråka
Bronshjon
Granbräken
Spädstarr
Vågbandad barkbock
Revlummer</t>
        </is>
      </c>
      <c r="S49">
        <f>HYPERLINK("https://klasma.github.io/Logging_0188/artfynd/A 59582-2024 artfynd.xlsx", "A 59582-2024")</f>
        <v/>
      </c>
      <c r="T49">
        <f>HYPERLINK("https://klasma.github.io/Logging_0188/kartor/A 59582-2024 karta.png", "A 59582-2024")</f>
        <v/>
      </c>
      <c r="V49">
        <f>HYPERLINK("https://klasma.github.io/Logging_0188/klagomål/A 59582-2024 FSC-klagomål.docx", "A 59582-2024")</f>
        <v/>
      </c>
      <c r="W49">
        <f>HYPERLINK("https://klasma.github.io/Logging_0188/klagomålsmail/A 59582-2024 FSC-klagomål mail.docx", "A 59582-2024")</f>
        <v/>
      </c>
      <c r="X49">
        <f>HYPERLINK("https://klasma.github.io/Logging_0188/tillsyn/A 59582-2024 tillsynsbegäran.docx", "A 59582-2024")</f>
        <v/>
      </c>
      <c r="Y49">
        <f>HYPERLINK("https://klasma.github.io/Logging_0188/tillsynsmail/A 59582-2024 tillsynsbegäran mail.docx", "A 59582-2024")</f>
        <v/>
      </c>
      <c r="Z49">
        <f>HYPERLINK("https://klasma.github.io/Logging_0188/fåglar/A 59582-2024 prioriterade fågelarter.docx", "A 59582-2024")</f>
        <v/>
      </c>
    </row>
    <row r="50" ht="15" customHeight="1">
      <c r="A50" t="inlineStr">
        <is>
          <t>A 60084-2024</t>
        </is>
      </c>
      <c r="B50" s="1" t="n">
        <v>45642</v>
      </c>
      <c r="C50" s="1" t="n">
        <v>45657</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45657</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45657</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45657</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45657</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45657</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45657</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45657</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45657</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45657</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45657</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45657</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45657</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45657</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45657</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45657</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45657</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45657</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45657</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45657</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56785-2023</t>
        </is>
      </c>
      <c r="B70" s="1" t="n">
        <v>45244</v>
      </c>
      <c r="C70" s="1" t="n">
        <v>45657</v>
      </c>
      <c r="D70" t="inlineStr">
        <is>
          <t>STOCKHOLMS LÄN</t>
        </is>
      </c>
      <c r="E70" t="inlineStr">
        <is>
          <t>NORRTÄLJE</t>
        </is>
      </c>
      <c r="G70" t="n">
        <v>7.7</v>
      </c>
      <c r="H70" t="n">
        <v>0</v>
      </c>
      <c r="I70" t="n">
        <v>1</v>
      </c>
      <c r="J70" t="n">
        <v>3</v>
      </c>
      <c r="K70" t="n">
        <v>0</v>
      </c>
      <c r="L70" t="n">
        <v>0</v>
      </c>
      <c r="M70" t="n">
        <v>0</v>
      </c>
      <c r="N70" t="n">
        <v>0</v>
      </c>
      <c r="O70" t="n">
        <v>3</v>
      </c>
      <c r="P70" t="n">
        <v>0</v>
      </c>
      <c r="Q70" t="n">
        <v>4</v>
      </c>
      <c r="R70" s="2" t="inlineStr">
        <is>
          <t>Plattad lövvedborre
Skeppsvarvsfluga
Triplax rufipes
Dorcatoma chrysomelina</t>
        </is>
      </c>
      <c r="S70">
        <f>HYPERLINK("https://klasma.github.io/Logging_0188/artfynd/A 56785-2023 artfynd.xlsx", "A 56785-2023")</f>
        <v/>
      </c>
      <c r="T70">
        <f>HYPERLINK("https://klasma.github.io/Logging_0188/kartor/A 56785-2023 karta.png", "A 56785-2023")</f>
        <v/>
      </c>
      <c r="V70">
        <f>HYPERLINK("https://klasma.github.io/Logging_0188/klagomål/A 56785-2023 FSC-klagomål.docx", "A 56785-2023")</f>
        <v/>
      </c>
      <c r="W70">
        <f>HYPERLINK("https://klasma.github.io/Logging_0188/klagomålsmail/A 56785-2023 FSC-klagomål mail.docx", "A 56785-2023")</f>
        <v/>
      </c>
      <c r="X70">
        <f>HYPERLINK("https://klasma.github.io/Logging_0188/tillsyn/A 56785-2023 tillsynsbegäran.docx", "A 56785-2023")</f>
        <v/>
      </c>
      <c r="Y70">
        <f>HYPERLINK("https://klasma.github.io/Logging_0188/tillsynsmail/A 56785-2023 tillsynsbegäran mail.docx", "A 56785-2023")</f>
        <v/>
      </c>
    </row>
    <row r="71" ht="15" customHeight="1">
      <c r="A71" t="inlineStr">
        <is>
          <t>A 19617-2019</t>
        </is>
      </c>
      <c r="B71" s="1" t="n">
        <v>43566</v>
      </c>
      <c r="C71" s="1" t="n">
        <v>45657</v>
      </c>
      <c r="D71" t="inlineStr">
        <is>
          <t>STOCKHOLMS LÄN</t>
        </is>
      </c>
      <c r="E71" t="inlineStr">
        <is>
          <t>NORRTÄLJE</t>
        </is>
      </c>
      <c r="G71" t="n">
        <v>16.1</v>
      </c>
      <c r="H71" t="n">
        <v>2</v>
      </c>
      <c r="I71" t="n">
        <v>1</v>
      </c>
      <c r="J71" t="n">
        <v>1</v>
      </c>
      <c r="K71" t="n">
        <v>0</v>
      </c>
      <c r="L71" t="n">
        <v>0</v>
      </c>
      <c r="M71" t="n">
        <v>0</v>
      </c>
      <c r="N71" t="n">
        <v>0</v>
      </c>
      <c r="O71" t="n">
        <v>1</v>
      </c>
      <c r="P71" t="n">
        <v>0</v>
      </c>
      <c r="Q71" t="n">
        <v>3</v>
      </c>
      <c r="R71" s="2" t="inlineStr">
        <is>
          <t>Havsörn
Myskbock
Blåsippa</t>
        </is>
      </c>
      <c r="S71">
        <f>HYPERLINK("https://klasma.github.io/Logging_0188/artfynd/A 19617-2019 artfynd.xlsx", "A 19617-2019")</f>
        <v/>
      </c>
      <c r="T71">
        <f>HYPERLINK("https://klasma.github.io/Logging_0188/kartor/A 19617-2019 karta.png", "A 19617-2019")</f>
        <v/>
      </c>
      <c r="V71">
        <f>HYPERLINK("https://klasma.github.io/Logging_0188/klagomål/A 19617-2019 FSC-klagomål.docx", "A 19617-2019")</f>
        <v/>
      </c>
      <c r="W71">
        <f>HYPERLINK("https://klasma.github.io/Logging_0188/klagomålsmail/A 19617-2019 FSC-klagomål mail.docx", "A 19617-2019")</f>
        <v/>
      </c>
      <c r="X71">
        <f>HYPERLINK("https://klasma.github.io/Logging_0188/tillsyn/A 19617-2019 tillsynsbegäran.docx", "A 19617-2019")</f>
        <v/>
      </c>
      <c r="Y71">
        <f>HYPERLINK("https://klasma.github.io/Logging_0188/tillsynsmail/A 19617-2019 tillsynsbegäran mail.docx", "A 19617-2019")</f>
        <v/>
      </c>
      <c r="Z71">
        <f>HYPERLINK("https://klasma.github.io/Logging_0188/fåglar/A 19617-2019 prioriterade fågelarter.docx", "A 19617-2019")</f>
        <v/>
      </c>
    </row>
    <row r="72" ht="15" customHeight="1">
      <c r="A72" t="inlineStr">
        <is>
          <t>A 28495-2020</t>
        </is>
      </c>
      <c r="B72" s="1" t="n">
        <v>43999</v>
      </c>
      <c r="C72" s="1" t="n">
        <v>45657</v>
      </c>
      <c r="D72" t="inlineStr">
        <is>
          <t>STOCKHOLMS LÄN</t>
        </is>
      </c>
      <c r="E72" t="inlineStr">
        <is>
          <t>NORRTÄLJE</t>
        </is>
      </c>
      <c r="G72" t="n">
        <v>0.5</v>
      </c>
      <c r="H72" t="n">
        <v>1</v>
      </c>
      <c r="I72" t="n">
        <v>0</v>
      </c>
      <c r="J72" t="n">
        <v>2</v>
      </c>
      <c r="K72" t="n">
        <v>0</v>
      </c>
      <c r="L72" t="n">
        <v>0</v>
      </c>
      <c r="M72" t="n">
        <v>0</v>
      </c>
      <c r="N72" t="n">
        <v>0</v>
      </c>
      <c r="O72" t="n">
        <v>2</v>
      </c>
      <c r="P72" t="n">
        <v>0</v>
      </c>
      <c r="Q72" t="n">
        <v>3</v>
      </c>
      <c r="R72" s="2" t="inlineStr">
        <is>
          <t>Backklöver
Slåtterfibbla
Grönvit nattviol</t>
        </is>
      </c>
      <c r="S72">
        <f>HYPERLINK("https://klasma.github.io/Logging_0188/artfynd/A 28495-2020 artfynd.xlsx", "A 28495-2020")</f>
        <v/>
      </c>
      <c r="T72">
        <f>HYPERLINK("https://klasma.github.io/Logging_0188/kartor/A 28495-2020 karta.png", "A 28495-2020")</f>
        <v/>
      </c>
      <c r="V72">
        <f>HYPERLINK("https://klasma.github.io/Logging_0188/klagomål/A 28495-2020 FSC-klagomål.docx", "A 28495-2020")</f>
        <v/>
      </c>
      <c r="W72">
        <f>HYPERLINK("https://klasma.github.io/Logging_0188/klagomålsmail/A 28495-2020 FSC-klagomål mail.docx", "A 28495-2020")</f>
        <v/>
      </c>
      <c r="X72">
        <f>HYPERLINK("https://klasma.github.io/Logging_0188/tillsyn/A 28495-2020 tillsynsbegäran.docx", "A 28495-2020")</f>
        <v/>
      </c>
      <c r="Y72">
        <f>HYPERLINK("https://klasma.github.io/Logging_0188/tillsynsmail/A 28495-2020 tillsynsbegäran mail.docx", "A 28495-2020")</f>
        <v/>
      </c>
    </row>
    <row r="73" ht="15" customHeight="1">
      <c r="A73" t="inlineStr">
        <is>
          <t>A 14560-2021</t>
        </is>
      </c>
      <c r="B73" s="1" t="n">
        <v>44279</v>
      </c>
      <c r="C73" s="1" t="n">
        <v>45657</v>
      </c>
      <c r="D73" t="inlineStr">
        <is>
          <t>STOCKHOLMS LÄN</t>
        </is>
      </c>
      <c r="E73" t="inlineStr">
        <is>
          <t>NORRTÄLJE</t>
        </is>
      </c>
      <c r="G73" t="n">
        <v>1.8</v>
      </c>
      <c r="H73" t="n">
        <v>0</v>
      </c>
      <c r="I73" t="n">
        <v>2</v>
      </c>
      <c r="J73" t="n">
        <v>1</v>
      </c>
      <c r="K73" t="n">
        <v>0</v>
      </c>
      <c r="L73" t="n">
        <v>0</v>
      </c>
      <c r="M73" t="n">
        <v>0</v>
      </c>
      <c r="N73" t="n">
        <v>0</v>
      </c>
      <c r="O73" t="n">
        <v>1</v>
      </c>
      <c r="P73" t="n">
        <v>0</v>
      </c>
      <c r="Q73" t="n">
        <v>3</v>
      </c>
      <c r="R73" s="2" t="inlineStr">
        <is>
          <t>Vit vedfingersvamp
Stor aspticka
Vedticka</t>
        </is>
      </c>
      <c r="S73">
        <f>HYPERLINK("https://klasma.github.io/Logging_0188/artfynd/A 14560-2021 artfynd.xlsx", "A 14560-2021")</f>
        <v/>
      </c>
      <c r="T73">
        <f>HYPERLINK("https://klasma.github.io/Logging_0188/kartor/A 14560-2021 karta.png", "A 14560-2021")</f>
        <v/>
      </c>
      <c r="V73">
        <f>HYPERLINK("https://klasma.github.io/Logging_0188/klagomål/A 14560-2021 FSC-klagomål.docx", "A 14560-2021")</f>
        <v/>
      </c>
      <c r="W73">
        <f>HYPERLINK("https://klasma.github.io/Logging_0188/klagomålsmail/A 14560-2021 FSC-klagomål mail.docx", "A 14560-2021")</f>
        <v/>
      </c>
      <c r="X73">
        <f>HYPERLINK("https://klasma.github.io/Logging_0188/tillsyn/A 14560-2021 tillsynsbegäran.docx", "A 14560-2021")</f>
        <v/>
      </c>
      <c r="Y73">
        <f>HYPERLINK("https://klasma.github.io/Logging_0188/tillsynsmail/A 14560-2021 tillsynsbegäran mail.docx", "A 14560-2021")</f>
        <v/>
      </c>
    </row>
    <row r="74" ht="15" customHeight="1">
      <c r="A74" t="inlineStr">
        <is>
          <t>A 17673-2021</t>
        </is>
      </c>
      <c r="B74" s="1" t="n">
        <v>44300</v>
      </c>
      <c r="C74" s="1" t="n">
        <v>45657</v>
      </c>
      <c r="D74" t="inlineStr">
        <is>
          <t>STOCKHOLMS LÄN</t>
        </is>
      </c>
      <c r="E74" t="inlineStr">
        <is>
          <t>NORRTÄLJE</t>
        </is>
      </c>
      <c r="G74" t="n">
        <v>10.4</v>
      </c>
      <c r="H74" t="n">
        <v>3</v>
      </c>
      <c r="I74" t="n">
        <v>0</v>
      </c>
      <c r="J74" t="n">
        <v>2</v>
      </c>
      <c r="K74" t="n">
        <v>0</v>
      </c>
      <c r="L74" t="n">
        <v>0</v>
      </c>
      <c r="M74" t="n">
        <v>0</v>
      </c>
      <c r="N74" t="n">
        <v>0</v>
      </c>
      <c r="O74" t="n">
        <v>2</v>
      </c>
      <c r="P74" t="n">
        <v>0</v>
      </c>
      <c r="Q74" t="n">
        <v>3</v>
      </c>
      <c r="R74" s="2" t="inlineStr">
        <is>
          <t>Grönsångare
Havsörn
Blåsippa</t>
        </is>
      </c>
      <c r="S74">
        <f>HYPERLINK("https://klasma.github.io/Logging_0188/artfynd/A 17673-2021 artfynd.xlsx", "A 17673-2021")</f>
        <v/>
      </c>
      <c r="T74">
        <f>HYPERLINK("https://klasma.github.io/Logging_0188/kartor/A 17673-2021 karta.png", "A 17673-2021")</f>
        <v/>
      </c>
      <c r="V74">
        <f>HYPERLINK("https://klasma.github.io/Logging_0188/klagomål/A 17673-2021 FSC-klagomål.docx", "A 17673-2021")</f>
        <v/>
      </c>
      <c r="W74">
        <f>HYPERLINK("https://klasma.github.io/Logging_0188/klagomålsmail/A 17673-2021 FSC-klagomål mail.docx", "A 17673-2021")</f>
        <v/>
      </c>
      <c r="X74">
        <f>HYPERLINK("https://klasma.github.io/Logging_0188/tillsyn/A 17673-2021 tillsynsbegäran.docx", "A 17673-2021")</f>
        <v/>
      </c>
      <c r="Y74">
        <f>HYPERLINK("https://klasma.github.io/Logging_0188/tillsynsmail/A 17673-2021 tillsynsbegäran mail.docx", "A 17673-2021")</f>
        <v/>
      </c>
      <c r="Z74">
        <f>HYPERLINK("https://klasma.github.io/Logging_0188/fåglar/A 17673-2021 prioriterade fågelarter.docx", "A 17673-2021")</f>
        <v/>
      </c>
    </row>
    <row r="75" ht="15" customHeight="1">
      <c r="A75" t="inlineStr">
        <is>
          <t>A 65629-2021</t>
        </is>
      </c>
      <c r="B75" s="1" t="n">
        <v>44516</v>
      </c>
      <c r="C75" s="1" t="n">
        <v>45657</v>
      </c>
      <c r="D75" t="inlineStr">
        <is>
          <t>STOCKHOLMS LÄN</t>
        </is>
      </c>
      <c r="E75" t="inlineStr">
        <is>
          <t>NORRTÄLJE</t>
        </is>
      </c>
      <c r="G75" t="n">
        <v>3</v>
      </c>
      <c r="H75" t="n">
        <v>0</v>
      </c>
      <c r="I75" t="n">
        <v>1</v>
      </c>
      <c r="J75" t="n">
        <v>2</v>
      </c>
      <c r="K75" t="n">
        <v>0</v>
      </c>
      <c r="L75" t="n">
        <v>0</v>
      </c>
      <c r="M75" t="n">
        <v>0</v>
      </c>
      <c r="N75" t="n">
        <v>0</v>
      </c>
      <c r="O75" t="n">
        <v>2</v>
      </c>
      <c r="P75" t="n">
        <v>0</v>
      </c>
      <c r="Q75" t="n">
        <v>3</v>
      </c>
      <c r="R75" s="2" t="inlineStr">
        <is>
          <t>Granticka
Ullticka
Granbarkgnagare</t>
        </is>
      </c>
      <c r="S75">
        <f>HYPERLINK("https://klasma.github.io/Logging_0188/artfynd/A 65629-2021 artfynd.xlsx", "A 65629-2021")</f>
        <v/>
      </c>
      <c r="T75">
        <f>HYPERLINK("https://klasma.github.io/Logging_0188/kartor/A 65629-2021 karta.png", "A 65629-2021")</f>
        <v/>
      </c>
      <c r="V75">
        <f>HYPERLINK("https://klasma.github.io/Logging_0188/klagomål/A 65629-2021 FSC-klagomål.docx", "A 65629-2021")</f>
        <v/>
      </c>
      <c r="W75">
        <f>HYPERLINK("https://klasma.github.io/Logging_0188/klagomålsmail/A 65629-2021 FSC-klagomål mail.docx", "A 65629-2021")</f>
        <v/>
      </c>
      <c r="X75">
        <f>HYPERLINK("https://klasma.github.io/Logging_0188/tillsyn/A 65629-2021 tillsynsbegäran.docx", "A 65629-2021")</f>
        <v/>
      </c>
      <c r="Y75">
        <f>HYPERLINK("https://klasma.github.io/Logging_0188/tillsynsmail/A 65629-2021 tillsynsbegäran mail.docx", "A 65629-2021")</f>
        <v/>
      </c>
    </row>
    <row r="76" ht="15" customHeight="1">
      <c r="A76" t="inlineStr">
        <is>
          <t>A 12215-2022</t>
        </is>
      </c>
      <c r="B76" s="1" t="n">
        <v>44637</v>
      </c>
      <c r="C76" s="1" t="n">
        <v>45657</v>
      </c>
      <c r="D76" t="inlineStr">
        <is>
          <t>STOCKHOLMS LÄN</t>
        </is>
      </c>
      <c r="E76" t="inlineStr">
        <is>
          <t>NORRTÄLJE</t>
        </is>
      </c>
      <c r="G76" t="n">
        <v>3.1</v>
      </c>
      <c r="H76" t="n">
        <v>3</v>
      </c>
      <c r="I76" t="n">
        <v>3</v>
      </c>
      <c r="J76" t="n">
        <v>0</v>
      </c>
      <c r="K76" t="n">
        <v>0</v>
      </c>
      <c r="L76" t="n">
        <v>0</v>
      </c>
      <c r="M76" t="n">
        <v>0</v>
      </c>
      <c r="N76" t="n">
        <v>0</v>
      </c>
      <c r="O76" t="n">
        <v>0</v>
      </c>
      <c r="P76" t="n">
        <v>0</v>
      </c>
      <c r="Q76" t="n">
        <v>3</v>
      </c>
      <c r="R76" s="2" t="inlineStr">
        <is>
          <t>Guckusko
Skogsknipprot
Tvåblad</t>
        </is>
      </c>
      <c r="S76">
        <f>HYPERLINK("https://klasma.github.io/Logging_0188/artfynd/A 12215-2022 artfynd.xlsx", "A 12215-2022")</f>
        <v/>
      </c>
      <c r="T76">
        <f>HYPERLINK("https://klasma.github.io/Logging_0188/kartor/A 12215-2022 karta.png", "A 12215-2022")</f>
        <v/>
      </c>
      <c r="V76">
        <f>HYPERLINK("https://klasma.github.io/Logging_0188/klagomål/A 12215-2022 FSC-klagomål.docx", "A 12215-2022")</f>
        <v/>
      </c>
      <c r="W76">
        <f>HYPERLINK("https://klasma.github.io/Logging_0188/klagomålsmail/A 12215-2022 FSC-klagomål mail.docx", "A 12215-2022")</f>
        <v/>
      </c>
      <c r="X76">
        <f>HYPERLINK("https://klasma.github.io/Logging_0188/tillsyn/A 12215-2022 tillsynsbegäran.docx", "A 12215-2022")</f>
        <v/>
      </c>
      <c r="Y76">
        <f>HYPERLINK("https://klasma.github.io/Logging_0188/tillsynsmail/A 12215-2022 tillsynsbegäran mail.docx", "A 12215-2022")</f>
        <v/>
      </c>
    </row>
    <row r="77" ht="15" customHeight="1">
      <c r="A77" t="inlineStr">
        <is>
          <t>A 20185-2022</t>
        </is>
      </c>
      <c r="B77" s="1" t="n">
        <v>44698</v>
      </c>
      <c r="C77" s="1" t="n">
        <v>45657</v>
      </c>
      <c r="D77" t="inlineStr">
        <is>
          <t>STOCKHOLMS LÄN</t>
        </is>
      </c>
      <c r="E77" t="inlineStr">
        <is>
          <t>NORRTÄLJE</t>
        </is>
      </c>
      <c r="G77" t="n">
        <v>8.4</v>
      </c>
      <c r="H77" t="n">
        <v>1</v>
      </c>
      <c r="I77" t="n">
        <v>2</v>
      </c>
      <c r="J77" t="n">
        <v>0</v>
      </c>
      <c r="K77" t="n">
        <v>1</v>
      </c>
      <c r="L77" t="n">
        <v>0</v>
      </c>
      <c r="M77" t="n">
        <v>0</v>
      </c>
      <c r="N77" t="n">
        <v>0</v>
      </c>
      <c r="O77" t="n">
        <v>1</v>
      </c>
      <c r="P77" t="n">
        <v>1</v>
      </c>
      <c r="Q77" t="n">
        <v>3</v>
      </c>
      <c r="R77" s="2" t="inlineStr">
        <is>
          <t>Tallbit
Gullgröppa
Vedticka</t>
        </is>
      </c>
      <c r="S77">
        <f>HYPERLINK("https://klasma.github.io/Logging_0188/artfynd/A 20185-2022 artfynd.xlsx", "A 20185-2022")</f>
        <v/>
      </c>
      <c r="T77">
        <f>HYPERLINK("https://klasma.github.io/Logging_0188/kartor/A 20185-2022 karta.png", "A 20185-2022")</f>
        <v/>
      </c>
      <c r="V77">
        <f>HYPERLINK("https://klasma.github.io/Logging_0188/klagomål/A 20185-2022 FSC-klagomål.docx", "A 20185-2022")</f>
        <v/>
      </c>
      <c r="W77">
        <f>HYPERLINK("https://klasma.github.io/Logging_0188/klagomålsmail/A 20185-2022 FSC-klagomål mail.docx", "A 20185-2022")</f>
        <v/>
      </c>
      <c r="X77">
        <f>HYPERLINK("https://klasma.github.io/Logging_0188/tillsyn/A 20185-2022 tillsynsbegäran.docx", "A 20185-2022")</f>
        <v/>
      </c>
      <c r="Y77">
        <f>HYPERLINK("https://klasma.github.io/Logging_0188/tillsynsmail/A 20185-2022 tillsynsbegäran mail.docx", "A 20185-2022")</f>
        <v/>
      </c>
      <c r="Z77">
        <f>HYPERLINK("https://klasma.github.io/Logging_0188/fåglar/A 20185-2022 prioriterade fågelarter.docx", "A 20185-2022")</f>
        <v/>
      </c>
    </row>
    <row r="78" ht="15" customHeight="1">
      <c r="A78" t="inlineStr">
        <is>
          <t>A 28836-2022</t>
        </is>
      </c>
      <c r="B78" s="1" t="n">
        <v>44749</v>
      </c>
      <c r="C78" s="1" t="n">
        <v>45657</v>
      </c>
      <c r="D78" t="inlineStr">
        <is>
          <t>STOCKHOLMS LÄN</t>
        </is>
      </c>
      <c r="E78" t="inlineStr">
        <is>
          <t>NORRTÄLJE</t>
        </is>
      </c>
      <c r="G78" t="n">
        <v>25</v>
      </c>
      <c r="H78" t="n">
        <v>2</v>
      </c>
      <c r="I78" t="n">
        <v>0</v>
      </c>
      <c r="J78" t="n">
        <v>2</v>
      </c>
      <c r="K78" t="n">
        <v>0</v>
      </c>
      <c r="L78" t="n">
        <v>0</v>
      </c>
      <c r="M78" t="n">
        <v>0</v>
      </c>
      <c r="N78" t="n">
        <v>0</v>
      </c>
      <c r="O78" t="n">
        <v>2</v>
      </c>
      <c r="P78" t="n">
        <v>0</v>
      </c>
      <c r="Q78" t="n">
        <v>3</v>
      </c>
      <c r="R78" s="2" t="inlineStr">
        <is>
          <t>Backklöver
Svartvit flugsnappare
Skogsödla</t>
        </is>
      </c>
      <c r="S78">
        <f>HYPERLINK("https://klasma.github.io/Logging_0188/artfynd/A 28836-2022 artfynd.xlsx", "A 28836-2022")</f>
        <v/>
      </c>
      <c r="T78">
        <f>HYPERLINK("https://klasma.github.io/Logging_0188/kartor/A 28836-2022 karta.png", "A 28836-2022")</f>
        <v/>
      </c>
      <c r="V78">
        <f>HYPERLINK("https://klasma.github.io/Logging_0188/klagomål/A 28836-2022 FSC-klagomål.docx", "A 28836-2022")</f>
        <v/>
      </c>
      <c r="W78">
        <f>HYPERLINK("https://klasma.github.io/Logging_0188/klagomålsmail/A 28836-2022 FSC-klagomål mail.docx", "A 28836-2022")</f>
        <v/>
      </c>
      <c r="X78">
        <f>HYPERLINK("https://klasma.github.io/Logging_0188/tillsyn/A 28836-2022 tillsynsbegäran.docx", "A 28836-2022")</f>
        <v/>
      </c>
      <c r="Y78">
        <f>HYPERLINK("https://klasma.github.io/Logging_0188/tillsynsmail/A 28836-2022 tillsynsbegäran mail.docx", "A 28836-2022")</f>
        <v/>
      </c>
      <c r="Z78">
        <f>HYPERLINK("https://klasma.github.io/Logging_0188/fåglar/A 28836-2022 prioriterade fågelarter.docx", "A 28836-2022")</f>
        <v/>
      </c>
    </row>
    <row r="79" ht="15" customHeight="1">
      <c r="A79" t="inlineStr">
        <is>
          <t>A 45113-2022</t>
        </is>
      </c>
      <c r="B79" s="1" t="n">
        <v>44843</v>
      </c>
      <c r="C79" s="1" t="n">
        <v>45657</v>
      </c>
      <c r="D79" t="inlineStr">
        <is>
          <t>STOCKHOLMS LÄN</t>
        </is>
      </c>
      <c r="E79" t="inlineStr">
        <is>
          <t>NORRTÄLJE</t>
        </is>
      </c>
      <c r="G79" t="n">
        <v>1.7</v>
      </c>
      <c r="H79" t="n">
        <v>0</v>
      </c>
      <c r="I79" t="n">
        <v>1</v>
      </c>
      <c r="J79" t="n">
        <v>1</v>
      </c>
      <c r="K79" t="n">
        <v>1</v>
      </c>
      <c r="L79" t="n">
        <v>0</v>
      </c>
      <c r="M79" t="n">
        <v>0</v>
      </c>
      <c r="N79" t="n">
        <v>0</v>
      </c>
      <c r="O79" t="n">
        <v>2</v>
      </c>
      <c r="P79" t="n">
        <v>1</v>
      </c>
      <c r="Q79" t="n">
        <v>3</v>
      </c>
      <c r="R79" s="2" t="inlineStr">
        <is>
          <t>Violett fingersvamp
Kandelabersvamp
Slät lönnlav</t>
        </is>
      </c>
      <c r="S79">
        <f>HYPERLINK("https://klasma.github.io/Logging_0188/artfynd/A 45113-2022 artfynd.xlsx", "A 45113-2022")</f>
        <v/>
      </c>
      <c r="T79">
        <f>HYPERLINK("https://klasma.github.io/Logging_0188/kartor/A 45113-2022 karta.png", "A 45113-2022")</f>
        <v/>
      </c>
      <c r="V79">
        <f>HYPERLINK("https://klasma.github.io/Logging_0188/klagomål/A 45113-2022 FSC-klagomål.docx", "A 45113-2022")</f>
        <v/>
      </c>
      <c r="W79">
        <f>HYPERLINK("https://klasma.github.io/Logging_0188/klagomålsmail/A 45113-2022 FSC-klagomål mail.docx", "A 45113-2022")</f>
        <v/>
      </c>
      <c r="X79">
        <f>HYPERLINK("https://klasma.github.io/Logging_0188/tillsyn/A 45113-2022 tillsynsbegäran.docx", "A 45113-2022")</f>
        <v/>
      </c>
      <c r="Y79">
        <f>HYPERLINK("https://klasma.github.io/Logging_0188/tillsynsmail/A 45113-2022 tillsynsbegäran mail.docx", "A 45113-2022")</f>
        <v/>
      </c>
    </row>
    <row r="80" ht="15" customHeight="1">
      <c r="A80" t="inlineStr">
        <is>
          <t>A 50618-2022</t>
        </is>
      </c>
      <c r="B80" s="1" t="n">
        <v>44866</v>
      </c>
      <c r="C80" s="1" t="n">
        <v>45657</v>
      </c>
      <c r="D80" t="inlineStr">
        <is>
          <t>STOCKHOLMS LÄN</t>
        </is>
      </c>
      <c r="E80" t="inlineStr">
        <is>
          <t>NORRTÄLJE</t>
        </is>
      </c>
      <c r="G80" t="n">
        <v>7.8</v>
      </c>
      <c r="H80" t="n">
        <v>2</v>
      </c>
      <c r="I80" t="n">
        <v>2</v>
      </c>
      <c r="J80" t="n">
        <v>0</v>
      </c>
      <c r="K80" t="n">
        <v>0</v>
      </c>
      <c r="L80" t="n">
        <v>0</v>
      </c>
      <c r="M80" t="n">
        <v>0</v>
      </c>
      <c r="N80" t="n">
        <v>0</v>
      </c>
      <c r="O80" t="n">
        <v>0</v>
      </c>
      <c r="P80" t="n">
        <v>0</v>
      </c>
      <c r="Q80" t="n">
        <v>3</v>
      </c>
      <c r="R80" s="2" t="inlineStr">
        <is>
          <t>Skogsknipprot
Vårärt
Blåsippa</t>
        </is>
      </c>
      <c r="S80">
        <f>HYPERLINK("https://klasma.github.io/Logging_0188/artfynd/A 50618-2022 artfynd.xlsx", "A 50618-2022")</f>
        <v/>
      </c>
      <c r="T80">
        <f>HYPERLINK("https://klasma.github.io/Logging_0188/kartor/A 50618-2022 karta.png", "A 50618-2022")</f>
        <v/>
      </c>
      <c r="V80">
        <f>HYPERLINK("https://klasma.github.io/Logging_0188/klagomål/A 50618-2022 FSC-klagomål.docx", "A 50618-2022")</f>
        <v/>
      </c>
      <c r="W80">
        <f>HYPERLINK("https://klasma.github.io/Logging_0188/klagomålsmail/A 50618-2022 FSC-klagomål mail.docx", "A 50618-2022")</f>
        <v/>
      </c>
      <c r="X80">
        <f>HYPERLINK("https://klasma.github.io/Logging_0188/tillsyn/A 50618-2022 tillsynsbegäran.docx", "A 50618-2022")</f>
        <v/>
      </c>
      <c r="Y80">
        <f>HYPERLINK("https://klasma.github.io/Logging_0188/tillsynsmail/A 50618-2022 tillsynsbegäran mail.docx", "A 50618-2022")</f>
        <v/>
      </c>
    </row>
    <row r="81" ht="15" customHeight="1">
      <c r="A81" t="inlineStr">
        <is>
          <t>A 2851-2023</t>
        </is>
      </c>
      <c r="B81" s="1" t="n">
        <v>44945</v>
      </c>
      <c r="C81" s="1" t="n">
        <v>45657</v>
      </c>
      <c r="D81" t="inlineStr">
        <is>
          <t>STOCKHOLMS LÄN</t>
        </is>
      </c>
      <c r="E81" t="inlineStr">
        <is>
          <t>NORRTÄLJE</t>
        </is>
      </c>
      <c r="G81" t="n">
        <v>5.8</v>
      </c>
      <c r="H81" t="n">
        <v>1</v>
      </c>
      <c r="I81" t="n">
        <v>1</v>
      </c>
      <c r="J81" t="n">
        <v>2</v>
      </c>
      <c r="K81" t="n">
        <v>0</v>
      </c>
      <c r="L81" t="n">
        <v>0</v>
      </c>
      <c r="M81" t="n">
        <v>0</v>
      </c>
      <c r="N81" t="n">
        <v>0</v>
      </c>
      <c r="O81" t="n">
        <v>2</v>
      </c>
      <c r="P81" t="n">
        <v>0</v>
      </c>
      <c r="Q81" t="n">
        <v>3</v>
      </c>
      <c r="R81" s="2" t="inlineStr">
        <is>
          <t>Gulsparv
Vedflikmossa
Terpentinmossa</t>
        </is>
      </c>
      <c r="S81">
        <f>HYPERLINK("https://klasma.github.io/Logging_0188/artfynd/A 2851-2023 artfynd.xlsx", "A 2851-2023")</f>
        <v/>
      </c>
      <c r="T81">
        <f>HYPERLINK("https://klasma.github.io/Logging_0188/kartor/A 2851-2023 karta.png", "A 2851-2023")</f>
        <v/>
      </c>
      <c r="V81">
        <f>HYPERLINK("https://klasma.github.io/Logging_0188/klagomål/A 2851-2023 FSC-klagomål.docx", "A 2851-2023")</f>
        <v/>
      </c>
      <c r="W81">
        <f>HYPERLINK("https://klasma.github.io/Logging_0188/klagomålsmail/A 2851-2023 FSC-klagomål mail.docx", "A 2851-2023")</f>
        <v/>
      </c>
      <c r="X81">
        <f>HYPERLINK("https://klasma.github.io/Logging_0188/tillsyn/A 2851-2023 tillsynsbegäran.docx", "A 2851-2023")</f>
        <v/>
      </c>
      <c r="Y81">
        <f>HYPERLINK("https://klasma.github.io/Logging_0188/tillsynsmail/A 2851-2023 tillsynsbegäran mail.docx", "A 2851-2023")</f>
        <v/>
      </c>
      <c r="Z81">
        <f>HYPERLINK("https://klasma.github.io/Logging_0188/fåglar/A 2851-2023 prioriterade fågelarter.docx", "A 2851-2023")</f>
        <v/>
      </c>
    </row>
    <row r="82" ht="15" customHeight="1">
      <c r="A82" t="inlineStr">
        <is>
          <t>A 17916-2023</t>
        </is>
      </c>
      <c r="B82" s="1" t="n">
        <v>45040</v>
      </c>
      <c r="C82" s="1" t="n">
        <v>45657</v>
      </c>
      <c r="D82" t="inlineStr">
        <is>
          <t>STOCKHOLMS LÄN</t>
        </is>
      </c>
      <c r="E82" t="inlineStr">
        <is>
          <t>NORRTÄLJE</t>
        </is>
      </c>
      <c r="G82" t="n">
        <v>9.1</v>
      </c>
      <c r="H82" t="n">
        <v>1</v>
      </c>
      <c r="I82" t="n">
        <v>2</v>
      </c>
      <c r="J82" t="n">
        <v>0</v>
      </c>
      <c r="K82" t="n">
        <v>0</v>
      </c>
      <c r="L82" t="n">
        <v>0</v>
      </c>
      <c r="M82" t="n">
        <v>0</v>
      </c>
      <c r="N82" t="n">
        <v>0</v>
      </c>
      <c r="O82" t="n">
        <v>0</v>
      </c>
      <c r="P82" t="n">
        <v>0</v>
      </c>
      <c r="Q82" t="n">
        <v>3</v>
      </c>
      <c r="R82" s="2" t="inlineStr">
        <is>
          <t>Skarp dropptaggsvamp
Sårläka
Blåsippa</t>
        </is>
      </c>
      <c r="S82">
        <f>HYPERLINK("https://klasma.github.io/Logging_0188/artfynd/A 17916-2023 artfynd.xlsx", "A 17916-2023")</f>
        <v/>
      </c>
      <c r="T82">
        <f>HYPERLINK("https://klasma.github.io/Logging_0188/kartor/A 17916-2023 karta.png", "A 17916-2023")</f>
        <v/>
      </c>
      <c r="V82">
        <f>HYPERLINK("https://klasma.github.io/Logging_0188/klagomål/A 17916-2023 FSC-klagomål.docx", "A 17916-2023")</f>
        <v/>
      </c>
      <c r="W82">
        <f>HYPERLINK("https://klasma.github.io/Logging_0188/klagomålsmail/A 17916-2023 FSC-klagomål mail.docx", "A 17916-2023")</f>
        <v/>
      </c>
      <c r="X82">
        <f>HYPERLINK("https://klasma.github.io/Logging_0188/tillsyn/A 17916-2023 tillsynsbegäran.docx", "A 17916-2023")</f>
        <v/>
      </c>
      <c r="Y82">
        <f>HYPERLINK("https://klasma.github.io/Logging_0188/tillsynsmail/A 17916-2023 tillsynsbegäran mail.docx", "A 17916-2023")</f>
        <v/>
      </c>
    </row>
    <row r="83" ht="15" customHeight="1">
      <c r="A83" t="inlineStr">
        <is>
          <t>A 36662-2023</t>
        </is>
      </c>
      <c r="B83" s="1" t="n">
        <v>45153</v>
      </c>
      <c r="C83" s="1" t="n">
        <v>45657</v>
      </c>
      <c r="D83" t="inlineStr">
        <is>
          <t>STOCKHOLMS LÄN</t>
        </is>
      </c>
      <c r="E83" t="inlineStr">
        <is>
          <t>NORRTÄLJE</t>
        </is>
      </c>
      <c r="G83" t="n">
        <v>3.1</v>
      </c>
      <c r="H83" t="n">
        <v>1</v>
      </c>
      <c r="I83" t="n">
        <v>2</v>
      </c>
      <c r="J83" t="n">
        <v>1</v>
      </c>
      <c r="K83" t="n">
        <v>0</v>
      </c>
      <c r="L83" t="n">
        <v>0</v>
      </c>
      <c r="M83" t="n">
        <v>0</v>
      </c>
      <c r="N83" t="n">
        <v>0</v>
      </c>
      <c r="O83" t="n">
        <v>1</v>
      </c>
      <c r="P83" t="n">
        <v>0</v>
      </c>
      <c r="Q83" t="n">
        <v>3</v>
      </c>
      <c r="R83" s="2" t="inlineStr">
        <is>
          <t>Svartvit taggsvamp
Skogsknipprot
Svavelriska</t>
        </is>
      </c>
      <c r="S83">
        <f>HYPERLINK("https://klasma.github.io/Logging_0188/artfynd/A 36662-2023 artfynd.xlsx", "A 36662-2023")</f>
        <v/>
      </c>
      <c r="T83">
        <f>HYPERLINK("https://klasma.github.io/Logging_0188/kartor/A 36662-2023 karta.png", "A 36662-2023")</f>
        <v/>
      </c>
      <c r="V83">
        <f>HYPERLINK("https://klasma.github.io/Logging_0188/klagomål/A 36662-2023 FSC-klagomål.docx", "A 36662-2023")</f>
        <v/>
      </c>
      <c r="W83">
        <f>HYPERLINK("https://klasma.github.io/Logging_0188/klagomålsmail/A 36662-2023 FSC-klagomål mail.docx", "A 36662-2023")</f>
        <v/>
      </c>
      <c r="X83">
        <f>HYPERLINK("https://klasma.github.io/Logging_0188/tillsyn/A 36662-2023 tillsynsbegäran.docx", "A 36662-2023")</f>
        <v/>
      </c>
      <c r="Y83">
        <f>HYPERLINK("https://klasma.github.io/Logging_0188/tillsynsmail/A 36662-2023 tillsynsbegäran mail.docx", "A 36662-2023")</f>
        <v/>
      </c>
    </row>
    <row r="84" ht="15" customHeight="1">
      <c r="A84" t="inlineStr">
        <is>
          <t>A 43304-2023</t>
        </is>
      </c>
      <c r="B84" s="1" t="n">
        <v>45183</v>
      </c>
      <c r="C84" s="1" t="n">
        <v>45657</v>
      </c>
      <c r="D84" t="inlineStr">
        <is>
          <t>STOCKHOLMS LÄN</t>
        </is>
      </c>
      <c r="E84" t="inlineStr">
        <is>
          <t>NORRTÄLJE</t>
        </is>
      </c>
      <c r="G84" t="n">
        <v>1.5</v>
      </c>
      <c r="H84" t="n">
        <v>0</v>
      </c>
      <c r="I84" t="n">
        <v>0</v>
      </c>
      <c r="J84" t="n">
        <v>2</v>
      </c>
      <c r="K84" t="n">
        <v>1</v>
      </c>
      <c r="L84" t="n">
        <v>0</v>
      </c>
      <c r="M84" t="n">
        <v>0</v>
      </c>
      <c r="N84" t="n">
        <v>0</v>
      </c>
      <c r="O84" t="n">
        <v>3</v>
      </c>
      <c r="P84" t="n">
        <v>1</v>
      </c>
      <c r="Q84" t="n">
        <v>3</v>
      </c>
      <c r="R84" s="2" t="inlineStr">
        <is>
          <t>Spricktaggsvamp
Kungsspindling
Persiljespindling</t>
        </is>
      </c>
      <c r="S84">
        <f>HYPERLINK("https://klasma.github.io/Logging_0188/artfynd/A 43304-2023 artfynd.xlsx", "A 43304-2023")</f>
        <v/>
      </c>
      <c r="T84">
        <f>HYPERLINK("https://klasma.github.io/Logging_0188/kartor/A 43304-2023 karta.png", "A 43304-2023")</f>
        <v/>
      </c>
      <c r="V84">
        <f>HYPERLINK("https://klasma.github.io/Logging_0188/klagomål/A 43304-2023 FSC-klagomål.docx", "A 43304-2023")</f>
        <v/>
      </c>
      <c r="W84">
        <f>HYPERLINK("https://klasma.github.io/Logging_0188/klagomålsmail/A 43304-2023 FSC-klagomål mail.docx", "A 43304-2023")</f>
        <v/>
      </c>
      <c r="X84">
        <f>HYPERLINK("https://klasma.github.io/Logging_0188/tillsyn/A 43304-2023 tillsynsbegäran.docx", "A 43304-2023")</f>
        <v/>
      </c>
      <c r="Y84">
        <f>HYPERLINK("https://klasma.github.io/Logging_0188/tillsynsmail/A 43304-2023 tillsynsbegäran mail.docx", "A 43304-2023")</f>
        <v/>
      </c>
    </row>
    <row r="85" ht="15" customHeight="1">
      <c r="A85" t="inlineStr">
        <is>
          <t>A 52011-2023</t>
        </is>
      </c>
      <c r="B85" s="1" t="n">
        <v>45223</v>
      </c>
      <c r="C85" s="1" t="n">
        <v>45657</v>
      </c>
      <c r="D85" t="inlineStr">
        <is>
          <t>STOCKHOLMS LÄN</t>
        </is>
      </c>
      <c r="E85" t="inlineStr">
        <is>
          <t>NORRTÄLJE</t>
        </is>
      </c>
      <c r="F85" t="inlineStr">
        <is>
          <t>Övriga Aktiebolag</t>
        </is>
      </c>
      <c r="G85" t="n">
        <v>16.6</v>
      </c>
      <c r="H85" t="n">
        <v>0</v>
      </c>
      <c r="I85" t="n">
        <v>2</v>
      </c>
      <c r="J85" t="n">
        <v>1</v>
      </c>
      <c r="K85" t="n">
        <v>0</v>
      </c>
      <c r="L85" t="n">
        <v>0</v>
      </c>
      <c r="M85" t="n">
        <v>0</v>
      </c>
      <c r="N85" t="n">
        <v>0</v>
      </c>
      <c r="O85" t="n">
        <v>1</v>
      </c>
      <c r="P85" t="n">
        <v>0</v>
      </c>
      <c r="Q85" t="n">
        <v>3</v>
      </c>
      <c r="R85" s="2" t="inlineStr">
        <is>
          <t>Vedtrappmossa
Mörk husmossa
Skogshakmossa</t>
        </is>
      </c>
      <c r="S85">
        <f>HYPERLINK("https://klasma.github.io/Logging_0188/artfynd/A 52011-2023 artfynd.xlsx", "A 52011-2023")</f>
        <v/>
      </c>
      <c r="T85">
        <f>HYPERLINK("https://klasma.github.io/Logging_0188/kartor/A 52011-2023 karta.png", "A 52011-2023")</f>
        <v/>
      </c>
      <c r="V85">
        <f>HYPERLINK("https://klasma.github.io/Logging_0188/klagomål/A 52011-2023 FSC-klagomål.docx", "A 52011-2023")</f>
        <v/>
      </c>
      <c r="W85">
        <f>HYPERLINK("https://klasma.github.io/Logging_0188/klagomålsmail/A 52011-2023 FSC-klagomål mail.docx", "A 52011-2023")</f>
        <v/>
      </c>
      <c r="X85">
        <f>HYPERLINK("https://klasma.github.io/Logging_0188/tillsyn/A 52011-2023 tillsynsbegäran.docx", "A 52011-2023")</f>
        <v/>
      </c>
      <c r="Y85">
        <f>HYPERLINK("https://klasma.github.io/Logging_0188/tillsynsmail/A 52011-2023 tillsynsbegäran mail.docx", "A 52011-2023")</f>
        <v/>
      </c>
    </row>
    <row r="86" ht="15" customHeight="1">
      <c r="A86" t="inlineStr">
        <is>
          <t>A 53065-2024</t>
        </is>
      </c>
      <c r="B86" s="1" t="n">
        <v>45611</v>
      </c>
      <c r="C86" s="1" t="n">
        <v>45657</v>
      </c>
      <c r="D86" t="inlineStr">
        <is>
          <t>STOCKHOLMS LÄN</t>
        </is>
      </c>
      <c r="E86" t="inlineStr">
        <is>
          <t>NORRTÄLJE</t>
        </is>
      </c>
      <c r="G86" t="n">
        <v>12.3</v>
      </c>
      <c r="H86" t="n">
        <v>0</v>
      </c>
      <c r="I86" t="n">
        <v>1</v>
      </c>
      <c r="J86" t="n">
        <v>1</v>
      </c>
      <c r="K86" t="n">
        <v>1</v>
      </c>
      <c r="L86" t="n">
        <v>0</v>
      </c>
      <c r="M86" t="n">
        <v>0</v>
      </c>
      <c r="N86" t="n">
        <v>0</v>
      </c>
      <c r="O86" t="n">
        <v>2</v>
      </c>
      <c r="P86" t="n">
        <v>1</v>
      </c>
      <c r="Q86" t="n">
        <v>3</v>
      </c>
      <c r="R86" s="2" t="inlineStr">
        <is>
          <t>Aspsplintbock
Grön aspvedbock
Gulröd blankbock</t>
        </is>
      </c>
      <c r="S86">
        <f>HYPERLINK("https://klasma.github.io/Logging_0188/artfynd/A 53065-2024 artfynd.xlsx", "A 53065-2024")</f>
        <v/>
      </c>
      <c r="T86">
        <f>HYPERLINK("https://klasma.github.io/Logging_0188/kartor/A 53065-2024 karta.png", "A 53065-2024")</f>
        <v/>
      </c>
      <c r="V86">
        <f>HYPERLINK("https://klasma.github.io/Logging_0188/klagomål/A 53065-2024 FSC-klagomål.docx", "A 53065-2024")</f>
        <v/>
      </c>
      <c r="W86">
        <f>HYPERLINK("https://klasma.github.io/Logging_0188/klagomålsmail/A 53065-2024 FSC-klagomål mail.docx", "A 53065-2024")</f>
        <v/>
      </c>
      <c r="X86">
        <f>HYPERLINK("https://klasma.github.io/Logging_0188/tillsyn/A 53065-2024 tillsynsbegäran.docx", "A 53065-2024")</f>
        <v/>
      </c>
      <c r="Y86">
        <f>HYPERLINK("https://klasma.github.io/Logging_0188/tillsynsmail/A 53065-2024 tillsynsbegäran mail.docx", "A 53065-2024")</f>
        <v/>
      </c>
    </row>
    <row r="87" ht="15" customHeight="1">
      <c r="A87" t="inlineStr">
        <is>
          <t>A 54110-2024</t>
        </is>
      </c>
      <c r="B87" s="1" t="n">
        <v>45616</v>
      </c>
      <c r="C87" s="1" t="n">
        <v>45657</v>
      </c>
      <c r="D87" t="inlineStr">
        <is>
          <t>STOCKHOLMS LÄN</t>
        </is>
      </c>
      <c r="E87" t="inlineStr">
        <is>
          <t>NORRTÄLJE</t>
        </is>
      </c>
      <c r="G87" t="n">
        <v>6.7</v>
      </c>
      <c r="H87" t="n">
        <v>2</v>
      </c>
      <c r="I87" t="n">
        <v>0</v>
      </c>
      <c r="J87" t="n">
        <v>1</v>
      </c>
      <c r="K87" t="n">
        <v>0</v>
      </c>
      <c r="L87" t="n">
        <v>0</v>
      </c>
      <c r="M87" t="n">
        <v>0</v>
      </c>
      <c r="N87" t="n">
        <v>0</v>
      </c>
      <c r="O87" t="n">
        <v>1</v>
      </c>
      <c r="P87" t="n">
        <v>0</v>
      </c>
      <c r="Q87" t="n">
        <v>3</v>
      </c>
      <c r="R87" s="2" t="inlineStr">
        <is>
          <t>Klasefibbla
Nattviol
Gullviva</t>
        </is>
      </c>
      <c r="S87">
        <f>HYPERLINK("https://klasma.github.io/Logging_0188/artfynd/A 54110-2024 artfynd.xlsx", "A 54110-2024")</f>
        <v/>
      </c>
      <c r="T87">
        <f>HYPERLINK("https://klasma.github.io/Logging_0188/kartor/A 54110-2024 karta.png", "A 54110-2024")</f>
        <v/>
      </c>
      <c r="V87">
        <f>HYPERLINK("https://klasma.github.io/Logging_0188/klagomål/A 54110-2024 FSC-klagomål.docx", "A 54110-2024")</f>
        <v/>
      </c>
      <c r="W87">
        <f>HYPERLINK("https://klasma.github.io/Logging_0188/klagomålsmail/A 54110-2024 FSC-klagomål mail.docx", "A 54110-2024")</f>
        <v/>
      </c>
      <c r="X87">
        <f>HYPERLINK("https://klasma.github.io/Logging_0188/tillsyn/A 54110-2024 tillsynsbegäran.docx", "A 54110-2024")</f>
        <v/>
      </c>
      <c r="Y87">
        <f>HYPERLINK("https://klasma.github.io/Logging_0188/tillsynsmail/A 54110-2024 tillsynsbegäran mail.docx", "A 54110-2024")</f>
        <v/>
      </c>
    </row>
    <row r="88" ht="15" customHeight="1">
      <c r="A88" t="inlineStr">
        <is>
          <t>A 23830-2019</t>
        </is>
      </c>
      <c r="B88" s="1" t="n">
        <v>43595</v>
      </c>
      <c r="C88" s="1" t="n">
        <v>45657</v>
      </c>
      <c r="D88" t="inlineStr">
        <is>
          <t>STOCKHOLMS LÄN</t>
        </is>
      </c>
      <c r="E88" t="inlineStr">
        <is>
          <t>NORRTÄLJE</t>
        </is>
      </c>
      <c r="G88" t="n">
        <v>3</v>
      </c>
      <c r="H88" t="n">
        <v>2</v>
      </c>
      <c r="I88" t="n">
        <v>1</v>
      </c>
      <c r="J88" t="n">
        <v>0</v>
      </c>
      <c r="K88" t="n">
        <v>0</v>
      </c>
      <c r="L88" t="n">
        <v>0</v>
      </c>
      <c r="M88" t="n">
        <v>0</v>
      </c>
      <c r="N88" t="n">
        <v>0</v>
      </c>
      <c r="O88" t="n">
        <v>0</v>
      </c>
      <c r="P88" t="n">
        <v>0</v>
      </c>
      <c r="Q88" t="n">
        <v>2</v>
      </c>
      <c r="R88" s="2" t="inlineStr">
        <is>
          <t>Guckusko
Grönvit nattviol</t>
        </is>
      </c>
      <c r="S88">
        <f>HYPERLINK("https://klasma.github.io/Logging_0188/artfynd/A 23830-2019 artfynd.xlsx", "A 23830-2019")</f>
        <v/>
      </c>
      <c r="T88">
        <f>HYPERLINK("https://klasma.github.io/Logging_0188/kartor/A 23830-2019 karta.png", "A 23830-2019")</f>
        <v/>
      </c>
      <c r="V88">
        <f>HYPERLINK("https://klasma.github.io/Logging_0188/klagomål/A 23830-2019 FSC-klagomål.docx", "A 23830-2019")</f>
        <v/>
      </c>
      <c r="W88">
        <f>HYPERLINK("https://klasma.github.io/Logging_0188/klagomålsmail/A 23830-2019 FSC-klagomål mail.docx", "A 23830-2019")</f>
        <v/>
      </c>
      <c r="X88">
        <f>HYPERLINK("https://klasma.github.io/Logging_0188/tillsyn/A 23830-2019 tillsynsbegäran.docx", "A 23830-2019")</f>
        <v/>
      </c>
      <c r="Y88">
        <f>HYPERLINK("https://klasma.github.io/Logging_0188/tillsynsmail/A 23830-2019 tillsynsbegäran mail.docx", "A 23830-2019")</f>
        <v/>
      </c>
    </row>
    <row r="89" ht="15" customHeight="1">
      <c r="A89" t="inlineStr">
        <is>
          <t>A 47875-2019</t>
        </is>
      </c>
      <c r="B89" s="1" t="n">
        <v>43725</v>
      </c>
      <c r="C89" s="1" t="n">
        <v>45657</v>
      </c>
      <c r="D89" t="inlineStr">
        <is>
          <t>STOCKHOLMS LÄN</t>
        </is>
      </c>
      <c r="E89" t="inlineStr">
        <is>
          <t>NORRTÄLJE</t>
        </is>
      </c>
      <c r="G89" t="n">
        <v>10.9</v>
      </c>
      <c r="H89" t="n">
        <v>1</v>
      </c>
      <c r="I89" t="n">
        <v>0</v>
      </c>
      <c r="J89" t="n">
        <v>1</v>
      </c>
      <c r="K89" t="n">
        <v>0</v>
      </c>
      <c r="L89" t="n">
        <v>0</v>
      </c>
      <c r="M89" t="n">
        <v>0</v>
      </c>
      <c r="N89" t="n">
        <v>0</v>
      </c>
      <c r="O89" t="n">
        <v>1</v>
      </c>
      <c r="P89" t="n">
        <v>0</v>
      </c>
      <c r="Q89" t="n">
        <v>2</v>
      </c>
      <c r="R89" s="2" t="inlineStr">
        <is>
          <t>Vippärt
Mattlummer</t>
        </is>
      </c>
      <c r="S89">
        <f>HYPERLINK("https://klasma.github.io/Logging_0188/artfynd/A 47875-2019 artfynd.xlsx", "A 47875-2019")</f>
        <v/>
      </c>
      <c r="T89">
        <f>HYPERLINK("https://klasma.github.io/Logging_0188/kartor/A 47875-2019 karta.png", "A 47875-2019")</f>
        <v/>
      </c>
      <c r="V89">
        <f>HYPERLINK("https://klasma.github.io/Logging_0188/klagomål/A 47875-2019 FSC-klagomål.docx", "A 47875-2019")</f>
        <v/>
      </c>
      <c r="W89">
        <f>HYPERLINK("https://klasma.github.io/Logging_0188/klagomålsmail/A 47875-2019 FSC-klagomål mail.docx", "A 47875-2019")</f>
        <v/>
      </c>
      <c r="X89">
        <f>HYPERLINK("https://klasma.github.io/Logging_0188/tillsyn/A 47875-2019 tillsynsbegäran.docx", "A 47875-2019")</f>
        <v/>
      </c>
      <c r="Y89">
        <f>HYPERLINK("https://klasma.github.io/Logging_0188/tillsynsmail/A 47875-2019 tillsynsbegäran mail.docx", "A 47875-2019")</f>
        <v/>
      </c>
    </row>
    <row r="90" ht="15" customHeight="1">
      <c r="A90" t="inlineStr">
        <is>
          <t>A 2810-2020</t>
        </is>
      </c>
      <c r="B90" s="1" t="n">
        <v>43850</v>
      </c>
      <c r="C90" s="1" t="n">
        <v>45657</v>
      </c>
      <c r="D90" t="inlineStr">
        <is>
          <t>STOCKHOLMS LÄN</t>
        </is>
      </c>
      <c r="E90" t="inlineStr">
        <is>
          <t>NORRTÄLJE</t>
        </is>
      </c>
      <c r="G90" t="n">
        <v>0.9</v>
      </c>
      <c r="H90" t="n">
        <v>1</v>
      </c>
      <c r="I90" t="n">
        <v>1</v>
      </c>
      <c r="J90" t="n">
        <v>0</v>
      </c>
      <c r="K90" t="n">
        <v>1</v>
      </c>
      <c r="L90" t="n">
        <v>0</v>
      </c>
      <c r="M90" t="n">
        <v>0</v>
      </c>
      <c r="N90" t="n">
        <v>0</v>
      </c>
      <c r="O90" t="n">
        <v>1</v>
      </c>
      <c r="P90" t="n">
        <v>1</v>
      </c>
      <c r="Q90" t="n">
        <v>2</v>
      </c>
      <c r="R90" s="2" t="inlineStr">
        <is>
          <t>Knärot
Grönpyrola</t>
        </is>
      </c>
      <c r="S90">
        <f>HYPERLINK("https://klasma.github.io/Logging_0188/artfynd/A 2810-2020 artfynd.xlsx", "A 2810-2020")</f>
        <v/>
      </c>
      <c r="T90">
        <f>HYPERLINK("https://klasma.github.io/Logging_0188/kartor/A 2810-2020 karta.png", "A 2810-2020")</f>
        <v/>
      </c>
      <c r="U90">
        <f>HYPERLINK("https://klasma.github.io/Logging_0188/knärot/A 2810-2020 karta knärot.png", "A 2810-2020")</f>
        <v/>
      </c>
      <c r="V90">
        <f>HYPERLINK("https://klasma.github.io/Logging_0188/klagomål/A 2810-2020 FSC-klagomål.docx", "A 2810-2020")</f>
        <v/>
      </c>
      <c r="W90">
        <f>HYPERLINK("https://klasma.github.io/Logging_0188/klagomålsmail/A 2810-2020 FSC-klagomål mail.docx", "A 2810-2020")</f>
        <v/>
      </c>
      <c r="X90">
        <f>HYPERLINK("https://klasma.github.io/Logging_0188/tillsyn/A 2810-2020 tillsynsbegäran.docx", "A 2810-2020")</f>
        <v/>
      </c>
      <c r="Y90">
        <f>HYPERLINK("https://klasma.github.io/Logging_0188/tillsynsmail/A 2810-2020 tillsynsbegäran mail.docx", "A 2810-2020")</f>
        <v/>
      </c>
    </row>
    <row r="91" ht="15" customHeight="1">
      <c r="A91" t="inlineStr">
        <is>
          <t>A 6272-2020</t>
        </is>
      </c>
      <c r="B91" s="1" t="n">
        <v>43866</v>
      </c>
      <c r="C91" s="1" t="n">
        <v>45657</v>
      </c>
      <c r="D91" t="inlineStr">
        <is>
          <t>STOCKHOLMS LÄN</t>
        </is>
      </c>
      <c r="E91" t="inlineStr">
        <is>
          <t>NORRTÄLJE</t>
        </is>
      </c>
      <c r="F91" t="inlineStr">
        <is>
          <t>Övriga statliga verk och myndigheter</t>
        </is>
      </c>
      <c r="G91" t="n">
        <v>1.9</v>
      </c>
      <c r="H91" t="n">
        <v>1</v>
      </c>
      <c r="I91" t="n">
        <v>1</v>
      </c>
      <c r="J91" t="n">
        <v>1</v>
      </c>
      <c r="K91" t="n">
        <v>0</v>
      </c>
      <c r="L91" t="n">
        <v>0</v>
      </c>
      <c r="M91" t="n">
        <v>0</v>
      </c>
      <c r="N91" t="n">
        <v>0</v>
      </c>
      <c r="O91" t="n">
        <v>1</v>
      </c>
      <c r="P91" t="n">
        <v>0</v>
      </c>
      <c r="Q91" t="n">
        <v>2</v>
      </c>
      <c r="R91" s="2" t="inlineStr">
        <is>
          <t>Silversmygare
Nästrot</t>
        </is>
      </c>
      <c r="S91">
        <f>HYPERLINK("https://klasma.github.io/Logging_0188/artfynd/A 6272-2020 artfynd.xlsx", "A 6272-2020")</f>
        <v/>
      </c>
      <c r="T91">
        <f>HYPERLINK("https://klasma.github.io/Logging_0188/kartor/A 6272-2020 karta.png", "A 6272-2020")</f>
        <v/>
      </c>
      <c r="V91">
        <f>HYPERLINK("https://klasma.github.io/Logging_0188/klagomål/A 6272-2020 FSC-klagomål.docx", "A 6272-2020")</f>
        <v/>
      </c>
      <c r="W91">
        <f>HYPERLINK("https://klasma.github.io/Logging_0188/klagomålsmail/A 6272-2020 FSC-klagomål mail.docx", "A 6272-2020")</f>
        <v/>
      </c>
      <c r="X91">
        <f>HYPERLINK("https://klasma.github.io/Logging_0188/tillsyn/A 6272-2020 tillsynsbegäran.docx", "A 6272-2020")</f>
        <v/>
      </c>
      <c r="Y91">
        <f>HYPERLINK("https://klasma.github.io/Logging_0188/tillsynsmail/A 6272-2020 tillsynsbegäran mail.docx", "A 6272-2020")</f>
        <v/>
      </c>
    </row>
    <row r="92" ht="15" customHeight="1">
      <c r="A92" t="inlineStr">
        <is>
          <t>A 14565-2020</t>
        </is>
      </c>
      <c r="B92" s="1" t="n">
        <v>43908</v>
      </c>
      <c r="C92" s="1" t="n">
        <v>45657</v>
      </c>
      <c r="D92" t="inlineStr">
        <is>
          <t>STOCKHOLMS LÄN</t>
        </is>
      </c>
      <c r="E92" t="inlineStr">
        <is>
          <t>NORRTÄLJE</t>
        </is>
      </c>
      <c r="G92" t="n">
        <v>3.4</v>
      </c>
      <c r="H92" t="n">
        <v>2</v>
      </c>
      <c r="I92" t="n">
        <v>0</v>
      </c>
      <c r="J92" t="n">
        <v>0</v>
      </c>
      <c r="K92" t="n">
        <v>0</v>
      </c>
      <c r="L92" t="n">
        <v>0</v>
      </c>
      <c r="M92" t="n">
        <v>0</v>
      </c>
      <c r="N92" t="n">
        <v>0</v>
      </c>
      <c r="O92" t="n">
        <v>0</v>
      </c>
      <c r="P92" t="n">
        <v>0</v>
      </c>
      <c r="Q92" t="n">
        <v>2</v>
      </c>
      <c r="R92" s="2" t="inlineStr">
        <is>
          <t>Mindre vattensalamander
Vanlig groda</t>
        </is>
      </c>
      <c r="S92">
        <f>HYPERLINK("https://klasma.github.io/Logging_0188/artfynd/A 14565-2020 artfynd.xlsx", "A 14565-2020")</f>
        <v/>
      </c>
      <c r="T92">
        <f>HYPERLINK("https://klasma.github.io/Logging_0188/kartor/A 14565-2020 karta.png", "A 14565-2020")</f>
        <v/>
      </c>
      <c r="V92">
        <f>HYPERLINK("https://klasma.github.io/Logging_0188/klagomål/A 14565-2020 FSC-klagomål.docx", "A 14565-2020")</f>
        <v/>
      </c>
      <c r="W92">
        <f>HYPERLINK("https://klasma.github.io/Logging_0188/klagomålsmail/A 14565-2020 FSC-klagomål mail.docx", "A 14565-2020")</f>
        <v/>
      </c>
      <c r="X92">
        <f>HYPERLINK("https://klasma.github.io/Logging_0188/tillsyn/A 14565-2020 tillsynsbegäran.docx", "A 14565-2020")</f>
        <v/>
      </c>
      <c r="Y92">
        <f>HYPERLINK("https://klasma.github.io/Logging_0188/tillsynsmail/A 14565-2020 tillsynsbegäran mail.docx", "A 14565-2020")</f>
        <v/>
      </c>
    </row>
    <row r="93" ht="15" customHeight="1">
      <c r="A93" t="inlineStr">
        <is>
          <t>A 19565-2020</t>
        </is>
      </c>
      <c r="B93" s="1" t="n">
        <v>43936</v>
      </c>
      <c r="C93" s="1" t="n">
        <v>45657</v>
      </c>
      <c r="D93" t="inlineStr">
        <is>
          <t>STOCKHOLMS LÄN</t>
        </is>
      </c>
      <c r="E93" t="inlineStr">
        <is>
          <t>NORRTÄLJE</t>
        </is>
      </c>
      <c r="G93" t="n">
        <v>2.4</v>
      </c>
      <c r="H93" t="n">
        <v>0</v>
      </c>
      <c r="I93" t="n">
        <v>2</v>
      </c>
      <c r="J93" t="n">
        <v>0</v>
      </c>
      <c r="K93" t="n">
        <v>0</v>
      </c>
      <c r="L93" t="n">
        <v>0</v>
      </c>
      <c r="M93" t="n">
        <v>0</v>
      </c>
      <c r="N93" t="n">
        <v>0</v>
      </c>
      <c r="O93" t="n">
        <v>0</v>
      </c>
      <c r="P93" t="n">
        <v>0</v>
      </c>
      <c r="Q93" t="n">
        <v>2</v>
      </c>
      <c r="R93" s="2" t="inlineStr">
        <is>
          <t>Mörk husmossa
Rödgul trumpetsvamp</t>
        </is>
      </c>
      <c r="S93">
        <f>HYPERLINK("https://klasma.github.io/Logging_0188/artfynd/A 19565-2020 artfynd.xlsx", "A 19565-2020")</f>
        <v/>
      </c>
      <c r="T93">
        <f>HYPERLINK("https://klasma.github.io/Logging_0188/kartor/A 19565-2020 karta.png", "A 19565-2020")</f>
        <v/>
      </c>
      <c r="V93">
        <f>HYPERLINK("https://klasma.github.io/Logging_0188/klagomål/A 19565-2020 FSC-klagomål.docx", "A 19565-2020")</f>
        <v/>
      </c>
      <c r="W93">
        <f>HYPERLINK("https://klasma.github.io/Logging_0188/klagomålsmail/A 19565-2020 FSC-klagomål mail.docx", "A 19565-2020")</f>
        <v/>
      </c>
      <c r="X93">
        <f>HYPERLINK("https://klasma.github.io/Logging_0188/tillsyn/A 19565-2020 tillsynsbegäran.docx", "A 19565-2020")</f>
        <v/>
      </c>
      <c r="Y93">
        <f>HYPERLINK("https://klasma.github.io/Logging_0188/tillsynsmail/A 19565-2020 tillsynsbegäran mail.docx", "A 19565-2020")</f>
        <v/>
      </c>
    </row>
    <row r="94" ht="15" customHeight="1">
      <c r="A94" t="inlineStr">
        <is>
          <t>A 31803-2021</t>
        </is>
      </c>
      <c r="B94" s="1" t="n">
        <v>44370</v>
      </c>
      <c r="C94" s="1" t="n">
        <v>45657</v>
      </c>
      <c r="D94" t="inlineStr">
        <is>
          <t>STOCKHOLMS LÄN</t>
        </is>
      </c>
      <c r="E94" t="inlineStr">
        <is>
          <t>NORRTÄLJE</t>
        </is>
      </c>
      <c r="G94" t="n">
        <v>4.6</v>
      </c>
      <c r="H94" t="n">
        <v>0</v>
      </c>
      <c r="I94" t="n">
        <v>1</v>
      </c>
      <c r="J94" t="n">
        <v>1</v>
      </c>
      <c r="K94" t="n">
        <v>0</v>
      </c>
      <c r="L94" t="n">
        <v>0</v>
      </c>
      <c r="M94" t="n">
        <v>0</v>
      </c>
      <c r="N94" t="n">
        <v>0</v>
      </c>
      <c r="O94" t="n">
        <v>1</v>
      </c>
      <c r="P94" t="n">
        <v>0</v>
      </c>
      <c r="Q94" t="n">
        <v>2</v>
      </c>
      <c r="R94" s="2" t="inlineStr">
        <is>
          <t>Slåtterfibbla
Vårärt</t>
        </is>
      </c>
      <c r="S94">
        <f>HYPERLINK("https://klasma.github.io/Logging_0188/artfynd/A 31803-2021 artfynd.xlsx", "A 31803-2021")</f>
        <v/>
      </c>
      <c r="T94">
        <f>HYPERLINK("https://klasma.github.io/Logging_0188/kartor/A 31803-2021 karta.png", "A 31803-2021")</f>
        <v/>
      </c>
      <c r="V94">
        <f>HYPERLINK("https://klasma.github.io/Logging_0188/klagomål/A 31803-2021 FSC-klagomål.docx", "A 31803-2021")</f>
        <v/>
      </c>
      <c r="W94">
        <f>HYPERLINK("https://klasma.github.io/Logging_0188/klagomålsmail/A 31803-2021 FSC-klagomål mail.docx", "A 31803-2021")</f>
        <v/>
      </c>
      <c r="X94">
        <f>HYPERLINK("https://klasma.github.io/Logging_0188/tillsyn/A 31803-2021 tillsynsbegäran.docx", "A 31803-2021")</f>
        <v/>
      </c>
      <c r="Y94">
        <f>HYPERLINK("https://klasma.github.io/Logging_0188/tillsynsmail/A 31803-2021 tillsynsbegäran mail.docx", "A 31803-2021")</f>
        <v/>
      </c>
    </row>
    <row r="95" ht="15" customHeight="1">
      <c r="A95" t="inlineStr">
        <is>
          <t>A 40072-2021</t>
        </is>
      </c>
      <c r="B95" s="1" t="n">
        <v>44418</v>
      </c>
      <c r="C95" s="1" t="n">
        <v>45657</v>
      </c>
      <c r="D95" t="inlineStr">
        <is>
          <t>STOCKHOLMS LÄN</t>
        </is>
      </c>
      <c r="E95" t="inlineStr">
        <is>
          <t>NORRTÄLJE</t>
        </is>
      </c>
      <c r="G95" t="n">
        <v>1.1</v>
      </c>
      <c r="H95" t="n">
        <v>2</v>
      </c>
      <c r="I95" t="n">
        <v>0</v>
      </c>
      <c r="J95" t="n">
        <v>2</v>
      </c>
      <c r="K95" t="n">
        <v>0</v>
      </c>
      <c r="L95" t="n">
        <v>0</v>
      </c>
      <c r="M95" t="n">
        <v>0</v>
      </c>
      <c r="N95" t="n">
        <v>0</v>
      </c>
      <c r="O95" t="n">
        <v>2</v>
      </c>
      <c r="P95" t="n">
        <v>0</v>
      </c>
      <c r="Q95" t="n">
        <v>2</v>
      </c>
      <c r="R95" s="2" t="inlineStr">
        <is>
          <t>Rördrom
Slaguggla</t>
        </is>
      </c>
      <c r="S95">
        <f>HYPERLINK("https://klasma.github.io/Logging_0188/artfynd/A 40072-2021 artfynd.xlsx", "A 40072-2021")</f>
        <v/>
      </c>
      <c r="T95">
        <f>HYPERLINK("https://klasma.github.io/Logging_0188/kartor/A 40072-2021 karta.png", "A 40072-2021")</f>
        <v/>
      </c>
      <c r="V95">
        <f>HYPERLINK("https://klasma.github.io/Logging_0188/klagomål/A 40072-2021 FSC-klagomål.docx", "A 40072-2021")</f>
        <v/>
      </c>
      <c r="W95">
        <f>HYPERLINK("https://klasma.github.io/Logging_0188/klagomålsmail/A 40072-2021 FSC-klagomål mail.docx", "A 40072-2021")</f>
        <v/>
      </c>
      <c r="X95">
        <f>HYPERLINK("https://klasma.github.io/Logging_0188/tillsyn/A 40072-2021 tillsynsbegäran.docx", "A 40072-2021")</f>
        <v/>
      </c>
      <c r="Y95">
        <f>HYPERLINK("https://klasma.github.io/Logging_0188/tillsynsmail/A 40072-2021 tillsynsbegäran mail.docx", "A 40072-2021")</f>
        <v/>
      </c>
      <c r="Z95">
        <f>HYPERLINK("https://klasma.github.io/Logging_0188/fåglar/A 40072-2021 prioriterade fågelarter.docx", "A 40072-2021")</f>
        <v/>
      </c>
    </row>
    <row r="96" ht="15" customHeight="1">
      <c r="A96" t="inlineStr">
        <is>
          <t>A 58676-2021</t>
        </is>
      </c>
      <c r="B96" s="1" t="n">
        <v>44489</v>
      </c>
      <c r="C96" s="1" t="n">
        <v>45657</v>
      </c>
      <c r="D96" t="inlineStr">
        <is>
          <t>STOCKHOLMS LÄN</t>
        </is>
      </c>
      <c r="E96" t="inlineStr">
        <is>
          <t>NORRTÄLJE</t>
        </is>
      </c>
      <c r="G96" t="n">
        <v>0.6</v>
      </c>
      <c r="H96" t="n">
        <v>2</v>
      </c>
      <c r="I96" t="n">
        <v>0</v>
      </c>
      <c r="J96" t="n">
        <v>0</v>
      </c>
      <c r="K96" t="n">
        <v>0</v>
      </c>
      <c r="L96" t="n">
        <v>0</v>
      </c>
      <c r="M96" t="n">
        <v>0</v>
      </c>
      <c r="N96" t="n">
        <v>0</v>
      </c>
      <c r="O96" t="n">
        <v>0</v>
      </c>
      <c r="P96" t="n">
        <v>0</v>
      </c>
      <c r="Q96" t="n">
        <v>2</v>
      </c>
      <c r="R96" s="2" t="inlineStr">
        <is>
          <t>Nattviol
Blåsippa</t>
        </is>
      </c>
      <c r="S96">
        <f>HYPERLINK("https://klasma.github.io/Logging_0188/artfynd/A 58676-2021 artfynd.xlsx", "A 58676-2021")</f>
        <v/>
      </c>
      <c r="T96">
        <f>HYPERLINK("https://klasma.github.io/Logging_0188/kartor/A 58676-2021 karta.png", "A 58676-2021")</f>
        <v/>
      </c>
      <c r="V96">
        <f>HYPERLINK("https://klasma.github.io/Logging_0188/klagomål/A 58676-2021 FSC-klagomål.docx", "A 58676-2021")</f>
        <v/>
      </c>
      <c r="W96">
        <f>HYPERLINK("https://klasma.github.io/Logging_0188/klagomålsmail/A 58676-2021 FSC-klagomål mail.docx", "A 58676-2021")</f>
        <v/>
      </c>
      <c r="X96">
        <f>HYPERLINK("https://klasma.github.io/Logging_0188/tillsyn/A 58676-2021 tillsynsbegäran.docx", "A 58676-2021")</f>
        <v/>
      </c>
      <c r="Y96">
        <f>HYPERLINK("https://klasma.github.io/Logging_0188/tillsynsmail/A 58676-2021 tillsynsbegäran mail.docx", "A 58676-2021")</f>
        <v/>
      </c>
    </row>
    <row r="97" ht="15" customHeight="1">
      <c r="A97" t="inlineStr">
        <is>
          <t>A 8024-2022</t>
        </is>
      </c>
      <c r="B97" s="1" t="n">
        <v>44609</v>
      </c>
      <c r="C97" s="1" t="n">
        <v>45657</v>
      </c>
      <c r="D97" t="inlineStr">
        <is>
          <t>STOCKHOLMS LÄN</t>
        </is>
      </c>
      <c r="E97" t="inlineStr">
        <is>
          <t>NORRTÄLJE</t>
        </is>
      </c>
      <c r="F97" t="inlineStr">
        <is>
          <t>Kyrkan</t>
        </is>
      </c>
      <c r="G97" t="n">
        <v>28.2</v>
      </c>
      <c r="H97" t="n">
        <v>2</v>
      </c>
      <c r="I97" t="n">
        <v>0</v>
      </c>
      <c r="J97" t="n">
        <v>0</v>
      </c>
      <c r="K97" t="n">
        <v>0</v>
      </c>
      <c r="L97" t="n">
        <v>0</v>
      </c>
      <c r="M97" t="n">
        <v>0</v>
      </c>
      <c r="N97" t="n">
        <v>0</v>
      </c>
      <c r="O97" t="n">
        <v>0</v>
      </c>
      <c r="P97" t="n">
        <v>0</v>
      </c>
      <c r="Q97" t="n">
        <v>2</v>
      </c>
      <c r="R97" s="2" t="inlineStr">
        <is>
          <t>Hökuggla
Revlummer</t>
        </is>
      </c>
      <c r="S97">
        <f>HYPERLINK("https://klasma.github.io/Logging_0188/artfynd/A 8024-2022 artfynd.xlsx", "A 8024-2022")</f>
        <v/>
      </c>
      <c r="T97">
        <f>HYPERLINK("https://klasma.github.io/Logging_0188/kartor/A 8024-2022 karta.png", "A 8024-2022")</f>
        <v/>
      </c>
      <c r="V97">
        <f>HYPERLINK("https://klasma.github.io/Logging_0188/klagomål/A 8024-2022 FSC-klagomål.docx", "A 8024-2022")</f>
        <v/>
      </c>
      <c r="W97">
        <f>HYPERLINK("https://klasma.github.io/Logging_0188/klagomålsmail/A 8024-2022 FSC-klagomål mail.docx", "A 8024-2022")</f>
        <v/>
      </c>
      <c r="X97">
        <f>HYPERLINK("https://klasma.github.io/Logging_0188/tillsyn/A 8024-2022 tillsynsbegäran.docx", "A 8024-2022")</f>
        <v/>
      </c>
      <c r="Y97">
        <f>HYPERLINK("https://klasma.github.io/Logging_0188/tillsynsmail/A 8024-2022 tillsynsbegäran mail.docx", "A 8024-2022")</f>
        <v/>
      </c>
      <c r="Z97">
        <f>HYPERLINK("https://klasma.github.io/Logging_0188/fåglar/A 8024-2022 prioriterade fågelarter.docx", "A 8024-2022")</f>
        <v/>
      </c>
    </row>
    <row r="98" ht="15" customHeight="1">
      <c r="A98" t="inlineStr">
        <is>
          <t>A 16260-2022</t>
        </is>
      </c>
      <c r="B98" s="1" t="n">
        <v>44670</v>
      </c>
      <c r="C98" s="1" t="n">
        <v>45657</v>
      </c>
      <c r="D98" t="inlineStr">
        <is>
          <t>STOCKHOLMS LÄN</t>
        </is>
      </c>
      <c r="E98" t="inlineStr">
        <is>
          <t>NORRTÄLJE</t>
        </is>
      </c>
      <c r="G98" t="n">
        <v>6.6</v>
      </c>
      <c r="H98" t="n">
        <v>1</v>
      </c>
      <c r="I98" t="n">
        <v>2</v>
      </c>
      <c r="J98" t="n">
        <v>0</v>
      </c>
      <c r="K98" t="n">
        <v>0</v>
      </c>
      <c r="L98" t="n">
        <v>0</v>
      </c>
      <c r="M98" t="n">
        <v>0</v>
      </c>
      <c r="N98" t="n">
        <v>0</v>
      </c>
      <c r="O98" t="n">
        <v>0</v>
      </c>
      <c r="P98" t="n">
        <v>0</v>
      </c>
      <c r="Q98" t="n">
        <v>2</v>
      </c>
      <c r="R98" s="2" t="inlineStr">
        <is>
          <t>Nästrot
Vårärt</t>
        </is>
      </c>
      <c r="S98">
        <f>HYPERLINK("https://klasma.github.io/Logging_0188/artfynd/A 16260-2022 artfynd.xlsx", "A 16260-2022")</f>
        <v/>
      </c>
      <c r="T98">
        <f>HYPERLINK("https://klasma.github.io/Logging_0188/kartor/A 16260-2022 karta.png", "A 16260-2022")</f>
        <v/>
      </c>
      <c r="V98">
        <f>HYPERLINK("https://klasma.github.io/Logging_0188/klagomål/A 16260-2022 FSC-klagomål.docx", "A 16260-2022")</f>
        <v/>
      </c>
      <c r="W98">
        <f>HYPERLINK("https://klasma.github.io/Logging_0188/klagomålsmail/A 16260-2022 FSC-klagomål mail.docx", "A 16260-2022")</f>
        <v/>
      </c>
      <c r="X98">
        <f>HYPERLINK("https://klasma.github.io/Logging_0188/tillsyn/A 16260-2022 tillsynsbegäran.docx", "A 16260-2022")</f>
        <v/>
      </c>
      <c r="Y98">
        <f>HYPERLINK("https://klasma.github.io/Logging_0188/tillsynsmail/A 16260-2022 tillsynsbegäran mail.docx", "A 16260-2022")</f>
        <v/>
      </c>
    </row>
    <row r="99" ht="15" customHeight="1">
      <c r="A99" t="inlineStr">
        <is>
          <t>A 19862-2022</t>
        </is>
      </c>
      <c r="B99" s="1" t="n">
        <v>44696</v>
      </c>
      <c r="C99" s="1" t="n">
        <v>45657</v>
      </c>
      <c r="D99" t="inlineStr">
        <is>
          <t>STOCKHOLMS LÄN</t>
        </is>
      </c>
      <c r="E99" t="inlineStr">
        <is>
          <t>NORRTÄLJE</t>
        </is>
      </c>
      <c r="G99" t="n">
        <v>6</v>
      </c>
      <c r="H99" t="n">
        <v>1</v>
      </c>
      <c r="I99" t="n">
        <v>0</v>
      </c>
      <c r="J99" t="n">
        <v>1</v>
      </c>
      <c r="K99" t="n">
        <v>0</v>
      </c>
      <c r="L99" t="n">
        <v>0</v>
      </c>
      <c r="M99" t="n">
        <v>0</v>
      </c>
      <c r="N99" t="n">
        <v>0</v>
      </c>
      <c r="O99" t="n">
        <v>1</v>
      </c>
      <c r="P99" t="n">
        <v>0</v>
      </c>
      <c r="Q99" t="n">
        <v>2</v>
      </c>
      <c r="R99" s="2" t="inlineStr">
        <is>
          <t>Granticka
Blåsippa</t>
        </is>
      </c>
      <c r="S99">
        <f>HYPERLINK("https://klasma.github.io/Logging_0188/artfynd/A 19862-2022 artfynd.xlsx", "A 19862-2022")</f>
        <v/>
      </c>
      <c r="T99">
        <f>HYPERLINK("https://klasma.github.io/Logging_0188/kartor/A 19862-2022 karta.png", "A 19862-2022")</f>
        <v/>
      </c>
      <c r="V99">
        <f>HYPERLINK("https://klasma.github.io/Logging_0188/klagomål/A 19862-2022 FSC-klagomål.docx", "A 19862-2022")</f>
        <v/>
      </c>
      <c r="W99">
        <f>HYPERLINK("https://klasma.github.io/Logging_0188/klagomålsmail/A 19862-2022 FSC-klagomål mail.docx", "A 19862-2022")</f>
        <v/>
      </c>
      <c r="X99">
        <f>HYPERLINK("https://klasma.github.io/Logging_0188/tillsyn/A 19862-2022 tillsynsbegäran.docx", "A 19862-2022")</f>
        <v/>
      </c>
      <c r="Y99">
        <f>HYPERLINK("https://klasma.github.io/Logging_0188/tillsynsmail/A 19862-2022 tillsynsbegäran mail.docx", "A 19862-2022")</f>
        <v/>
      </c>
    </row>
    <row r="100" ht="15" customHeight="1">
      <c r="A100" t="inlineStr">
        <is>
          <t>A 27742-2022</t>
        </is>
      </c>
      <c r="B100" s="1" t="n">
        <v>44743</v>
      </c>
      <c r="C100" s="1" t="n">
        <v>45657</v>
      </c>
      <c r="D100" t="inlineStr">
        <is>
          <t>STOCKHOLMS LÄN</t>
        </is>
      </c>
      <c r="E100" t="inlineStr">
        <is>
          <t>NORRTÄLJE</t>
        </is>
      </c>
      <c r="G100" t="n">
        <v>3.9</v>
      </c>
      <c r="H100" t="n">
        <v>1</v>
      </c>
      <c r="I100" t="n">
        <v>1</v>
      </c>
      <c r="J100" t="n">
        <v>0</v>
      </c>
      <c r="K100" t="n">
        <v>0</v>
      </c>
      <c r="L100" t="n">
        <v>0</v>
      </c>
      <c r="M100" t="n">
        <v>0</v>
      </c>
      <c r="N100" t="n">
        <v>0</v>
      </c>
      <c r="O100" t="n">
        <v>0</v>
      </c>
      <c r="P100" t="n">
        <v>0</v>
      </c>
      <c r="Q100" t="n">
        <v>2</v>
      </c>
      <c r="R100" s="2" t="inlineStr">
        <is>
          <t>Svavelriska
Blåsippa</t>
        </is>
      </c>
      <c r="S100">
        <f>HYPERLINK("https://klasma.github.io/Logging_0188/artfynd/A 27742-2022 artfynd.xlsx", "A 27742-2022")</f>
        <v/>
      </c>
      <c r="T100">
        <f>HYPERLINK("https://klasma.github.io/Logging_0188/kartor/A 27742-2022 karta.png", "A 27742-2022")</f>
        <v/>
      </c>
      <c r="V100">
        <f>HYPERLINK("https://klasma.github.io/Logging_0188/klagomål/A 27742-2022 FSC-klagomål.docx", "A 27742-2022")</f>
        <v/>
      </c>
      <c r="W100">
        <f>HYPERLINK("https://klasma.github.io/Logging_0188/klagomålsmail/A 27742-2022 FSC-klagomål mail.docx", "A 27742-2022")</f>
        <v/>
      </c>
      <c r="X100">
        <f>HYPERLINK("https://klasma.github.io/Logging_0188/tillsyn/A 27742-2022 tillsynsbegäran.docx", "A 27742-2022")</f>
        <v/>
      </c>
      <c r="Y100">
        <f>HYPERLINK("https://klasma.github.io/Logging_0188/tillsynsmail/A 27742-2022 tillsynsbegäran mail.docx", "A 27742-2022")</f>
        <v/>
      </c>
    </row>
    <row r="101" ht="15" customHeight="1">
      <c r="A101" t="inlineStr">
        <is>
          <t>A 30693-2022</t>
        </is>
      </c>
      <c r="B101" s="1" t="n">
        <v>44763</v>
      </c>
      <c r="C101" s="1" t="n">
        <v>45657</v>
      </c>
      <c r="D101" t="inlineStr">
        <is>
          <t>STOCKHOLMS LÄN</t>
        </is>
      </c>
      <c r="E101" t="inlineStr">
        <is>
          <t>NORRTÄLJE</t>
        </is>
      </c>
      <c r="F101" t="inlineStr">
        <is>
          <t>Sveaskog</t>
        </is>
      </c>
      <c r="G101" t="n">
        <v>3.4</v>
      </c>
      <c r="H101" t="n">
        <v>2</v>
      </c>
      <c r="I101" t="n">
        <v>0</v>
      </c>
      <c r="J101" t="n">
        <v>1</v>
      </c>
      <c r="K101" t="n">
        <v>0</v>
      </c>
      <c r="L101" t="n">
        <v>0</v>
      </c>
      <c r="M101" t="n">
        <v>0</v>
      </c>
      <c r="N101" t="n">
        <v>0</v>
      </c>
      <c r="O101" t="n">
        <v>1</v>
      </c>
      <c r="P101" t="n">
        <v>0</v>
      </c>
      <c r="Q101" t="n">
        <v>2</v>
      </c>
      <c r="R101" s="2" t="inlineStr">
        <is>
          <t>Gulsparv
Gullviva</t>
        </is>
      </c>
      <c r="S101">
        <f>HYPERLINK("https://klasma.github.io/Logging_0188/artfynd/A 30693-2022 artfynd.xlsx", "A 30693-2022")</f>
        <v/>
      </c>
      <c r="T101">
        <f>HYPERLINK("https://klasma.github.io/Logging_0188/kartor/A 30693-2022 karta.png", "A 30693-2022")</f>
        <v/>
      </c>
      <c r="V101">
        <f>HYPERLINK("https://klasma.github.io/Logging_0188/klagomål/A 30693-2022 FSC-klagomål.docx", "A 30693-2022")</f>
        <v/>
      </c>
      <c r="W101">
        <f>HYPERLINK("https://klasma.github.io/Logging_0188/klagomålsmail/A 30693-2022 FSC-klagomål mail.docx", "A 30693-2022")</f>
        <v/>
      </c>
      <c r="X101">
        <f>HYPERLINK("https://klasma.github.io/Logging_0188/tillsyn/A 30693-2022 tillsynsbegäran.docx", "A 30693-2022")</f>
        <v/>
      </c>
      <c r="Y101">
        <f>HYPERLINK("https://klasma.github.io/Logging_0188/tillsynsmail/A 30693-2022 tillsynsbegäran mail.docx", "A 30693-2022")</f>
        <v/>
      </c>
      <c r="Z101">
        <f>HYPERLINK("https://klasma.github.io/Logging_0188/fåglar/A 30693-2022 prioriterade fågelarter.docx", "A 30693-2022")</f>
        <v/>
      </c>
    </row>
    <row r="102" ht="15" customHeight="1">
      <c r="A102" t="inlineStr">
        <is>
          <t>A 38597-2022</t>
        </is>
      </c>
      <c r="B102" s="1" t="n">
        <v>44813</v>
      </c>
      <c r="C102" s="1" t="n">
        <v>45657</v>
      </c>
      <c r="D102" t="inlineStr">
        <is>
          <t>STOCKHOLMS LÄN</t>
        </is>
      </c>
      <c r="E102" t="inlineStr">
        <is>
          <t>NORRTÄLJE</t>
        </is>
      </c>
      <c r="G102" t="n">
        <v>13.2</v>
      </c>
      <c r="H102" t="n">
        <v>1</v>
      </c>
      <c r="I102" t="n">
        <v>1</v>
      </c>
      <c r="J102" t="n">
        <v>0</v>
      </c>
      <c r="K102" t="n">
        <v>0</v>
      </c>
      <c r="L102" t="n">
        <v>1</v>
      </c>
      <c r="M102" t="n">
        <v>0</v>
      </c>
      <c r="N102" t="n">
        <v>0</v>
      </c>
      <c r="O102" t="n">
        <v>1</v>
      </c>
      <c r="P102" t="n">
        <v>1</v>
      </c>
      <c r="Q102" t="n">
        <v>2</v>
      </c>
      <c r="R102" s="2" t="inlineStr">
        <is>
          <t>Asknätfjäril
Scharlakansvårskål agg.</t>
        </is>
      </c>
      <c r="S102">
        <f>HYPERLINK("https://klasma.github.io/Logging_0188/artfynd/A 38597-2022 artfynd.xlsx", "A 38597-2022")</f>
        <v/>
      </c>
      <c r="T102">
        <f>HYPERLINK("https://klasma.github.io/Logging_0188/kartor/A 38597-2022 karta.png", "A 38597-2022")</f>
        <v/>
      </c>
      <c r="V102">
        <f>HYPERLINK("https://klasma.github.io/Logging_0188/klagomål/A 38597-2022 FSC-klagomål.docx", "A 38597-2022")</f>
        <v/>
      </c>
      <c r="W102">
        <f>HYPERLINK("https://klasma.github.io/Logging_0188/klagomålsmail/A 38597-2022 FSC-klagomål mail.docx", "A 38597-2022")</f>
        <v/>
      </c>
      <c r="X102">
        <f>HYPERLINK("https://klasma.github.io/Logging_0188/tillsyn/A 38597-2022 tillsynsbegäran.docx", "A 38597-2022")</f>
        <v/>
      </c>
      <c r="Y102">
        <f>HYPERLINK("https://klasma.github.io/Logging_0188/tillsynsmail/A 38597-2022 tillsynsbegäran mail.docx", "A 38597-2022")</f>
        <v/>
      </c>
    </row>
    <row r="103" ht="15" customHeight="1">
      <c r="A103" t="inlineStr">
        <is>
          <t>A 52124-2022</t>
        </is>
      </c>
      <c r="B103" s="1" t="n">
        <v>44868</v>
      </c>
      <c r="C103" s="1" t="n">
        <v>45657</v>
      </c>
      <c r="D103" t="inlineStr">
        <is>
          <t>STOCKHOLMS LÄN</t>
        </is>
      </c>
      <c r="E103" t="inlineStr">
        <is>
          <t>NORRTÄLJE</t>
        </is>
      </c>
      <c r="G103" t="n">
        <v>4.8</v>
      </c>
      <c r="H103" t="n">
        <v>1</v>
      </c>
      <c r="I103" t="n">
        <v>0</v>
      </c>
      <c r="J103" t="n">
        <v>1</v>
      </c>
      <c r="K103" t="n">
        <v>0</v>
      </c>
      <c r="L103" t="n">
        <v>0</v>
      </c>
      <c r="M103" t="n">
        <v>0</v>
      </c>
      <c r="N103" t="n">
        <v>0</v>
      </c>
      <c r="O103" t="n">
        <v>1</v>
      </c>
      <c r="P103" t="n">
        <v>0</v>
      </c>
      <c r="Q103" t="n">
        <v>2</v>
      </c>
      <c r="R103" s="2" t="inlineStr">
        <is>
          <t>Kandelabersvamp
Blåsippa</t>
        </is>
      </c>
      <c r="S103">
        <f>HYPERLINK("https://klasma.github.io/Logging_0188/artfynd/A 52124-2022 artfynd.xlsx", "A 52124-2022")</f>
        <v/>
      </c>
      <c r="T103">
        <f>HYPERLINK("https://klasma.github.io/Logging_0188/kartor/A 52124-2022 karta.png", "A 52124-2022")</f>
        <v/>
      </c>
      <c r="V103">
        <f>HYPERLINK("https://klasma.github.io/Logging_0188/klagomål/A 52124-2022 FSC-klagomål.docx", "A 52124-2022")</f>
        <v/>
      </c>
      <c r="W103">
        <f>HYPERLINK("https://klasma.github.io/Logging_0188/klagomålsmail/A 52124-2022 FSC-klagomål mail.docx", "A 52124-2022")</f>
        <v/>
      </c>
      <c r="X103">
        <f>HYPERLINK("https://klasma.github.io/Logging_0188/tillsyn/A 52124-2022 tillsynsbegäran.docx", "A 52124-2022")</f>
        <v/>
      </c>
      <c r="Y103">
        <f>HYPERLINK("https://klasma.github.io/Logging_0188/tillsynsmail/A 52124-2022 tillsynsbegäran mail.docx", "A 52124-2022")</f>
        <v/>
      </c>
    </row>
    <row r="104" ht="15" customHeight="1">
      <c r="A104" t="inlineStr">
        <is>
          <t>A 51980-2022</t>
        </is>
      </c>
      <c r="B104" s="1" t="n">
        <v>44872</v>
      </c>
      <c r="C104" s="1" t="n">
        <v>45657</v>
      </c>
      <c r="D104" t="inlineStr">
        <is>
          <t>STOCKHOLMS LÄN</t>
        </is>
      </c>
      <c r="E104" t="inlineStr">
        <is>
          <t>NORRTÄLJE</t>
        </is>
      </c>
      <c r="G104" t="n">
        <v>7.9</v>
      </c>
      <c r="H104" t="n">
        <v>1</v>
      </c>
      <c r="I104" t="n">
        <v>2</v>
      </c>
      <c r="J104" t="n">
        <v>0</v>
      </c>
      <c r="K104" t="n">
        <v>0</v>
      </c>
      <c r="L104" t="n">
        <v>0</v>
      </c>
      <c r="M104" t="n">
        <v>0</v>
      </c>
      <c r="N104" t="n">
        <v>0</v>
      </c>
      <c r="O104" t="n">
        <v>0</v>
      </c>
      <c r="P104" t="n">
        <v>0</v>
      </c>
      <c r="Q104" t="n">
        <v>2</v>
      </c>
      <c r="R104" s="2" t="inlineStr">
        <is>
          <t>Rödgul trumpetsvamp
Skogsknipprot</t>
        </is>
      </c>
      <c r="S104">
        <f>HYPERLINK("https://klasma.github.io/Logging_0188/artfynd/A 51980-2022 artfynd.xlsx", "A 51980-2022")</f>
        <v/>
      </c>
      <c r="T104">
        <f>HYPERLINK("https://klasma.github.io/Logging_0188/kartor/A 51980-2022 karta.png", "A 51980-2022")</f>
        <v/>
      </c>
      <c r="V104">
        <f>HYPERLINK("https://klasma.github.io/Logging_0188/klagomål/A 51980-2022 FSC-klagomål.docx", "A 51980-2022")</f>
        <v/>
      </c>
      <c r="W104">
        <f>HYPERLINK("https://klasma.github.io/Logging_0188/klagomålsmail/A 51980-2022 FSC-klagomål mail.docx", "A 51980-2022")</f>
        <v/>
      </c>
      <c r="X104">
        <f>HYPERLINK("https://klasma.github.io/Logging_0188/tillsyn/A 51980-2022 tillsynsbegäran.docx", "A 51980-2022")</f>
        <v/>
      </c>
      <c r="Y104">
        <f>HYPERLINK("https://klasma.github.io/Logging_0188/tillsynsmail/A 51980-2022 tillsynsbegäran mail.docx", "A 51980-2022")</f>
        <v/>
      </c>
    </row>
    <row r="105" ht="15" customHeight="1">
      <c r="A105" t="inlineStr">
        <is>
          <t>A 7341-2023</t>
        </is>
      </c>
      <c r="B105" s="1" t="n">
        <v>44971</v>
      </c>
      <c r="C105" s="1" t="n">
        <v>45657</v>
      </c>
      <c r="D105" t="inlineStr">
        <is>
          <t>STOCKHOLMS LÄN</t>
        </is>
      </c>
      <c r="E105" t="inlineStr">
        <is>
          <t>NORRTÄLJE</t>
        </is>
      </c>
      <c r="F105" t="inlineStr">
        <is>
          <t>Holmen skog AB</t>
        </is>
      </c>
      <c r="G105" t="n">
        <v>10.7</v>
      </c>
      <c r="H105" t="n">
        <v>0</v>
      </c>
      <c r="I105" t="n">
        <v>0</v>
      </c>
      <c r="J105" t="n">
        <v>2</v>
      </c>
      <c r="K105" t="n">
        <v>0</v>
      </c>
      <c r="L105" t="n">
        <v>0</v>
      </c>
      <c r="M105" t="n">
        <v>0</v>
      </c>
      <c r="N105" t="n">
        <v>0</v>
      </c>
      <c r="O105" t="n">
        <v>2</v>
      </c>
      <c r="P105" t="n">
        <v>0</v>
      </c>
      <c r="Q105" t="n">
        <v>2</v>
      </c>
      <c r="R105" s="2" t="inlineStr">
        <is>
          <t>Mindre bastardsvärmare
Smalsprötad bastardsvärmare</t>
        </is>
      </c>
      <c r="S105">
        <f>HYPERLINK("https://klasma.github.io/Logging_0188/artfynd/A 7341-2023 artfynd.xlsx", "A 7341-2023")</f>
        <v/>
      </c>
      <c r="T105">
        <f>HYPERLINK("https://klasma.github.io/Logging_0188/kartor/A 7341-2023 karta.png", "A 7341-2023")</f>
        <v/>
      </c>
      <c r="V105">
        <f>HYPERLINK("https://klasma.github.io/Logging_0188/klagomål/A 7341-2023 FSC-klagomål.docx", "A 7341-2023")</f>
        <v/>
      </c>
      <c r="W105">
        <f>HYPERLINK("https://klasma.github.io/Logging_0188/klagomålsmail/A 7341-2023 FSC-klagomål mail.docx", "A 7341-2023")</f>
        <v/>
      </c>
      <c r="X105">
        <f>HYPERLINK("https://klasma.github.io/Logging_0188/tillsyn/A 7341-2023 tillsynsbegäran.docx", "A 7341-2023")</f>
        <v/>
      </c>
      <c r="Y105">
        <f>HYPERLINK("https://klasma.github.io/Logging_0188/tillsynsmail/A 7341-2023 tillsynsbegäran mail.docx", "A 7341-2023")</f>
        <v/>
      </c>
    </row>
    <row r="106" ht="15" customHeight="1">
      <c r="A106" t="inlineStr">
        <is>
          <t>A 10136-2023</t>
        </is>
      </c>
      <c r="B106" s="1" t="n">
        <v>44986</v>
      </c>
      <c r="C106" s="1" t="n">
        <v>45657</v>
      </c>
      <c r="D106" t="inlineStr">
        <is>
          <t>STOCKHOLMS LÄN</t>
        </is>
      </c>
      <c r="E106" t="inlineStr">
        <is>
          <t>NORRTÄLJE</t>
        </is>
      </c>
      <c r="F106" t="inlineStr">
        <is>
          <t>Övriga statliga verk och myndigheter</t>
        </is>
      </c>
      <c r="G106" t="n">
        <v>3.6</v>
      </c>
      <c r="H106" t="n">
        <v>0</v>
      </c>
      <c r="I106" t="n">
        <v>0</v>
      </c>
      <c r="J106" t="n">
        <v>1</v>
      </c>
      <c r="K106" t="n">
        <v>1</v>
      </c>
      <c r="L106" t="n">
        <v>0</v>
      </c>
      <c r="M106" t="n">
        <v>0</v>
      </c>
      <c r="N106" t="n">
        <v>0</v>
      </c>
      <c r="O106" t="n">
        <v>2</v>
      </c>
      <c r="P106" t="n">
        <v>1</v>
      </c>
      <c r="Q106" t="n">
        <v>2</v>
      </c>
      <c r="R106" s="2" t="inlineStr">
        <is>
          <t>Svartfjällig musseron
Persiljespindling</t>
        </is>
      </c>
      <c r="S106">
        <f>HYPERLINK("https://klasma.github.io/Logging_0188/artfynd/A 10136-2023 artfynd.xlsx", "A 10136-2023")</f>
        <v/>
      </c>
      <c r="T106">
        <f>HYPERLINK("https://klasma.github.io/Logging_0188/kartor/A 10136-2023 karta.png", "A 10136-2023")</f>
        <v/>
      </c>
      <c r="V106">
        <f>HYPERLINK("https://klasma.github.io/Logging_0188/klagomål/A 10136-2023 FSC-klagomål.docx", "A 10136-2023")</f>
        <v/>
      </c>
      <c r="W106">
        <f>HYPERLINK("https://klasma.github.io/Logging_0188/klagomålsmail/A 10136-2023 FSC-klagomål mail.docx", "A 10136-2023")</f>
        <v/>
      </c>
      <c r="X106">
        <f>HYPERLINK("https://klasma.github.io/Logging_0188/tillsyn/A 10136-2023 tillsynsbegäran.docx", "A 10136-2023")</f>
        <v/>
      </c>
      <c r="Y106">
        <f>HYPERLINK("https://klasma.github.io/Logging_0188/tillsynsmail/A 10136-2023 tillsynsbegäran mail.docx", "A 10136-2023")</f>
        <v/>
      </c>
    </row>
    <row r="107" ht="15" customHeight="1">
      <c r="A107" t="inlineStr">
        <is>
          <t>A 21748-2023</t>
        </is>
      </c>
      <c r="B107" s="1" t="n">
        <v>45065</v>
      </c>
      <c r="C107" s="1" t="n">
        <v>45657</v>
      </c>
      <c r="D107" t="inlineStr">
        <is>
          <t>STOCKHOLMS LÄN</t>
        </is>
      </c>
      <c r="E107" t="inlineStr">
        <is>
          <t>NORRTÄLJE</t>
        </is>
      </c>
      <c r="F107" t="inlineStr">
        <is>
          <t>Holmen skog AB</t>
        </is>
      </c>
      <c r="G107" t="n">
        <v>2.4</v>
      </c>
      <c r="H107" t="n">
        <v>0</v>
      </c>
      <c r="I107" t="n">
        <v>2</v>
      </c>
      <c r="J107" t="n">
        <v>0</v>
      </c>
      <c r="K107" t="n">
        <v>0</v>
      </c>
      <c r="L107" t="n">
        <v>0</v>
      </c>
      <c r="M107" t="n">
        <v>0</v>
      </c>
      <c r="N107" t="n">
        <v>0</v>
      </c>
      <c r="O107" t="n">
        <v>0</v>
      </c>
      <c r="P107" t="n">
        <v>0</v>
      </c>
      <c r="Q107" t="n">
        <v>2</v>
      </c>
      <c r="R107" s="2" t="inlineStr">
        <is>
          <t>Aspvedgnagare
Tibast</t>
        </is>
      </c>
      <c r="S107">
        <f>HYPERLINK("https://klasma.github.io/Logging_0188/artfynd/A 21748-2023 artfynd.xlsx", "A 21748-2023")</f>
        <v/>
      </c>
      <c r="T107">
        <f>HYPERLINK("https://klasma.github.io/Logging_0188/kartor/A 21748-2023 karta.png", "A 21748-2023")</f>
        <v/>
      </c>
      <c r="V107">
        <f>HYPERLINK("https://klasma.github.io/Logging_0188/klagomål/A 21748-2023 FSC-klagomål.docx", "A 21748-2023")</f>
        <v/>
      </c>
      <c r="W107">
        <f>HYPERLINK("https://klasma.github.io/Logging_0188/klagomålsmail/A 21748-2023 FSC-klagomål mail.docx", "A 21748-2023")</f>
        <v/>
      </c>
      <c r="X107">
        <f>HYPERLINK("https://klasma.github.io/Logging_0188/tillsyn/A 21748-2023 tillsynsbegäran.docx", "A 21748-2023")</f>
        <v/>
      </c>
      <c r="Y107">
        <f>HYPERLINK("https://klasma.github.io/Logging_0188/tillsynsmail/A 21748-2023 tillsynsbegäran mail.docx", "A 21748-2023")</f>
        <v/>
      </c>
    </row>
    <row r="108" ht="15" customHeight="1">
      <c r="A108" t="inlineStr">
        <is>
          <t>A 23861-2023</t>
        </is>
      </c>
      <c r="B108" s="1" t="n">
        <v>45078</v>
      </c>
      <c r="C108" s="1" t="n">
        <v>45657</v>
      </c>
      <c r="D108" t="inlineStr">
        <is>
          <t>STOCKHOLMS LÄN</t>
        </is>
      </c>
      <c r="E108" t="inlineStr">
        <is>
          <t>NORRTÄLJE</t>
        </is>
      </c>
      <c r="G108" t="n">
        <v>3.3</v>
      </c>
      <c r="H108" t="n">
        <v>1</v>
      </c>
      <c r="I108" t="n">
        <v>1</v>
      </c>
      <c r="J108" t="n">
        <v>0</v>
      </c>
      <c r="K108" t="n">
        <v>0</v>
      </c>
      <c r="L108" t="n">
        <v>0</v>
      </c>
      <c r="M108" t="n">
        <v>0</v>
      </c>
      <c r="N108" t="n">
        <v>0</v>
      </c>
      <c r="O108" t="n">
        <v>0</v>
      </c>
      <c r="P108" t="n">
        <v>0</v>
      </c>
      <c r="Q108" t="n">
        <v>2</v>
      </c>
      <c r="R108" s="2" t="inlineStr">
        <is>
          <t>Tibast
Blåsippa</t>
        </is>
      </c>
      <c r="S108">
        <f>HYPERLINK("https://klasma.github.io/Logging_0188/artfynd/A 23861-2023 artfynd.xlsx", "A 23861-2023")</f>
        <v/>
      </c>
      <c r="T108">
        <f>HYPERLINK("https://klasma.github.io/Logging_0188/kartor/A 23861-2023 karta.png", "A 23861-2023")</f>
        <v/>
      </c>
      <c r="V108">
        <f>HYPERLINK("https://klasma.github.io/Logging_0188/klagomål/A 23861-2023 FSC-klagomål.docx", "A 23861-2023")</f>
        <v/>
      </c>
      <c r="W108">
        <f>HYPERLINK("https://klasma.github.io/Logging_0188/klagomålsmail/A 23861-2023 FSC-klagomål mail.docx", "A 23861-2023")</f>
        <v/>
      </c>
      <c r="X108">
        <f>HYPERLINK("https://klasma.github.io/Logging_0188/tillsyn/A 23861-2023 tillsynsbegäran.docx", "A 23861-2023")</f>
        <v/>
      </c>
      <c r="Y108">
        <f>HYPERLINK("https://klasma.github.io/Logging_0188/tillsynsmail/A 23861-2023 tillsynsbegäran mail.docx", "A 23861-2023")</f>
        <v/>
      </c>
    </row>
    <row r="109" ht="15" customHeight="1">
      <c r="A109" t="inlineStr">
        <is>
          <t>A 33287-2023</t>
        </is>
      </c>
      <c r="B109" s="1" t="n">
        <v>45127</v>
      </c>
      <c r="C109" s="1" t="n">
        <v>45657</v>
      </c>
      <c r="D109" t="inlineStr">
        <is>
          <t>STOCKHOLMS LÄN</t>
        </is>
      </c>
      <c r="E109" t="inlineStr">
        <is>
          <t>NORRTÄLJE</t>
        </is>
      </c>
      <c r="F109" t="inlineStr">
        <is>
          <t>Holmen skog AB</t>
        </is>
      </c>
      <c r="G109" t="n">
        <v>3.3</v>
      </c>
      <c r="H109" t="n">
        <v>0</v>
      </c>
      <c r="I109" t="n">
        <v>0</v>
      </c>
      <c r="J109" t="n">
        <v>2</v>
      </c>
      <c r="K109" t="n">
        <v>0</v>
      </c>
      <c r="L109" t="n">
        <v>0</v>
      </c>
      <c r="M109" t="n">
        <v>0</v>
      </c>
      <c r="N109" t="n">
        <v>0</v>
      </c>
      <c r="O109" t="n">
        <v>2</v>
      </c>
      <c r="P109" t="n">
        <v>0</v>
      </c>
      <c r="Q109" t="n">
        <v>2</v>
      </c>
      <c r="R109" s="2" t="inlineStr">
        <is>
          <t>Smalsprötad bastardsvärmare
Violettkantad guldvinge</t>
        </is>
      </c>
      <c r="S109">
        <f>HYPERLINK("https://klasma.github.io/Logging_0188/artfynd/A 33287-2023 artfynd.xlsx", "A 33287-2023")</f>
        <v/>
      </c>
      <c r="T109">
        <f>HYPERLINK("https://klasma.github.io/Logging_0188/kartor/A 33287-2023 karta.png", "A 33287-2023")</f>
        <v/>
      </c>
      <c r="V109">
        <f>HYPERLINK("https://klasma.github.io/Logging_0188/klagomål/A 33287-2023 FSC-klagomål.docx", "A 33287-2023")</f>
        <v/>
      </c>
      <c r="W109">
        <f>HYPERLINK("https://klasma.github.io/Logging_0188/klagomålsmail/A 33287-2023 FSC-klagomål mail.docx", "A 33287-2023")</f>
        <v/>
      </c>
      <c r="X109">
        <f>HYPERLINK("https://klasma.github.io/Logging_0188/tillsyn/A 33287-2023 tillsynsbegäran.docx", "A 33287-2023")</f>
        <v/>
      </c>
      <c r="Y109">
        <f>HYPERLINK("https://klasma.github.io/Logging_0188/tillsynsmail/A 33287-2023 tillsynsbegäran mail.docx", "A 33287-2023")</f>
        <v/>
      </c>
    </row>
    <row r="110" ht="15" customHeight="1">
      <c r="A110" t="inlineStr">
        <is>
          <t>A 51220-2023</t>
        </is>
      </c>
      <c r="B110" s="1" t="n">
        <v>45219</v>
      </c>
      <c r="C110" s="1" t="n">
        <v>45657</v>
      </c>
      <c r="D110" t="inlineStr">
        <is>
          <t>STOCKHOLMS LÄN</t>
        </is>
      </c>
      <c r="E110" t="inlineStr">
        <is>
          <t>NORRTÄLJE</t>
        </is>
      </c>
      <c r="G110" t="n">
        <v>7.7</v>
      </c>
      <c r="H110" t="n">
        <v>1</v>
      </c>
      <c r="I110" t="n">
        <v>0</v>
      </c>
      <c r="J110" t="n">
        <v>1</v>
      </c>
      <c r="K110" t="n">
        <v>0</v>
      </c>
      <c r="L110" t="n">
        <v>0</v>
      </c>
      <c r="M110" t="n">
        <v>0</v>
      </c>
      <c r="N110" t="n">
        <v>0</v>
      </c>
      <c r="O110" t="n">
        <v>1</v>
      </c>
      <c r="P110" t="n">
        <v>0</v>
      </c>
      <c r="Q110" t="n">
        <v>2</v>
      </c>
      <c r="R110" s="2" t="inlineStr">
        <is>
          <t>Ullticka
Blåsippa</t>
        </is>
      </c>
      <c r="S110">
        <f>HYPERLINK("https://klasma.github.io/Logging_0188/artfynd/A 51220-2023 artfynd.xlsx", "A 51220-2023")</f>
        <v/>
      </c>
      <c r="T110">
        <f>HYPERLINK("https://klasma.github.io/Logging_0188/kartor/A 51220-2023 karta.png", "A 51220-2023")</f>
        <v/>
      </c>
      <c r="V110">
        <f>HYPERLINK("https://klasma.github.io/Logging_0188/klagomål/A 51220-2023 FSC-klagomål.docx", "A 51220-2023")</f>
        <v/>
      </c>
      <c r="W110">
        <f>HYPERLINK("https://klasma.github.io/Logging_0188/klagomålsmail/A 51220-2023 FSC-klagomål mail.docx", "A 51220-2023")</f>
        <v/>
      </c>
      <c r="X110">
        <f>HYPERLINK("https://klasma.github.io/Logging_0188/tillsyn/A 51220-2023 tillsynsbegäran.docx", "A 51220-2023")</f>
        <v/>
      </c>
      <c r="Y110">
        <f>HYPERLINK("https://klasma.github.io/Logging_0188/tillsynsmail/A 51220-2023 tillsynsbegäran mail.docx", "A 51220-2023")</f>
        <v/>
      </c>
    </row>
    <row r="111" ht="15" customHeight="1">
      <c r="A111" t="inlineStr">
        <is>
          <t>A 52825-2023</t>
        </is>
      </c>
      <c r="B111" s="1" t="n">
        <v>45226</v>
      </c>
      <c r="C111" s="1" t="n">
        <v>45657</v>
      </c>
      <c r="D111" t="inlineStr">
        <is>
          <t>STOCKHOLMS LÄN</t>
        </is>
      </c>
      <c r="E111" t="inlineStr">
        <is>
          <t>NORRTÄLJE</t>
        </is>
      </c>
      <c r="G111" t="n">
        <v>1</v>
      </c>
      <c r="H111" t="n">
        <v>0</v>
      </c>
      <c r="I111" t="n">
        <v>2</v>
      </c>
      <c r="J111" t="n">
        <v>0</v>
      </c>
      <c r="K111" t="n">
        <v>0</v>
      </c>
      <c r="L111" t="n">
        <v>0</v>
      </c>
      <c r="M111" t="n">
        <v>0</v>
      </c>
      <c r="N111" t="n">
        <v>0</v>
      </c>
      <c r="O111" t="n">
        <v>0</v>
      </c>
      <c r="P111" t="n">
        <v>0</v>
      </c>
      <c r="Q111" t="n">
        <v>2</v>
      </c>
      <c r="R111" s="2" t="inlineStr">
        <is>
          <t>Fjällig taggsvamp s.str.
Strimspindling</t>
        </is>
      </c>
      <c r="S111">
        <f>HYPERLINK("https://klasma.github.io/Logging_0188/artfynd/A 52825-2023 artfynd.xlsx", "A 52825-2023")</f>
        <v/>
      </c>
      <c r="T111">
        <f>HYPERLINK("https://klasma.github.io/Logging_0188/kartor/A 52825-2023 karta.png", "A 52825-2023")</f>
        <v/>
      </c>
      <c r="V111">
        <f>HYPERLINK("https://klasma.github.io/Logging_0188/klagomål/A 52825-2023 FSC-klagomål.docx", "A 52825-2023")</f>
        <v/>
      </c>
      <c r="W111">
        <f>HYPERLINK("https://klasma.github.io/Logging_0188/klagomålsmail/A 52825-2023 FSC-klagomål mail.docx", "A 52825-2023")</f>
        <v/>
      </c>
      <c r="X111">
        <f>HYPERLINK("https://klasma.github.io/Logging_0188/tillsyn/A 52825-2023 tillsynsbegäran.docx", "A 52825-2023")</f>
        <v/>
      </c>
      <c r="Y111">
        <f>HYPERLINK("https://klasma.github.io/Logging_0188/tillsynsmail/A 52825-2023 tillsynsbegäran mail.docx", "A 52825-2023")</f>
        <v/>
      </c>
    </row>
    <row r="112" ht="15" customHeight="1">
      <c r="A112" t="inlineStr">
        <is>
          <t>A 4909-2024</t>
        </is>
      </c>
      <c r="B112" s="1" t="n">
        <v>45329</v>
      </c>
      <c r="C112" s="1" t="n">
        <v>45657</v>
      </c>
      <c r="D112" t="inlineStr">
        <is>
          <t>STOCKHOLMS LÄN</t>
        </is>
      </c>
      <c r="E112" t="inlineStr">
        <is>
          <t>NORRTÄLJE</t>
        </is>
      </c>
      <c r="G112" t="n">
        <v>4.1</v>
      </c>
      <c r="H112" t="n">
        <v>0</v>
      </c>
      <c r="I112" t="n">
        <v>2</v>
      </c>
      <c r="J112" t="n">
        <v>0</v>
      </c>
      <c r="K112" t="n">
        <v>0</v>
      </c>
      <c r="L112" t="n">
        <v>0</v>
      </c>
      <c r="M112" t="n">
        <v>0</v>
      </c>
      <c r="N112" t="n">
        <v>0</v>
      </c>
      <c r="O112" t="n">
        <v>0</v>
      </c>
      <c r="P112" t="n">
        <v>0</v>
      </c>
      <c r="Q112" t="n">
        <v>2</v>
      </c>
      <c r="R112" s="2" t="inlineStr">
        <is>
          <t>Fjällig taggsvamp s.str.
Rödgul trumpetsvamp</t>
        </is>
      </c>
      <c r="S112">
        <f>HYPERLINK("https://klasma.github.io/Logging_0188/artfynd/A 4909-2024 artfynd.xlsx", "A 4909-2024")</f>
        <v/>
      </c>
      <c r="T112">
        <f>HYPERLINK("https://klasma.github.io/Logging_0188/kartor/A 4909-2024 karta.png", "A 4909-2024")</f>
        <v/>
      </c>
      <c r="V112">
        <f>HYPERLINK("https://klasma.github.io/Logging_0188/klagomål/A 4909-2024 FSC-klagomål.docx", "A 4909-2024")</f>
        <v/>
      </c>
      <c r="W112">
        <f>HYPERLINK("https://klasma.github.io/Logging_0188/klagomålsmail/A 4909-2024 FSC-klagomål mail.docx", "A 4909-2024")</f>
        <v/>
      </c>
      <c r="X112">
        <f>HYPERLINK("https://klasma.github.io/Logging_0188/tillsyn/A 4909-2024 tillsynsbegäran.docx", "A 4909-2024")</f>
        <v/>
      </c>
      <c r="Y112">
        <f>HYPERLINK("https://klasma.github.io/Logging_0188/tillsynsmail/A 4909-2024 tillsynsbegäran mail.docx", "A 4909-2024")</f>
        <v/>
      </c>
    </row>
    <row r="113" ht="15" customHeight="1">
      <c r="A113" t="inlineStr">
        <is>
          <t>A 11995-2024</t>
        </is>
      </c>
      <c r="B113" s="1" t="n">
        <v>45377</v>
      </c>
      <c r="C113" s="1" t="n">
        <v>45657</v>
      </c>
      <c r="D113" t="inlineStr">
        <is>
          <t>STOCKHOLMS LÄN</t>
        </is>
      </c>
      <c r="E113" t="inlineStr">
        <is>
          <t>NORRTÄLJE</t>
        </is>
      </c>
      <c r="G113" t="n">
        <v>4.7</v>
      </c>
      <c r="H113" t="n">
        <v>0</v>
      </c>
      <c r="I113" t="n">
        <v>1</v>
      </c>
      <c r="J113" t="n">
        <v>1</v>
      </c>
      <c r="K113" t="n">
        <v>0</v>
      </c>
      <c r="L113" t="n">
        <v>0</v>
      </c>
      <c r="M113" t="n">
        <v>0</v>
      </c>
      <c r="N113" t="n">
        <v>0</v>
      </c>
      <c r="O113" t="n">
        <v>1</v>
      </c>
      <c r="P113" t="n">
        <v>0</v>
      </c>
      <c r="Q113" t="n">
        <v>2</v>
      </c>
      <c r="R113" s="2" t="inlineStr">
        <is>
          <t>Tallticka
Svavelriska</t>
        </is>
      </c>
      <c r="S113">
        <f>HYPERLINK("https://klasma.github.io/Logging_0188/artfynd/A 11995-2024 artfynd.xlsx", "A 11995-2024")</f>
        <v/>
      </c>
      <c r="T113">
        <f>HYPERLINK("https://klasma.github.io/Logging_0188/kartor/A 11995-2024 karta.png", "A 11995-2024")</f>
        <v/>
      </c>
      <c r="V113">
        <f>HYPERLINK("https://klasma.github.io/Logging_0188/klagomål/A 11995-2024 FSC-klagomål.docx", "A 11995-2024")</f>
        <v/>
      </c>
      <c r="W113">
        <f>HYPERLINK("https://klasma.github.io/Logging_0188/klagomålsmail/A 11995-2024 FSC-klagomål mail.docx", "A 11995-2024")</f>
        <v/>
      </c>
      <c r="X113">
        <f>HYPERLINK("https://klasma.github.io/Logging_0188/tillsyn/A 11995-2024 tillsynsbegäran.docx", "A 11995-2024")</f>
        <v/>
      </c>
      <c r="Y113">
        <f>HYPERLINK("https://klasma.github.io/Logging_0188/tillsynsmail/A 11995-2024 tillsynsbegäran mail.docx", "A 11995-2024")</f>
        <v/>
      </c>
    </row>
    <row r="114" ht="15" customHeight="1">
      <c r="A114" t="inlineStr">
        <is>
          <t>A 13150-2024</t>
        </is>
      </c>
      <c r="B114" s="1" t="n">
        <v>45386</v>
      </c>
      <c r="C114" s="1" t="n">
        <v>45657</v>
      </c>
      <c r="D114" t="inlineStr">
        <is>
          <t>STOCKHOLMS LÄN</t>
        </is>
      </c>
      <c r="E114" t="inlineStr">
        <is>
          <t>NORRTÄLJE</t>
        </is>
      </c>
      <c r="G114" t="n">
        <v>7.4</v>
      </c>
      <c r="H114" t="n">
        <v>0</v>
      </c>
      <c r="I114" t="n">
        <v>1</v>
      </c>
      <c r="J114" t="n">
        <v>1</v>
      </c>
      <c r="K114" t="n">
        <v>0</v>
      </c>
      <c r="L114" t="n">
        <v>0</v>
      </c>
      <c r="M114" t="n">
        <v>0</v>
      </c>
      <c r="N114" t="n">
        <v>0</v>
      </c>
      <c r="O114" t="n">
        <v>1</v>
      </c>
      <c r="P114" t="n">
        <v>0</v>
      </c>
      <c r="Q114" t="n">
        <v>2</v>
      </c>
      <c r="R114" s="2" t="inlineStr">
        <is>
          <t>Orange taggsvamp
Mönjevaxskivling</t>
        </is>
      </c>
      <c r="S114">
        <f>HYPERLINK("https://klasma.github.io/Logging_0188/artfynd/A 13150-2024 artfynd.xlsx", "A 13150-2024")</f>
        <v/>
      </c>
      <c r="T114">
        <f>HYPERLINK("https://klasma.github.io/Logging_0188/kartor/A 13150-2024 karta.png", "A 13150-2024")</f>
        <v/>
      </c>
      <c r="V114">
        <f>HYPERLINK("https://klasma.github.io/Logging_0188/klagomål/A 13150-2024 FSC-klagomål.docx", "A 13150-2024")</f>
        <v/>
      </c>
      <c r="W114">
        <f>HYPERLINK("https://klasma.github.io/Logging_0188/klagomålsmail/A 13150-2024 FSC-klagomål mail.docx", "A 13150-2024")</f>
        <v/>
      </c>
      <c r="X114">
        <f>HYPERLINK("https://klasma.github.io/Logging_0188/tillsyn/A 13150-2024 tillsynsbegäran.docx", "A 13150-2024")</f>
        <v/>
      </c>
      <c r="Y114">
        <f>HYPERLINK("https://klasma.github.io/Logging_0188/tillsynsmail/A 13150-2024 tillsynsbegäran mail.docx", "A 13150-2024")</f>
        <v/>
      </c>
    </row>
    <row r="115" ht="15" customHeight="1">
      <c r="A115" t="inlineStr">
        <is>
          <t>A 24025-2024</t>
        </is>
      </c>
      <c r="B115" s="1" t="n">
        <v>45456</v>
      </c>
      <c r="C115" s="1" t="n">
        <v>45657</v>
      </c>
      <c r="D115" t="inlineStr">
        <is>
          <t>STOCKHOLMS LÄN</t>
        </is>
      </c>
      <c r="E115" t="inlineStr">
        <is>
          <t>NORRTÄLJE</t>
        </is>
      </c>
      <c r="G115" t="n">
        <v>6</v>
      </c>
      <c r="H115" t="n">
        <v>0</v>
      </c>
      <c r="I115" t="n">
        <v>2</v>
      </c>
      <c r="J115" t="n">
        <v>0</v>
      </c>
      <c r="K115" t="n">
        <v>0</v>
      </c>
      <c r="L115" t="n">
        <v>0</v>
      </c>
      <c r="M115" t="n">
        <v>0</v>
      </c>
      <c r="N115" t="n">
        <v>0</v>
      </c>
      <c r="O115" t="n">
        <v>0</v>
      </c>
      <c r="P115" t="n">
        <v>0</v>
      </c>
      <c r="Q115" t="n">
        <v>2</v>
      </c>
      <c r="R115" s="2" t="inlineStr">
        <is>
          <t>Guldlockmossa
Platt fjädermossa</t>
        </is>
      </c>
      <c r="S115">
        <f>HYPERLINK("https://klasma.github.io/Logging_0188/artfynd/A 24025-2024 artfynd.xlsx", "A 24025-2024")</f>
        <v/>
      </c>
      <c r="T115">
        <f>HYPERLINK("https://klasma.github.io/Logging_0188/kartor/A 24025-2024 karta.png", "A 24025-2024")</f>
        <v/>
      </c>
      <c r="V115">
        <f>HYPERLINK("https://klasma.github.io/Logging_0188/klagomål/A 24025-2024 FSC-klagomål.docx", "A 24025-2024")</f>
        <v/>
      </c>
      <c r="W115">
        <f>HYPERLINK("https://klasma.github.io/Logging_0188/klagomålsmail/A 24025-2024 FSC-klagomål mail.docx", "A 24025-2024")</f>
        <v/>
      </c>
      <c r="X115">
        <f>HYPERLINK("https://klasma.github.io/Logging_0188/tillsyn/A 24025-2024 tillsynsbegäran.docx", "A 24025-2024")</f>
        <v/>
      </c>
      <c r="Y115">
        <f>HYPERLINK("https://klasma.github.io/Logging_0188/tillsynsmail/A 24025-2024 tillsynsbegäran mail.docx", "A 24025-2024")</f>
        <v/>
      </c>
    </row>
    <row r="116" ht="15" customHeight="1">
      <c r="A116" t="inlineStr">
        <is>
          <t>A 50326-2024</t>
        </is>
      </c>
      <c r="B116" s="1" t="n">
        <v>45600</v>
      </c>
      <c r="C116" s="1" t="n">
        <v>45657</v>
      </c>
      <c r="D116" t="inlineStr">
        <is>
          <t>STOCKHOLMS LÄN</t>
        </is>
      </c>
      <c r="E116" t="inlineStr">
        <is>
          <t>NORRTÄLJE</t>
        </is>
      </c>
      <c r="G116" t="n">
        <v>23.9</v>
      </c>
      <c r="H116" t="n">
        <v>1</v>
      </c>
      <c r="I116" t="n">
        <v>1</v>
      </c>
      <c r="J116" t="n">
        <v>1</v>
      </c>
      <c r="K116" t="n">
        <v>0</v>
      </c>
      <c r="L116" t="n">
        <v>0</v>
      </c>
      <c r="M116" t="n">
        <v>0</v>
      </c>
      <c r="N116" t="n">
        <v>0</v>
      </c>
      <c r="O116" t="n">
        <v>1</v>
      </c>
      <c r="P116" t="n">
        <v>0</v>
      </c>
      <c r="Q116" t="n">
        <v>2</v>
      </c>
      <c r="R116" s="2" t="inlineStr">
        <is>
          <t>Sommarfibbla
Nästrot</t>
        </is>
      </c>
      <c r="S116">
        <f>HYPERLINK("https://klasma.github.io/Logging_0188/artfynd/A 50326-2024 artfynd.xlsx", "A 50326-2024")</f>
        <v/>
      </c>
      <c r="T116">
        <f>HYPERLINK("https://klasma.github.io/Logging_0188/kartor/A 50326-2024 karta.png", "A 50326-2024")</f>
        <v/>
      </c>
      <c r="V116">
        <f>HYPERLINK("https://klasma.github.io/Logging_0188/klagomål/A 50326-2024 FSC-klagomål.docx", "A 50326-2024")</f>
        <v/>
      </c>
      <c r="W116">
        <f>HYPERLINK("https://klasma.github.io/Logging_0188/klagomålsmail/A 50326-2024 FSC-klagomål mail.docx", "A 50326-2024")</f>
        <v/>
      </c>
      <c r="X116">
        <f>HYPERLINK("https://klasma.github.io/Logging_0188/tillsyn/A 50326-2024 tillsynsbegäran.docx", "A 50326-2024")</f>
        <v/>
      </c>
      <c r="Y116">
        <f>HYPERLINK("https://klasma.github.io/Logging_0188/tillsynsmail/A 50326-2024 tillsynsbegäran mail.docx", "A 50326-2024")</f>
        <v/>
      </c>
    </row>
    <row r="117" ht="15" customHeight="1">
      <c r="A117" t="inlineStr">
        <is>
          <t>A 52360-2024</t>
        </is>
      </c>
      <c r="B117" s="1" t="n">
        <v>45609</v>
      </c>
      <c r="C117" s="1" t="n">
        <v>45657</v>
      </c>
      <c r="D117" t="inlineStr">
        <is>
          <t>STOCKHOLMS LÄN</t>
        </is>
      </c>
      <c r="E117" t="inlineStr">
        <is>
          <t>NORRTÄLJE</t>
        </is>
      </c>
      <c r="G117" t="n">
        <v>2.2</v>
      </c>
      <c r="H117" t="n">
        <v>1</v>
      </c>
      <c r="I117" t="n">
        <v>1</v>
      </c>
      <c r="J117" t="n">
        <v>0</v>
      </c>
      <c r="K117" t="n">
        <v>0</v>
      </c>
      <c r="L117" t="n">
        <v>0</v>
      </c>
      <c r="M117" t="n">
        <v>0</v>
      </c>
      <c r="N117" t="n">
        <v>0</v>
      </c>
      <c r="O117" t="n">
        <v>0</v>
      </c>
      <c r="P117" t="n">
        <v>0</v>
      </c>
      <c r="Q117" t="n">
        <v>2</v>
      </c>
      <c r="R117" s="2" t="inlineStr">
        <is>
          <t>Brandticka
Blåsippa</t>
        </is>
      </c>
      <c r="S117">
        <f>HYPERLINK("https://klasma.github.io/Logging_0188/artfynd/A 52360-2024 artfynd.xlsx", "A 52360-2024")</f>
        <v/>
      </c>
      <c r="T117">
        <f>HYPERLINK("https://klasma.github.io/Logging_0188/kartor/A 52360-2024 karta.png", "A 52360-2024")</f>
        <v/>
      </c>
      <c r="V117">
        <f>HYPERLINK("https://klasma.github.io/Logging_0188/klagomål/A 52360-2024 FSC-klagomål.docx", "A 52360-2024")</f>
        <v/>
      </c>
      <c r="W117">
        <f>HYPERLINK("https://klasma.github.io/Logging_0188/klagomålsmail/A 52360-2024 FSC-klagomål mail.docx", "A 52360-2024")</f>
        <v/>
      </c>
      <c r="X117">
        <f>HYPERLINK("https://klasma.github.io/Logging_0188/tillsyn/A 52360-2024 tillsynsbegäran.docx", "A 52360-2024")</f>
        <v/>
      </c>
      <c r="Y117">
        <f>HYPERLINK("https://klasma.github.io/Logging_0188/tillsynsmail/A 52360-2024 tillsynsbegäran mail.docx", "A 52360-2024")</f>
        <v/>
      </c>
    </row>
    <row r="118" ht="15" customHeight="1">
      <c r="A118" t="inlineStr">
        <is>
          <t>A 20740-2019</t>
        </is>
      </c>
      <c r="B118" s="1" t="n">
        <v>43573</v>
      </c>
      <c r="C118" s="1" t="n">
        <v>45657</v>
      </c>
      <c r="D118" t="inlineStr">
        <is>
          <t>STOCKHOLMS LÄN</t>
        </is>
      </c>
      <c r="E118" t="inlineStr">
        <is>
          <t>NORRTÄLJE</t>
        </is>
      </c>
      <c r="G118" t="n">
        <v>1.6</v>
      </c>
      <c r="H118" t="n">
        <v>0</v>
      </c>
      <c r="I118" t="n">
        <v>0</v>
      </c>
      <c r="J118" t="n">
        <v>1</v>
      </c>
      <c r="K118" t="n">
        <v>0</v>
      </c>
      <c r="L118" t="n">
        <v>0</v>
      </c>
      <c r="M118" t="n">
        <v>0</v>
      </c>
      <c r="N118" t="n">
        <v>0</v>
      </c>
      <c r="O118" t="n">
        <v>1</v>
      </c>
      <c r="P118" t="n">
        <v>0</v>
      </c>
      <c r="Q118" t="n">
        <v>1</v>
      </c>
      <c r="R118" s="2" t="inlineStr">
        <is>
          <t>Slåtterfibbla</t>
        </is>
      </c>
      <c r="S118">
        <f>HYPERLINK("https://klasma.github.io/Logging_0188/artfynd/A 20740-2019 artfynd.xlsx", "A 20740-2019")</f>
        <v/>
      </c>
      <c r="T118">
        <f>HYPERLINK("https://klasma.github.io/Logging_0188/kartor/A 20740-2019 karta.png", "A 20740-2019")</f>
        <v/>
      </c>
      <c r="V118">
        <f>HYPERLINK("https://klasma.github.io/Logging_0188/klagomål/A 20740-2019 FSC-klagomål.docx", "A 20740-2019")</f>
        <v/>
      </c>
      <c r="W118">
        <f>HYPERLINK("https://klasma.github.io/Logging_0188/klagomålsmail/A 20740-2019 FSC-klagomål mail.docx", "A 20740-2019")</f>
        <v/>
      </c>
      <c r="X118">
        <f>HYPERLINK("https://klasma.github.io/Logging_0188/tillsyn/A 20740-2019 tillsynsbegäran.docx", "A 20740-2019")</f>
        <v/>
      </c>
      <c r="Y118">
        <f>HYPERLINK("https://klasma.github.io/Logging_0188/tillsynsmail/A 20740-2019 tillsynsbegäran mail.docx", "A 20740-2019")</f>
        <v/>
      </c>
    </row>
    <row r="119" ht="15" customHeight="1">
      <c r="A119" t="inlineStr">
        <is>
          <t>A 26275-2019</t>
        </is>
      </c>
      <c r="B119" s="1" t="n">
        <v>43611</v>
      </c>
      <c r="C119" s="1" t="n">
        <v>45657</v>
      </c>
      <c r="D119" t="inlineStr">
        <is>
          <t>STOCKHOLMS LÄN</t>
        </is>
      </c>
      <c r="E119" t="inlineStr">
        <is>
          <t>NORRTÄLJE</t>
        </is>
      </c>
      <c r="G119" t="n">
        <v>0.5</v>
      </c>
      <c r="H119" t="n">
        <v>0</v>
      </c>
      <c r="I119" t="n">
        <v>1</v>
      </c>
      <c r="J119" t="n">
        <v>0</v>
      </c>
      <c r="K119" t="n">
        <v>0</v>
      </c>
      <c r="L119" t="n">
        <v>0</v>
      </c>
      <c r="M119" t="n">
        <v>0</v>
      </c>
      <c r="N119" t="n">
        <v>0</v>
      </c>
      <c r="O119" t="n">
        <v>0</v>
      </c>
      <c r="P119" t="n">
        <v>0</v>
      </c>
      <c r="Q119" t="n">
        <v>1</v>
      </c>
      <c r="R119" s="2" t="inlineStr">
        <is>
          <t>Blåmossa</t>
        </is>
      </c>
      <c r="S119">
        <f>HYPERLINK("https://klasma.github.io/Logging_0188/artfynd/A 26275-2019 artfynd.xlsx", "A 26275-2019")</f>
        <v/>
      </c>
      <c r="T119">
        <f>HYPERLINK("https://klasma.github.io/Logging_0188/kartor/A 26275-2019 karta.png", "A 26275-2019")</f>
        <v/>
      </c>
      <c r="V119">
        <f>HYPERLINK("https://klasma.github.io/Logging_0188/klagomål/A 26275-2019 FSC-klagomål.docx", "A 26275-2019")</f>
        <v/>
      </c>
      <c r="W119">
        <f>HYPERLINK("https://klasma.github.io/Logging_0188/klagomålsmail/A 26275-2019 FSC-klagomål mail.docx", "A 26275-2019")</f>
        <v/>
      </c>
      <c r="X119">
        <f>HYPERLINK("https://klasma.github.io/Logging_0188/tillsyn/A 26275-2019 tillsynsbegäran.docx", "A 26275-2019")</f>
        <v/>
      </c>
      <c r="Y119">
        <f>HYPERLINK("https://klasma.github.io/Logging_0188/tillsynsmail/A 26275-2019 tillsynsbegäran mail.docx", "A 26275-2019")</f>
        <v/>
      </c>
    </row>
    <row r="120" ht="15" customHeight="1">
      <c r="A120" t="inlineStr">
        <is>
          <t>A 30011-2019</t>
        </is>
      </c>
      <c r="B120" s="1" t="n">
        <v>43633</v>
      </c>
      <c r="C120" s="1" t="n">
        <v>45657</v>
      </c>
      <c r="D120" t="inlineStr">
        <is>
          <t>STOCKHOLMS LÄN</t>
        </is>
      </c>
      <c r="E120" t="inlineStr">
        <is>
          <t>NORRTÄLJE</t>
        </is>
      </c>
      <c r="G120" t="n">
        <v>2.6</v>
      </c>
      <c r="H120" t="n">
        <v>0</v>
      </c>
      <c r="I120" t="n">
        <v>1</v>
      </c>
      <c r="J120" t="n">
        <v>0</v>
      </c>
      <c r="K120" t="n">
        <v>0</v>
      </c>
      <c r="L120" t="n">
        <v>0</v>
      </c>
      <c r="M120" t="n">
        <v>0</v>
      </c>
      <c r="N120" t="n">
        <v>0</v>
      </c>
      <c r="O120" t="n">
        <v>0</v>
      </c>
      <c r="P120" t="n">
        <v>0</v>
      </c>
      <c r="Q120" t="n">
        <v>1</v>
      </c>
      <c r="R120" s="2" t="inlineStr">
        <is>
          <t>Tibast</t>
        </is>
      </c>
      <c r="S120">
        <f>HYPERLINK("https://klasma.github.io/Logging_0188/artfynd/A 30011-2019 artfynd.xlsx", "A 30011-2019")</f>
        <v/>
      </c>
      <c r="T120">
        <f>HYPERLINK("https://klasma.github.io/Logging_0188/kartor/A 30011-2019 karta.png", "A 30011-2019")</f>
        <v/>
      </c>
      <c r="V120">
        <f>HYPERLINK("https://klasma.github.io/Logging_0188/klagomål/A 30011-2019 FSC-klagomål.docx", "A 30011-2019")</f>
        <v/>
      </c>
      <c r="W120">
        <f>HYPERLINK("https://klasma.github.io/Logging_0188/klagomålsmail/A 30011-2019 FSC-klagomål mail.docx", "A 30011-2019")</f>
        <v/>
      </c>
      <c r="X120">
        <f>HYPERLINK("https://klasma.github.io/Logging_0188/tillsyn/A 30011-2019 tillsynsbegäran.docx", "A 30011-2019")</f>
        <v/>
      </c>
      <c r="Y120">
        <f>HYPERLINK("https://klasma.github.io/Logging_0188/tillsynsmail/A 30011-2019 tillsynsbegäran mail.docx", "A 30011-2019")</f>
        <v/>
      </c>
    </row>
    <row r="121" ht="15" customHeight="1">
      <c r="A121" t="inlineStr">
        <is>
          <t>A 38137-2019</t>
        </is>
      </c>
      <c r="B121" s="1" t="n">
        <v>43684</v>
      </c>
      <c r="C121" s="1" t="n">
        <v>45657</v>
      </c>
      <c r="D121" t="inlineStr">
        <is>
          <t>STOCKHOLMS LÄN</t>
        </is>
      </c>
      <c r="E121" t="inlineStr">
        <is>
          <t>NORRTÄLJE</t>
        </is>
      </c>
      <c r="G121" t="n">
        <v>12.9</v>
      </c>
      <c r="H121" t="n">
        <v>0</v>
      </c>
      <c r="I121" t="n">
        <v>0</v>
      </c>
      <c r="J121" t="n">
        <v>1</v>
      </c>
      <c r="K121" t="n">
        <v>0</v>
      </c>
      <c r="L121" t="n">
        <v>0</v>
      </c>
      <c r="M121" t="n">
        <v>0</v>
      </c>
      <c r="N121" t="n">
        <v>0</v>
      </c>
      <c r="O121" t="n">
        <v>1</v>
      </c>
      <c r="P121" t="n">
        <v>0</v>
      </c>
      <c r="Q121" t="n">
        <v>1</v>
      </c>
      <c r="R121" s="2" t="inlineStr">
        <is>
          <t>Rutskinn</t>
        </is>
      </c>
      <c r="S121">
        <f>HYPERLINK("https://klasma.github.io/Logging_0188/artfynd/A 38137-2019 artfynd.xlsx", "A 38137-2019")</f>
        <v/>
      </c>
      <c r="T121">
        <f>HYPERLINK("https://klasma.github.io/Logging_0188/kartor/A 38137-2019 karta.png", "A 38137-2019")</f>
        <v/>
      </c>
      <c r="V121">
        <f>HYPERLINK("https://klasma.github.io/Logging_0188/klagomål/A 38137-2019 FSC-klagomål.docx", "A 38137-2019")</f>
        <v/>
      </c>
      <c r="W121">
        <f>HYPERLINK("https://klasma.github.io/Logging_0188/klagomålsmail/A 38137-2019 FSC-klagomål mail.docx", "A 38137-2019")</f>
        <v/>
      </c>
      <c r="X121">
        <f>HYPERLINK("https://klasma.github.io/Logging_0188/tillsyn/A 38137-2019 tillsynsbegäran.docx", "A 38137-2019")</f>
        <v/>
      </c>
      <c r="Y121">
        <f>HYPERLINK("https://klasma.github.io/Logging_0188/tillsynsmail/A 38137-2019 tillsynsbegäran mail.docx", "A 38137-2019")</f>
        <v/>
      </c>
    </row>
    <row r="122" ht="15" customHeight="1">
      <c r="A122" t="inlineStr">
        <is>
          <t>A 62848-2019</t>
        </is>
      </c>
      <c r="B122" s="1" t="n">
        <v>43790</v>
      </c>
      <c r="C122" s="1" t="n">
        <v>45657</v>
      </c>
      <c r="D122" t="inlineStr">
        <is>
          <t>STOCKHOLMS LÄN</t>
        </is>
      </c>
      <c r="E122" t="inlineStr">
        <is>
          <t>NORRTÄLJE</t>
        </is>
      </c>
      <c r="F122" t="inlineStr">
        <is>
          <t>Holmen skog AB</t>
        </is>
      </c>
      <c r="G122" t="n">
        <v>6.6</v>
      </c>
      <c r="H122" t="n">
        <v>1</v>
      </c>
      <c r="I122" t="n">
        <v>0</v>
      </c>
      <c r="J122" t="n">
        <v>0</v>
      </c>
      <c r="K122" t="n">
        <v>0</v>
      </c>
      <c r="L122" t="n">
        <v>1</v>
      </c>
      <c r="M122" t="n">
        <v>0</v>
      </c>
      <c r="N122" t="n">
        <v>0</v>
      </c>
      <c r="O122" t="n">
        <v>1</v>
      </c>
      <c r="P122" t="n">
        <v>1</v>
      </c>
      <c r="Q122" t="n">
        <v>1</v>
      </c>
      <c r="R122" s="2" t="inlineStr">
        <is>
          <t>Asknätfjäril</t>
        </is>
      </c>
      <c r="S122">
        <f>HYPERLINK("https://klasma.github.io/Logging_0188/artfynd/A 62848-2019 artfynd.xlsx", "A 62848-2019")</f>
        <v/>
      </c>
      <c r="T122">
        <f>HYPERLINK("https://klasma.github.io/Logging_0188/kartor/A 62848-2019 karta.png", "A 62848-2019")</f>
        <v/>
      </c>
      <c r="V122">
        <f>HYPERLINK("https://klasma.github.io/Logging_0188/klagomål/A 62848-2019 FSC-klagomål.docx", "A 62848-2019")</f>
        <v/>
      </c>
      <c r="W122">
        <f>HYPERLINK("https://klasma.github.io/Logging_0188/klagomålsmail/A 62848-2019 FSC-klagomål mail.docx", "A 62848-2019")</f>
        <v/>
      </c>
      <c r="X122">
        <f>HYPERLINK("https://klasma.github.io/Logging_0188/tillsyn/A 62848-2019 tillsynsbegäran.docx", "A 62848-2019")</f>
        <v/>
      </c>
      <c r="Y122">
        <f>HYPERLINK("https://klasma.github.io/Logging_0188/tillsynsmail/A 62848-2019 tillsynsbegäran mail.docx", "A 62848-2019")</f>
        <v/>
      </c>
    </row>
    <row r="123" ht="15" customHeight="1">
      <c r="A123" t="inlineStr">
        <is>
          <t>A 64849-2019</t>
        </is>
      </c>
      <c r="B123" s="1" t="n">
        <v>43801</v>
      </c>
      <c r="C123" s="1" t="n">
        <v>45657</v>
      </c>
      <c r="D123" t="inlineStr">
        <is>
          <t>STOCKHOLMS LÄN</t>
        </is>
      </c>
      <c r="E123" t="inlineStr">
        <is>
          <t>NORRTÄLJE</t>
        </is>
      </c>
      <c r="G123" t="n">
        <v>1.6</v>
      </c>
      <c r="H123" t="n">
        <v>0</v>
      </c>
      <c r="I123" t="n">
        <v>0</v>
      </c>
      <c r="J123" t="n">
        <v>1</v>
      </c>
      <c r="K123" t="n">
        <v>0</v>
      </c>
      <c r="L123" t="n">
        <v>0</v>
      </c>
      <c r="M123" t="n">
        <v>0</v>
      </c>
      <c r="N123" t="n">
        <v>0</v>
      </c>
      <c r="O123" t="n">
        <v>1</v>
      </c>
      <c r="P123" t="n">
        <v>0</v>
      </c>
      <c r="Q123" t="n">
        <v>1</v>
      </c>
      <c r="R123" s="2" t="inlineStr">
        <is>
          <t>Skogsklocka</t>
        </is>
      </c>
      <c r="S123">
        <f>HYPERLINK("https://klasma.github.io/Logging_0188/artfynd/A 64849-2019 artfynd.xlsx", "A 64849-2019")</f>
        <v/>
      </c>
      <c r="T123">
        <f>HYPERLINK("https://klasma.github.io/Logging_0188/kartor/A 64849-2019 karta.png", "A 64849-2019")</f>
        <v/>
      </c>
      <c r="V123">
        <f>HYPERLINK("https://klasma.github.io/Logging_0188/klagomål/A 64849-2019 FSC-klagomål.docx", "A 64849-2019")</f>
        <v/>
      </c>
      <c r="W123">
        <f>HYPERLINK("https://klasma.github.io/Logging_0188/klagomålsmail/A 64849-2019 FSC-klagomål mail.docx", "A 64849-2019")</f>
        <v/>
      </c>
      <c r="X123">
        <f>HYPERLINK("https://klasma.github.io/Logging_0188/tillsyn/A 64849-2019 tillsynsbegäran.docx", "A 64849-2019")</f>
        <v/>
      </c>
      <c r="Y123">
        <f>HYPERLINK("https://klasma.github.io/Logging_0188/tillsynsmail/A 64849-2019 tillsynsbegäran mail.docx", "A 64849-2019")</f>
        <v/>
      </c>
    </row>
    <row r="124" ht="15" customHeight="1">
      <c r="A124" t="inlineStr">
        <is>
          <t>A 2808-2020</t>
        </is>
      </c>
      <c r="B124" s="1" t="n">
        <v>43850</v>
      </c>
      <c r="C124" s="1" t="n">
        <v>45657</v>
      </c>
      <c r="D124" t="inlineStr">
        <is>
          <t>STOCKHOLMS LÄN</t>
        </is>
      </c>
      <c r="E124" t="inlineStr">
        <is>
          <t>NORRTÄLJE</t>
        </is>
      </c>
      <c r="G124" t="n">
        <v>1</v>
      </c>
      <c r="H124" t="n">
        <v>1</v>
      </c>
      <c r="I124" t="n">
        <v>0</v>
      </c>
      <c r="J124" t="n">
        <v>0</v>
      </c>
      <c r="K124" t="n">
        <v>1</v>
      </c>
      <c r="L124" t="n">
        <v>0</v>
      </c>
      <c r="M124" t="n">
        <v>0</v>
      </c>
      <c r="N124" t="n">
        <v>0</v>
      </c>
      <c r="O124" t="n">
        <v>1</v>
      </c>
      <c r="P124" t="n">
        <v>1</v>
      </c>
      <c r="Q124" t="n">
        <v>1</v>
      </c>
      <c r="R124" s="2" t="inlineStr">
        <is>
          <t>Knärot</t>
        </is>
      </c>
      <c r="S124">
        <f>HYPERLINK("https://klasma.github.io/Logging_0188/artfynd/A 2808-2020 artfynd.xlsx", "A 2808-2020")</f>
        <v/>
      </c>
      <c r="T124">
        <f>HYPERLINK("https://klasma.github.io/Logging_0188/kartor/A 2808-2020 karta.png", "A 2808-2020")</f>
        <v/>
      </c>
      <c r="U124">
        <f>HYPERLINK("https://klasma.github.io/Logging_0188/knärot/A 2808-2020 karta knärot.png", "A 2808-2020")</f>
        <v/>
      </c>
      <c r="V124">
        <f>HYPERLINK("https://klasma.github.io/Logging_0188/klagomål/A 2808-2020 FSC-klagomål.docx", "A 2808-2020")</f>
        <v/>
      </c>
      <c r="W124">
        <f>HYPERLINK("https://klasma.github.io/Logging_0188/klagomålsmail/A 2808-2020 FSC-klagomål mail.docx", "A 2808-2020")</f>
        <v/>
      </c>
      <c r="X124">
        <f>HYPERLINK("https://klasma.github.io/Logging_0188/tillsyn/A 2808-2020 tillsynsbegäran.docx", "A 2808-2020")</f>
        <v/>
      </c>
      <c r="Y124">
        <f>HYPERLINK("https://klasma.github.io/Logging_0188/tillsynsmail/A 2808-2020 tillsynsbegäran mail.docx", "A 2808-2020")</f>
        <v/>
      </c>
    </row>
    <row r="125" ht="15" customHeight="1">
      <c r="A125" t="inlineStr">
        <is>
          <t>A 2796-2020</t>
        </is>
      </c>
      <c r="B125" s="1" t="n">
        <v>43850</v>
      </c>
      <c r="C125" s="1" t="n">
        <v>45657</v>
      </c>
      <c r="D125" t="inlineStr">
        <is>
          <t>STOCKHOLMS LÄN</t>
        </is>
      </c>
      <c r="E125" t="inlineStr">
        <is>
          <t>NORRTÄLJE</t>
        </is>
      </c>
      <c r="G125" t="n">
        <v>5.6</v>
      </c>
      <c r="H125" t="n">
        <v>1</v>
      </c>
      <c r="I125" t="n">
        <v>1</v>
      </c>
      <c r="J125" t="n">
        <v>0</v>
      </c>
      <c r="K125" t="n">
        <v>0</v>
      </c>
      <c r="L125" t="n">
        <v>0</v>
      </c>
      <c r="M125" t="n">
        <v>0</v>
      </c>
      <c r="N125" t="n">
        <v>0</v>
      </c>
      <c r="O125" t="n">
        <v>0</v>
      </c>
      <c r="P125" t="n">
        <v>0</v>
      </c>
      <c r="Q125" t="n">
        <v>1</v>
      </c>
      <c r="R125" s="2" t="inlineStr">
        <is>
          <t>Spindelblomster</t>
        </is>
      </c>
      <c r="S125">
        <f>HYPERLINK("https://klasma.github.io/Logging_0188/artfynd/A 2796-2020 artfynd.xlsx", "A 2796-2020")</f>
        <v/>
      </c>
      <c r="T125">
        <f>HYPERLINK("https://klasma.github.io/Logging_0188/kartor/A 2796-2020 karta.png", "A 2796-2020")</f>
        <v/>
      </c>
      <c r="V125">
        <f>HYPERLINK("https://klasma.github.io/Logging_0188/klagomål/A 2796-2020 FSC-klagomål.docx", "A 2796-2020")</f>
        <v/>
      </c>
      <c r="W125">
        <f>HYPERLINK("https://klasma.github.io/Logging_0188/klagomålsmail/A 2796-2020 FSC-klagomål mail.docx", "A 2796-2020")</f>
        <v/>
      </c>
      <c r="X125">
        <f>HYPERLINK("https://klasma.github.io/Logging_0188/tillsyn/A 2796-2020 tillsynsbegäran.docx", "A 2796-2020")</f>
        <v/>
      </c>
      <c r="Y125">
        <f>HYPERLINK("https://klasma.github.io/Logging_0188/tillsynsmail/A 2796-2020 tillsynsbegäran mail.docx", "A 2796-2020")</f>
        <v/>
      </c>
    </row>
    <row r="126" ht="15" customHeight="1">
      <c r="A126" t="inlineStr">
        <is>
          <t>A 9051-2020</t>
        </is>
      </c>
      <c r="B126" s="1" t="n">
        <v>43879</v>
      </c>
      <c r="C126" s="1" t="n">
        <v>45657</v>
      </c>
      <c r="D126" t="inlineStr">
        <is>
          <t>STOCKHOLMS LÄN</t>
        </is>
      </c>
      <c r="E126" t="inlineStr">
        <is>
          <t>NORRTÄLJE</t>
        </is>
      </c>
      <c r="G126" t="n">
        <v>12.5</v>
      </c>
      <c r="H126" t="n">
        <v>1</v>
      </c>
      <c r="I126" t="n">
        <v>0</v>
      </c>
      <c r="J126" t="n">
        <v>0</v>
      </c>
      <c r="K126" t="n">
        <v>0</v>
      </c>
      <c r="L126" t="n">
        <v>1</v>
      </c>
      <c r="M126" t="n">
        <v>0</v>
      </c>
      <c r="N126" t="n">
        <v>0</v>
      </c>
      <c r="O126" t="n">
        <v>1</v>
      </c>
      <c r="P126" t="n">
        <v>1</v>
      </c>
      <c r="Q126" t="n">
        <v>1</v>
      </c>
      <c r="R126" s="2" t="inlineStr">
        <is>
          <t>Asknätfjäril</t>
        </is>
      </c>
      <c r="S126">
        <f>HYPERLINK("https://klasma.github.io/Logging_0188/artfynd/A 9051-2020 artfynd.xlsx", "A 9051-2020")</f>
        <v/>
      </c>
      <c r="T126">
        <f>HYPERLINK("https://klasma.github.io/Logging_0188/kartor/A 9051-2020 karta.png", "A 9051-2020")</f>
        <v/>
      </c>
      <c r="V126">
        <f>HYPERLINK("https://klasma.github.io/Logging_0188/klagomål/A 9051-2020 FSC-klagomål.docx", "A 9051-2020")</f>
        <v/>
      </c>
      <c r="W126">
        <f>HYPERLINK("https://klasma.github.io/Logging_0188/klagomålsmail/A 9051-2020 FSC-klagomål mail.docx", "A 9051-2020")</f>
        <v/>
      </c>
      <c r="X126">
        <f>HYPERLINK("https://klasma.github.io/Logging_0188/tillsyn/A 9051-2020 tillsynsbegäran.docx", "A 9051-2020")</f>
        <v/>
      </c>
      <c r="Y126">
        <f>HYPERLINK("https://klasma.github.io/Logging_0188/tillsynsmail/A 9051-2020 tillsynsbegäran mail.docx", "A 9051-2020")</f>
        <v/>
      </c>
    </row>
    <row r="127" ht="15" customHeight="1">
      <c r="A127" t="inlineStr">
        <is>
          <t>A 12843-2020</t>
        </is>
      </c>
      <c r="B127" s="1" t="n">
        <v>43899</v>
      </c>
      <c r="C127" s="1" t="n">
        <v>45657</v>
      </c>
      <c r="D127" t="inlineStr">
        <is>
          <t>STOCKHOLMS LÄN</t>
        </is>
      </c>
      <c r="E127" t="inlineStr">
        <is>
          <t>NORRTÄLJE</t>
        </is>
      </c>
      <c r="G127" t="n">
        <v>7.5</v>
      </c>
      <c r="H127" t="n">
        <v>1</v>
      </c>
      <c r="I127" t="n">
        <v>0</v>
      </c>
      <c r="J127" t="n">
        <v>1</v>
      </c>
      <c r="K127" t="n">
        <v>0</v>
      </c>
      <c r="L127" t="n">
        <v>0</v>
      </c>
      <c r="M127" t="n">
        <v>0</v>
      </c>
      <c r="N127" t="n">
        <v>0</v>
      </c>
      <c r="O127" t="n">
        <v>1</v>
      </c>
      <c r="P127" t="n">
        <v>0</v>
      </c>
      <c r="Q127" t="n">
        <v>1</v>
      </c>
      <c r="R127" s="2" t="inlineStr">
        <is>
          <t>Talltita</t>
        </is>
      </c>
      <c r="S127">
        <f>HYPERLINK("https://klasma.github.io/Logging_0188/artfynd/A 12843-2020 artfynd.xlsx", "A 12843-2020")</f>
        <v/>
      </c>
      <c r="T127">
        <f>HYPERLINK("https://klasma.github.io/Logging_0188/kartor/A 12843-2020 karta.png", "A 12843-2020")</f>
        <v/>
      </c>
      <c r="V127">
        <f>HYPERLINK("https://klasma.github.io/Logging_0188/klagomål/A 12843-2020 FSC-klagomål.docx", "A 12843-2020")</f>
        <v/>
      </c>
      <c r="W127">
        <f>HYPERLINK("https://klasma.github.io/Logging_0188/klagomålsmail/A 12843-2020 FSC-klagomål mail.docx", "A 12843-2020")</f>
        <v/>
      </c>
      <c r="X127">
        <f>HYPERLINK("https://klasma.github.io/Logging_0188/tillsyn/A 12843-2020 tillsynsbegäran.docx", "A 12843-2020")</f>
        <v/>
      </c>
      <c r="Y127">
        <f>HYPERLINK("https://klasma.github.io/Logging_0188/tillsynsmail/A 12843-2020 tillsynsbegäran mail.docx", "A 12843-2020")</f>
        <v/>
      </c>
      <c r="Z127">
        <f>HYPERLINK("https://klasma.github.io/Logging_0188/fåglar/A 12843-2020 prioriterade fågelarter.docx", "A 12843-2020")</f>
        <v/>
      </c>
    </row>
    <row r="128" ht="15" customHeight="1">
      <c r="A128" t="inlineStr">
        <is>
          <t>A 28380-2020</t>
        </is>
      </c>
      <c r="B128" s="1" t="n">
        <v>43998</v>
      </c>
      <c r="C128" s="1" t="n">
        <v>45657</v>
      </c>
      <c r="D128" t="inlineStr">
        <is>
          <t>STOCKHOLMS LÄN</t>
        </is>
      </c>
      <c r="E128" t="inlineStr">
        <is>
          <t>NORRTÄLJE</t>
        </is>
      </c>
      <c r="G128" t="n">
        <v>43</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28380-2020 artfynd.xlsx", "A 28380-2020")</f>
        <v/>
      </c>
      <c r="T128">
        <f>HYPERLINK("https://klasma.github.io/Logging_0188/kartor/A 28380-2020 karta.png", "A 28380-2020")</f>
        <v/>
      </c>
      <c r="V128">
        <f>HYPERLINK("https://klasma.github.io/Logging_0188/klagomål/A 28380-2020 FSC-klagomål.docx", "A 28380-2020")</f>
        <v/>
      </c>
      <c r="W128">
        <f>HYPERLINK("https://klasma.github.io/Logging_0188/klagomålsmail/A 28380-2020 FSC-klagomål mail.docx", "A 28380-2020")</f>
        <v/>
      </c>
      <c r="X128">
        <f>HYPERLINK("https://klasma.github.io/Logging_0188/tillsyn/A 28380-2020 tillsynsbegäran.docx", "A 28380-2020")</f>
        <v/>
      </c>
      <c r="Y128">
        <f>HYPERLINK("https://klasma.github.io/Logging_0188/tillsynsmail/A 28380-2020 tillsynsbegäran mail.docx", "A 28380-2020")</f>
        <v/>
      </c>
    </row>
    <row r="129" ht="15" customHeight="1">
      <c r="A129" t="inlineStr">
        <is>
          <t>A 48288-2020</t>
        </is>
      </c>
      <c r="B129" s="1" t="n">
        <v>44102</v>
      </c>
      <c r="C129" s="1" t="n">
        <v>45657</v>
      </c>
      <c r="D129" t="inlineStr">
        <is>
          <t>STOCKHOLMS LÄN</t>
        </is>
      </c>
      <c r="E129" t="inlineStr">
        <is>
          <t>NORRTÄLJE</t>
        </is>
      </c>
      <c r="F129" t="inlineStr">
        <is>
          <t>Holmen skog AB</t>
        </is>
      </c>
      <c r="G129" t="n">
        <v>2.9</v>
      </c>
      <c r="H129" t="n">
        <v>1</v>
      </c>
      <c r="I129" t="n">
        <v>0</v>
      </c>
      <c r="J129" t="n">
        <v>0</v>
      </c>
      <c r="K129" t="n">
        <v>0</v>
      </c>
      <c r="L129" t="n">
        <v>1</v>
      </c>
      <c r="M129" t="n">
        <v>0</v>
      </c>
      <c r="N129" t="n">
        <v>0</v>
      </c>
      <c r="O129" t="n">
        <v>1</v>
      </c>
      <c r="P129" t="n">
        <v>1</v>
      </c>
      <c r="Q129" t="n">
        <v>1</v>
      </c>
      <c r="R129" s="2" t="inlineStr">
        <is>
          <t>Asknätfjäril</t>
        </is>
      </c>
      <c r="S129">
        <f>HYPERLINK("https://klasma.github.io/Logging_0188/artfynd/A 48288-2020 artfynd.xlsx", "A 48288-2020")</f>
        <v/>
      </c>
      <c r="T129">
        <f>HYPERLINK("https://klasma.github.io/Logging_0188/kartor/A 48288-2020 karta.png", "A 48288-2020")</f>
        <v/>
      </c>
      <c r="V129">
        <f>HYPERLINK("https://klasma.github.io/Logging_0188/klagomål/A 48288-2020 FSC-klagomål.docx", "A 48288-2020")</f>
        <v/>
      </c>
      <c r="W129">
        <f>HYPERLINK("https://klasma.github.io/Logging_0188/klagomålsmail/A 48288-2020 FSC-klagomål mail.docx", "A 48288-2020")</f>
        <v/>
      </c>
      <c r="X129">
        <f>HYPERLINK("https://klasma.github.io/Logging_0188/tillsyn/A 48288-2020 tillsynsbegäran.docx", "A 48288-2020")</f>
        <v/>
      </c>
      <c r="Y129">
        <f>HYPERLINK("https://klasma.github.io/Logging_0188/tillsynsmail/A 48288-2020 tillsynsbegäran mail.docx", "A 48288-2020")</f>
        <v/>
      </c>
    </row>
    <row r="130" ht="15" customHeight="1">
      <c r="A130" t="inlineStr">
        <is>
          <t>A 62846-2020</t>
        </is>
      </c>
      <c r="B130" s="1" t="n">
        <v>44161</v>
      </c>
      <c r="C130" s="1" t="n">
        <v>45657</v>
      </c>
      <c r="D130" t="inlineStr">
        <is>
          <t>STOCKHOLMS LÄN</t>
        </is>
      </c>
      <c r="E130" t="inlineStr">
        <is>
          <t>NORRTÄLJE</t>
        </is>
      </c>
      <c r="G130" t="n">
        <v>1.4</v>
      </c>
      <c r="H130" t="n">
        <v>1</v>
      </c>
      <c r="I130" t="n">
        <v>0</v>
      </c>
      <c r="J130" t="n">
        <v>0</v>
      </c>
      <c r="K130" t="n">
        <v>0</v>
      </c>
      <c r="L130" t="n">
        <v>0</v>
      </c>
      <c r="M130" t="n">
        <v>0</v>
      </c>
      <c r="N130" t="n">
        <v>0</v>
      </c>
      <c r="O130" t="n">
        <v>0</v>
      </c>
      <c r="P130" t="n">
        <v>0</v>
      </c>
      <c r="Q130" t="n">
        <v>1</v>
      </c>
      <c r="R130" s="2" t="inlineStr">
        <is>
          <t>Fläcknycklar</t>
        </is>
      </c>
      <c r="S130">
        <f>HYPERLINK("https://klasma.github.io/Logging_0188/artfynd/A 62846-2020 artfynd.xlsx", "A 62846-2020")</f>
        <v/>
      </c>
      <c r="T130">
        <f>HYPERLINK("https://klasma.github.io/Logging_0188/kartor/A 62846-2020 karta.png", "A 62846-2020")</f>
        <v/>
      </c>
      <c r="V130">
        <f>HYPERLINK("https://klasma.github.io/Logging_0188/klagomål/A 62846-2020 FSC-klagomål.docx", "A 62846-2020")</f>
        <v/>
      </c>
      <c r="W130">
        <f>HYPERLINK("https://klasma.github.io/Logging_0188/klagomålsmail/A 62846-2020 FSC-klagomål mail.docx", "A 62846-2020")</f>
        <v/>
      </c>
      <c r="X130">
        <f>HYPERLINK("https://klasma.github.io/Logging_0188/tillsyn/A 62846-2020 tillsynsbegäran.docx", "A 62846-2020")</f>
        <v/>
      </c>
      <c r="Y130">
        <f>HYPERLINK("https://klasma.github.io/Logging_0188/tillsynsmail/A 62846-2020 tillsynsbegäran mail.docx", "A 62846-2020")</f>
        <v/>
      </c>
    </row>
    <row r="131" ht="15" customHeight="1">
      <c r="A131" t="inlineStr">
        <is>
          <t>A 1162-2021</t>
        </is>
      </c>
      <c r="B131" s="1" t="n">
        <v>44207</v>
      </c>
      <c r="C131" s="1" t="n">
        <v>45657</v>
      </c>
      <c r="D131" t="inlineStr">
        <is>
          <t>STOCKHOLMS LÄN</t>
        </is>
      </c>
      <c r="E131" t="inlineStr">
        <is>
          <t>NORRTÄLJE</t>
        </is>
      </c>
      <c r="G131" t="n">
        <v>2.2</v>
      </c>
      <c r="H131" t="n">
        <v>1</v>
      </c>
      <c r="I131" t="n">
        <v>0</v>
      </c>
      <c r="J131" t="n">
        <v>0</v>
      </c>
      <c r="K131" t="n">
        <v>1</v>
      </c>
      <c r="L131" t="n">
        <v>0</v>
      </c>
      <c r="M131" t="n">
        <v>0</v>
      </c>
      <c r="N131" t="n">
        <v>0</v>
      </c>
      <c r="O131" t="n">
        <v>1</v>
      </c>
      <c r="P131" t="n">
        <v>1</v>
      </c>
      <c r="Q131" t="n">
        <v>1</v>
      </c>
      <c r="R131" s="2" t="inlineStr">
        <is>
          <t>Hällebräcka</t>
        </is>
      </c>
      <c r="S131">
        <f>HYPERLINK("https://klasma.github.io/Logging_0188/artfynd/A 1162-2021 artfynd.xlsx", "A 1162-2021")</f>
        <v/>
      </c>
      <c r="T131">
        <f>HYPERLINK("https://klasma.github.io/Logging_0188/kartor/A 1162-2021 karta.png", "A 1162-2021")</f>
        <v/>
      </c>
      <c r="V131">
        <f>HYPERLINK("https://klasma.github.io/Logging_0188/klagomål/A 1162-2021 FSC-klagomål.docx", "A 1162-2021")</f>
        <v/>
      </c>
      <c r="W131">
        <f>HYPERLINK("https://klasma.github.io/Logging_0188/klagomålsmail/A 1162-2021 FSC-klagomål mail.docx", "A 1162-2021")</f>
        <v/>
      </c>
      <c r="X131">
        <f>HYPERLINK("https://klasma.github.io/Logging_0188/tillsyn/A 1162-2021 tillsynsbegäran.docx", "A 1162-2021")</f>
        <v/>
      </c>
      <c r="Y131">
        <f>HYPERLINK("https://klasma.github.io/Logging_0188/tillsynsmail/A 1162-2021 tillsynsbegäran mail.docx", "A 1162-2021")</f>
        <v/>
      </c>
    </row>
    <row r="132" ht="15" customHeight="1">
      <c r="A132" t="inlineStr">
        <is>
          <t>A 30138-2021</t>
        </is>
      </c>
      <c r="B132" s="1" t="n">
        <v>44363</v>
      </c>
      <c r="C132" s="1" t="n">
        <v>45657</v>
      </c>
      <c r="D132" t="inlineStr">
        <is>
          <t>STOCKHOLMS LÄN</t>
        </is>
      </c>
      <c r="E132" t="inlineStr">
        <is>
          <t>NORRTÄLJE</t>
        </is>
      </c>
      <c r="G132" t="n">
        <v>4.5</v>
      </c>
      <c r="H132" t="n">
        <v>0</v>
      </c>
      <c r="I132" t="n">
        <v>1</v>
      </c>
      <c r="J132" t="n">
        <v>0</v>
      </c>
      <c r="K132" t="n">
        <v>0</v>
      </c>
      <c r="L132" t="n">
        <v>0</v>
      </c>
      <c r="M132" t="n">
        <v>0</v>
      </c>
      <c r="N132" t="n">
        <v>0</v>
      </c>
      <c r="O132" t="n">
        <v>0</v>
      </c>
      <c r="P132" t="n">
        <v>0</v>
      </c>
      <c r="Q132" t="n">
        <v>1</v>
      </c>
      <c r="R132" s="2" t="inlineStr">
        <is>
          <t>Vårärt</t>
        </is>
      </c>
      <c r="S132">
        <f>HYPERLINK("https://klasma.github.io/Logging_0188/artfynd/A 30138-2021 artfynd.xlsx", "A 30138-2021")</f>
        <v/>
      </c>
      <c r="T132">
        <f>HYPERLINK("https://klasma.github.io/Logging_0188/kartor/A 30138-2021 karta.png", "A 30138-2021")</f>
        <v/>
      </c>
      <c r="V132">
        <f>HYPERLINK("https://klasma.github.io/Logging_0188/klagomål/A 30138-2021 FSC-klagomål.docx", "A 30138-2021")</f>
        <v/>
      </c>
      <c r="W132">
        <f>HYPERLINK("https://klasma.github.io/Logging_0188/klagomålsmail/A 30138-2021 FSC-klagomål mail.docx", "A 30138-2021")</f>
        <v/>
      </c>
      <c r="X132">
        <f>HYPERLINK("https://klasma.github.io/Logging_0188/tillsyn/A 30138-2021 tillsynsbegäran.docx", "A 30138-2021")</f>
        <v/>
      </c>
      <c r="Y132">
        <f>HYPERLINK("https://klasma.github.io/Logging_0188/tillsynsmail/A 30138-2021 tillsynsbegäran mail.docx", "A 30138-2021")</f>
        <v/>
      </c>
    </row>
    <row r="133" ht="15" customHeight="1">
      <c r="A133" t="inlineStr">
        <is>
          <t>A 33302-2021</t>
        </is>
      </c>
      <c r="B133" s="1" t="n">
        <v>44377</v>
      </c>
      <c r="C133" s="1" t="n">
        <v>45657</v>
      </c>
      <c r="D133" t="inlineStr">
        <is>
          <t>STOCKHOLMS LÄN</t>
        </is>
      </c>
      <c r="E133" t="inlineStr">
        <is>
          <t>NORRTÄLJE</t>
        </is>
      </c>
      <c r="G133" t="n">
        <v>12.5</v>
      </c>
      <c r="H133" t="n">
        <v>1</v>
      </c>
      <c r="I133" t="n">
        <v>0</v>
      </c>
      <c r="J133" t="n">
        <v>1</v>
      </c>
      <c r="K133" t="n">
        <v>0</v>
      </c>
      <c r="L133" t="n">
        <v>0</v>
      </c>
      <c r="M133" t="n">
        <v>0</v>
      </c>
      <c r="N133" t="n">
        <v>0</v>
      </c>
      <c r="O133" t="n">
        <v>1</v>
      </c>
      <c r="P133" t="n">
        <v>0</v>
      </c>
      <c r="Q133" t="n">
        <v>1</v>
      </c>
      <c r="R133" s="2" t="inlineStr">
        <is>
          <t>Spillkråka</t>
        </is>
      </c>
      <c r="S133">
        <f>HYPERLINK("https://klasma.github.io/Logging_0188/artfynd/A 33302-2021 artfynd.xlsx", "A 33302-2021")</f>
        <v/>
      </c>
      <c r="T133">
        <f>HYPERLINK("https://klasma.github.io/Logging_0188/kartor/A 33302-2021 karta.png", "A 33302-2021")</f>
        <v/>
      </c>
      <c r="V133">
        <f>HYPERLINK("https://klasma.github.io/Logging_0188/klagomål/A 33302-2021 FSC-klagomål.docx", "A 33302-2021")</f>
        <v/>
      </c>
      <c r="W133">
        <f>HYPERLINK("https://klasma.github.io/Logging_0188/klagomålsmail/A 33302-2021 FSC-klagomål mail.docx", "A 33302-2021")</f>
        <v/>
      </c>
      <c r="X133">
        <f>HYPERLINK("https://klasma.github.io/Logging_0188/tillsyn/A 33302-2021 tillsynsbegäran.docx", "A 33302-2021")</f>
        <v/>
      </c>
      <c r="Y133">
        <f>HYPERLINK("https://klasma.github.io/Logging_0188/tillsynsmail/A 33302-2021 tillsynsbegäran mail.docx", "A 33302-2021")</f>
        <v/>
      </c>
      <c r="Z133">
        <f>HYPERLINK("https://klasma.github.io/Logging_0188/fåglar/A 33302-2021 prioriterade fågelarter.docx", "A 33302-2021")</f>
        <v/>
      </c>
    </row>
    <row r="134" ht="15" customHeight="1">
      <c r="A134" t="inlineStr">
        <is>
          <t>A 58888-2021</t>
        </is>
      </c>
      <c r="B134" s="1" t="n">
        <v>44489</v>
      </c>
      <c r="C134" s="1" t="n">
        <v>45657</v>
      </c>
      <c r="D134" t="inlineStr">
        <is>
          <t>STOCKHOLMS LÄN</t>
        </is>
      </c>
      <c r="E134" t="inlineStr">
        <is>
          <t>NORRTÄLJE</t>
        </is>
      </c>
      <c r="F134" t="inlineStr">
        <is>
          <t>Holmen skog AB</t>
        </is>
      </c>
      <c r="G134" t="n">
        <v>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58888-2021 artfynd.xlsx", "A 58888-2021")</f>
        <v/>
      </c>
      <c r="T134">
        <f>HYPERLINK("https://klasma.github.io/Logging_0188/kartor/A 58888-2021 karta.png", "A 58888-2021")</f>
        <v/>
      </c>
      <c r="V134">
        <f>HYPERLINK("https://klasma.github.io/Logging_0188/klagomål/A 58888-2021 FSC-klagomål.docx", "A 58888-2021")</f>
        <v/>
      </c>
      <c r="W134">
        <f>HYPERLINK("https://klasma.github.io/Logging_0188/klagomålsmail/A 58888-2021 FSC-klagomål mail.docx", "A 58888-2021")</f>
        <v/>
      </c>
      <c r="X134">
        <f>HYPERLINK("https://klasma.github.io/Logging_0188/tillsyn/A 58888-2021 tillsynsbegäran.docx", "A 58888-2021")</f>
        <v/>
      </c>
      <c r="Y134">
        <f>HYPERLINK("https://klasma.github.io/Logging_0188/tillsynsmail/A 58888-2021 tillsynsbegäran mail.docx", "A 58888-2021")</f>
        <v/>
      </c>
    </row>
    <row r="135" ht="15" customHeight="1">
      <c r="A135" t="inlineStr">
        <is>
          <t>A 68692-2021</t>
        </is>
      </c>
      <c r="B135" s="1" t="n">
        <v>44529</v>
      </c>
      <c r="C135" s="1" t="n">
        <v>45657</v>
      </c>
      <c r="D135" t="inlineStr">
        <is>
          <t>STOCKHOLMS LÄN</t>
        </is>
      </c>
      <c r="E135" t="inlineStr">
        <is>
          <t>NORRTÄLJE</t>
        </is>
      </c>
      <c r="F135" t="inlineStr">
        <is>
          <t>Holmen skog AB</t>
        </is>
      </c>
      <c r="G135" t="n">
        <v>0.7</v>
      </c>
      <c r="H135" t="n">
        <v>1</v>
      </c>
      <c r="I135" t="n">
        <v>0</v>
      </c>
      <c r="J135" t="n">
        <v>0</v>
      </c>
      <c r="K135" t="n">
        <v>0</v>
      </c>
      <c r="L135" t="n">
        <v>1</v>
      </c>
      <c r="M135" t="n">
        <v>0</v>
      </c>
      <c r="N135" t="n">
        <v>0</v>
      </c>
      <c r="O135" t="n">
        <v>1</v>
      </c>
      <c r="P135" t="n">
        <v>1</v>
      </c>
      <c r="Q135" t="n">
        <v>1</v>
      </c>
      <c r="R135" s="2" t="inlineStr">
        <is>
          <t>Asknätfjäril</t>
        </is>
      </c>
      <c r="S135">
        <f>HYPERLINK("https://klasma.github.io/Logging_0188/artfynd/A 68692-2021 artfynd.xlsx", "A 68692-2021")</f>
        <v/>
      </c>
      <c r="T135">
        <f>HYPERLINK("https://klasma.github.io/Logging_0188/kartor/A 68692-2021 karta.png", "A 68692-2021")</f>
        <v/>
      </c>
      <c r="V135">
        <f>HYPERLINK("https://klasma.github.io/Logging_0188/klagomål/A 68692-2021 FSC-klagomål.docx", "A 68692-2021")</f>
        <v/>
      </c>
      <c r="W135">
        <f>HYPERLINK("https://klasma.github.io/Logging_0188/klagomålsmail/A 68692-2021 FSC-klagomål mail.docx", "A 68692-2021")</f>
        <v/>
      </c>
      <c r="X135">
        <f>HYPERLINK("https://klasma.github.io/Logging_0188/tillsyn/A 68692-2021 tillsynsbegäran.docx", "A 68692-2021")</f>
        <v/>
      </c>
      <c r="Y135">
        <f>HYPERLINK("https://klasma.github.io/Logging_0188/tillsynsmail/A 68692-2021 tillsynsbegäran mail.docx", "A 68692-2021")</f>
        <v/>
      </c>
    </row>
    <row r="136" ht="15" customHeight="1">
      <c r="A136" t="inlineStr">
        <is>
          <t>A 188-2022</t>
        </is>
      </c>
      <c r="B136" s="1" t="n">
        <v>44564</v>
      </c>
      <c r="C136" s="1" t="n">
        <v>45657</v>
      </c>
      <c r="D136" t="inlineStr">
        <is>
          <t>STOCKHOLMS LÄN</t>
        </is>
      </c>
      <c r="E136" t="inlineStr">
        <is>
          <t>NORRTÄLJE</t>
        </is>
      </c>
      <c r="G136" t="n">
        <v>4.1</v>
      </c>
      <c r="H136" t="n">
        <v>0</v>
      </c>
      <c r="I136" t="n">
        <v>1</v>
      </c>
      <c r="J136" t="n">
        <v>0</v>
      </c>
      <c r="K136" t="n">
        <v>0</v>
      </c>
      <c r="L136" t="n">
        <v>0</v>
      </c>
      <c r="M136" t="n">
        <v>0</v>
      </c>
      <c r="N136" t="n">
        <v>0</v>
      </c>
      <c r="O136" t="n">
        <v>0</v>
      </c>
      <c r="P136" t="n">
        <v>0</v>
      </c>
      <c r="Q136" t="n">
        <v>1</v>
      </c>
      <c r="R136" s="2" t="inlineStr">
        <is>
          <t>Svart trolldruva</t>
        </is>
      </c>
      <c r="S136">
        <f>HYPERLINK("https://klasma.github.io/Logging_0188/artfynd/A 188-2022 artfynd.xlsx", "A 188-2022")</f>
        <v/>
      </c>
      <c r="T136">
        <f>HYPERLINK("https://klasma.github.io/Logging_0188/kartor/A 188-2022 karta.png", "A 188-2022")</f>
        <v/>
      </c>
      <c r="V136">
        <f>HYPERLINK("https://klasma.github.io/Logging_0188/klagomål/A 188-2022 FSC-klagomål.docx", "A 188-2022")</f>
        <v/>
      </c>
      <c r="W136">
        <f>HYPERLINK("https://klasma.github.io/Logging_0188/klagomålsmail/A 188-2022 FSC-klagomål mail.docx", "A 188-2022")</f>
        <v/>
      </c>
      <c r="X136">
        <f>HYPERLINK("https://klasma.github.io/Logging_0188/tillsyn/A 188-2022 tillsynsbegäran.docx", "A 188-2022")</f>
        <v/>
      </c>
      <c r="Y136">
        <f>HYPERLINK("https://klasma.github.io/Logging_0188/tillsynsmail/A 188-2022 tillsynsbegäran mail.docx", "A 188-2022")</f>
        <v/>
      </c>
    </row>
    <row r="137" ht="15" customHeight="1">
      <c r="A137" t="inlineStr">
        <is>
          <t>A 1547-2022</t>
        </is>
      </c>
      <c r="B137" s="1" t="n">
        <v>44573</v>
      </c>
      <c r="C137" s="1" t="n">
        <v>45657</v>
      </c>
      <c r="D137" t="inlineStr">
        <is>
          <t>STOCKHOLMS LÄN</t>
        </is>
      </c>
      <c r="E137" t="inlineStr">
        <is>
          <t>NORRTÄLJE</t>
        </is>
      </c>
      <c r="G137" t="n">
        <v>1.8</v>
      </c>
      <c r="H137" t="n">
        <v>1</v>
      </c>
      <c r="I137" t="n">
        <v>0</v>
      </c>
      <c r="J137" t="n">
        <v>0</v>
      </c>
      <c r="K137" t="n">
        <v>1</v>
      </c>
      <c r="L137" t="n">
        <v>0</v>
      </c>
      <c r="M137" t="n">
        <v>0</v>
      </c>
      <c r="N137" t="n">
        <v>0</v>
      </c>
      <c r="O137" t="n">
        <v>1</v>
      </c>
      <c r="P137" t="n">
        <v>1</v>
      </c>
      <c r="Q137" t="n">
        <v>1</v>
      </c>
      <c r="R137" s="2" t="inlineStr">
        <is>
          <t>Hällebräcka</t>
        </is>
      </c>
      <c r="S137">
        <f>HYPERLINK("https://klasma.github.io/Logging_0188/artfynd/A 1547-2022 artfynd.xlsx", "A 1547-2022")</f>
        <v/>
      </c>
      <c r="T137">
        <f>HYPERLINK("https://klasma.github.io/Logging_0188/kartor/A 1547-2022 karta.png", "A 1547-2022")</f>
        <v/>
      </c>
      <c r="V137">
        <f>HYPERLINK("https://klasma.github.io/Logging_0188/klagomål/A 1547-2022 FSC-klagomål.docx", "A 1547-2022")</f>
        <v/>
      </c>
      <c r="W137">
        <f>HYPERLINK("https://klasma.github.io/Logging_0188/klagomålsmail/A 1547-2022 FSC-klagomål mail.docx", "A 1547-2022")</f>
        <v/>
      </c>
      <c r="X137">
        <f>HYPERLINK("https://klasma.github.io/Logging_0188/tillsyn/A 1547-2022 tillsynsbegäran.docx", "A 1547-2022")</f>
        <v/>
      </c>
      <c r="Y137">
        <f>HYPERLINK("https://klasma.github.io/Logging_0188/tillsynsmail/A 1547-2022 tillsynsbegäran mail.docx", "A 1547-2022")</f>
        <v/>
      </c>
    </row>
    <row r="138" ht="15" customHeight="1">
      <c r="A138" t="inlineStr">
        <is>
          <t>A 7172-2022</t>
        </is>
      </c>
      <c r="B138" s="1" t="n">
        <v>44604</v>
      </c>
      <c r="C138" s="1" t="n">
        <v>45657</v>
      </c>
      <c r="D138" t="inlineStr">
        <is>
          <t>STOCKHOLMS LÄN</t>
        </is>
      </c>
      <c r="E138" t="inlineStr">
        <is>
          <t>NORRTÄLJE</t>
        </is>
      </c>
      <c r="G138" t="n">
        <v>4.8</v>
      </c>
      <c r="H138" t="n">
        <v>0</v>
      </c>
      <c r="I138" t="n">
        <v>1</v>
      </c>
      <c r="J138" t="n">
        <v>0</v>
      </c>
      <c r="K138" t="n">
        <v>0</v>
      </c>
      <c r="L138" t="n">
        <v>0</v>
      </c>
      <c r="M138" t="n">
        <v>0</v>
      </c>
      <c r="N138" t="n">
        <v>0</v>
      </c>
      <c r="O138" t="n">
        <v>0</v>
      </c>
      <c r="P138" t="n">
        <v>0</v>
      </c>
      <c r="Q138" t="n">
        <v>1</v>
      </c>
      <c r="R138" s="2" t="inlineStr">
        <is>
          <t>Trådticka</t>
        </is>
      </c>
      <c r="S138">
        <f>HYPERLINK("https://klasma.github.io/Logging_0188/artfynd/A 7172-2022 artfynd.xlsx", "A 7172-2022")</f>
        <v/>
      </c>
      <c r="T138">
        <f>HYPERLINK("https://klasma.github.io/Logging_0188/kartor/A 7172-2022 karta.png", "A 7172-2022")</f>
        <v/>
      </c>
      <c r="U138">
        <f>HYPERLINK("https://klasma.github.io/Logging_0188/knärot/A 7172-2022 karta knärot.png", "A 7172-2022")</f>
        <v/>
      </c>
      <c r="V138">
        <f>HYPERLINK("https://klasma.github.io/Logging_0188/klagomål/A 7172-2022 FSC-klagomål.docx", "A 7172-2022")</f>
        <v/>
      </c>
      <c r="W138">
        <f>HYPERLINK("https://klasma.github.io/Logging_0188/klagomålsmail/A 7172-2022 FSC-klagomål mail.docx", "A 7172-2022")</f>
        <v/>
      </c>
      <c r="X138">
        <f>HYPERLINK("https://klasma.github.io/Logging_0188/tillsyn/A 7172-2022 tillsynsbegäran.docx", "A 7172-2022")</f>
        <v/>
      </c>
      <c r="Y138">
        <f>HYPERLINK("https://klasma.github.io/Logging_0188/tillsynsmail/A 7172-2022 tillsynsbegäran mail.docx", "A 7172-2022")</f>
        <v/>
      </c>
    </row>
    <row r="139" ht="15" customHeight="1">
      <c r="A139" t="inlineStr">
        <is>
          <t>A 9955-2022</t>
        </is>
      </c>
      <c r="B139" s="1" t="n">
        <v>44620</v>
      </c>
      <c r="C139" s="1" t="n">
        <v>45657</v>
      </c>
      <c r="D139" t="inlineStr">
        <is>
          <t>STOCKHOLMS LÄN</t>
        </is>
      </c>
      <c r="E139" t="inlineStr">
        <is>
          <t>NORRTÄLJE</t>
        </is>
      </c>
      <c r="G139" t="n">
        <v>7.8</v>
      </c>
      <c r="H139" t="n">
        <v>1</v>
      </c>
      <c r="I139" t="n">
        <v>0</v>
      </c>
      <c r="J139" t="n">
        <v>0</v>
      </c>
      <c r="K139" t="n">
        <v>0</v>
      </c>
      <c r="L139" t="n">
        <v>0</v>
      </c>
      <c r="M139" t="n">
        <v>0</v>
      </c>
      <c r="N139" t="n">
        <v>0</v>
      </c>
      <c r="O139" t="n">
        <v>0</v>
      </c>
      <c r="P139" t="n">
        <v>0</v>
      </c>
      <c r="Q139" t="n">
        <v>1</v>
      </c>
      <c r="R139" s="2" t="inlineStr">
        <is>
          <t>Åkergroda</t>
        </is>
      </c>
      <c r="S139">
        <f>HYPERLINK("https://klasma.github.io/Logging_0188/artfynd/A 9955-2022 artfynd.xlsx", "A 9955-2022")</f>
        <v/>
      </c>
      <c r="T139">
        <f>HYPERLINK("https://klasma.github.io/Logging_0188/kartor/A 9955-2022 karta.png", "A 9955-2022")</f>
        <v/>
      </c>
      <c r="V139">
        <f>HYPERLINK("https://klasma.github.io/Logging_0188/klagomål/A 9955-2022 FSC-klagomål.docx", "A 9955-2022")</f>
        <v/>
      </c>
      <c r="W139">
        <f>HYPERLINK("https://klasma.github.io/Logging_0188/klagomålsmail/A 9955-2022 FSC-klagomål mail.docx", "A 9955-2022")</f>
        <v/>
      </c>
      <c r="X139">
        <f>HYPERLINK("https://klasma.github.io/Logging_0188/tillsyn/A 9955-2022 tillsynsbegäran.docx", "A 9955-2022")</f>
        <v/>
      </c>
      <c r="Y139">
        <f>HYPERLINK("https://klasma.github.io/Logging_0188/tillsynsmail/A 9955-2022 tillsynsbegäran mail.docx", "A 9955-2022")</f>
        <v/>
      </c>
    </row>
    <row r="140" ht="15" customHeight="1">
      <c r="A140" t="inlineStr">
        <is>
          <t>A 10712-2022</t>
        </is>
      </c>
      <c r="B140" s="1" t="n">
        <v>44626</v>
      </c>
      <c r="C140" s="1" t="n">
        <v>45657</v>
      </c>
      <c r="D140" t="inlineStr">
        <is>
          <t>STOCKHOLMS LÄN</t>
        </is>
      </c>
      <c r="E140" t="inlineStr">
        <is>
          <t>NORRTÄLJE</t>
        </is>
      </c>
      <c r="G140" t="n">
        <v>4.5</v>
      </c>
      <c r="H140" t="n">
        <v>1</v>
      </c>
      <c r="I140" t="n">
        <v>0</v>
      </c>
      <c r="J140" t="n">
        <v>0</v>
      </c>
      <c r="K140" t="n">
        <v>0</v>
      </c>
      <c r="L140" t="n">
        <v>0</v>
      </c>
      <c r="M140" t="n">
        <v>0</v>
      </c>
      <c r="N140" t="n">
        <v>0</v>
      </c>
      <c r="O140" t="n">
        <v>0</v>
      </c>
      <c r="P140" t="n">
        <v>0</v>
      </c>
      <c r="Q140" t="n">
        <v>1</v>
      </c>
      <c r="R140" s="2" t="inlineStr">
        <is>
          <t>Åkergroda</t>
        </is>
      </c>
      <c r="S140">
        <f>HYPERLINK("https://klasma.github.io/Logging_0188/artfynd/A 10712-2022 artfynd.xlsx", "A 10712-2022")</f>
        <v/>
      </c>
      <c r="T140">
        <f>HYPERLINK("https://klasma.github.io/Logging_0188/kartor/A 10712-2022 karta.png", "A 10712-2022")</f>
        <v/>
      </c>
      <c r="V140">
        <f>HYPERLINK("https://klasma.github.io/Logging_0188/klagomål/A 10712-2022 FSC-klagomål.docx", "A 10712-2022")</f>
        <v/>
      </c>
      <c r="W140">
        <f>HYPERLINK("https://klasma.github.io/Logging_0188/klagomålsmail/A 10712-2022 FSC-klagomål mail.docx", "A 10712-2022")</f>
        <v/>
      </c>
      <c r="X140">
        <f>HYPERLINK("https://klasma.github.io/Logging_0188/tillsyn/A 10712-2022 tillsynsbegäran.docx", "A 10712-2022")</f>
        <v/>
      </c>
      <c r="Y140">
        <f>HYPERLINK("https://klasma.github.io/Logging_0188/tillsynsmail/A 10712-2022 tillsynsbegäran mail.docx", "A 10712-2022")</f>
        <v/>
      </c>
    </row>
    <row r="141" ht="15" customHeight="1">
      <c r="A141" t="inlineStr">
        <is>
          <t>A 14720-2022</t>
        </is>
      </c>
      <c r="B141" s="1" t="n">
        <v>44656</v>
      </c>
      <c r="C141" s="1" t="n">
        <v>45657</v>
      </c>
      <c r="D141" t="inlineStr">
        <is>
          <t>STOCKHOLMS LÄN</t>
        </is>
      </c>
      <c r="E141" t="inlineStr">
        <is>
          <t>NORRTÄLJE</t>
        </is>
      </c>
      <c r="F141" t="inlineStr">
        <is>
          <t>Sveaskog</t>
        </is>
      </c>
      <c r="G141" t="n">
        <v>5.1</v>
      </c>
      <c r="H141" t="n">
        <v>0</v>
      </c>
      <c r="I141" t="n">
        <v>0</v>
      </c>
      <c r="J141" t="n">
        <v>1</v>
      </c>
      <c r="K141" t="n">
        <v>0</v>
      </c>
      <c r="L141" t="n">
        <v>0</v>
      </c>
      <c r="M141" t="n">
        <v>0</v>
      </c>
      <c r="N141" t="n">
        <v>0</v>
      </c>
      <c r="O141" t="n">
        <v>1</v>
      </c>
      <c r="P141" t="n">
        <v>0</v>
      </c>
      <c r="Q141" t="n">
        <v>1</v>
      </c>
      <c r="R141" s="2" t="inlineStr">
        <is>
          <t>Loppstarr</t>
        </is>
      </c>
      <c r="S141">
        <f>HYPERLINK("https://klasma.github.io/Logging_0188/artfynd/A 14720-2022 artfynd.xlsx", "A 14720-2022")</f>
        <v/>
      </c>
      <c r="T141">
        <f>HYPERLINK("https://klasma.github.io/Logging_0188/kartor/A 14720-2022 karta.png", "A 14720-2022")</f>
        <v/>
      </c>
      <c r="V141">
        <f>HYPERLINK("https://klasma.github.io/Logging_0188/klagomål/A 14720-2022 FSC-klagomål.docx", "A 14720-2022")</f>
        <v/>
      </c>
      <c r="W141">
        <f>HYPERLINK("https://klasma.github.io/Logging_0188/klagomålsmail/A 14720-2022 FSC-klagomål mail.docx", "A 14720-2022")</f>
        <v/>
      </c>
      <c r="X141">
        <f>HYPERLINK("https://klasma.github.io/Logging_0188/tillsyn/A 14720-2022 tillsynsbegäran.docx", "A 14720-2022")</f>
        <v/>
      </c>
      <c r="Y141">
        <f>HYPERLINK("https://klasma.github.io/Logging_0188/tillsynsmail/A 14720-2022 tillsynsbegäran mail.docx", "A 14720-2022")</f>
        <v/>
      </c>
    </row>
    <row r="142" ht="15" customHeight="1">
      <c r="A142" t="inlineStr">
        <is>
          <t>A 16539-2022</t>
        </is>
      </c>
      <c r="B142" s="1" t="n">
        <v>44672</v>
      </c>
      <c r="C142" s="1" t="n">
        <v>45657</v>
      </c>
      <c r="D142" t="inlineStr">
        <is>
          <t>STOCKHOLMS LÄN</t>
        </is>
      </c>
      <c r="E142" t="inlineStr">
        <is>
          <t>NORRTÄLJE</t>
        </is>
      </c>
      <c r="G142" t="n">
        <v>8.6</v>
      </c>
      <c r="H142" t="n">
        <v>1</v>
      </c>
      <c r="I142" t="n">
        <v>1</v>
      </c>
      <c r="J142" t="n">
        <v>0</v>
      </c>
      <c r="K142" t="n">
        <v>0</v>
      </c>
      <c r="L142" t="n">
        <v>0</v>
      </c>
      <c r="M142" t="n">
        <v>0</v>
      </c>
      <c r="N142" t="n">
        <v>0</v>
      </c>
      <c r="O142" t="n">
        <v>0</v>
      </c>
      <c r="P142" t="n">
        <v>0</v>
      </c>
      <c r="Q142" t="n">
        <v>1</v>
      </c>
      <c r="R142" s="2" t="inlineStr">
        <is>
          <t>Nästrot</t>
        </is>
      </c>
      <c r="S142">
        <f>HYPERLINK("https://klasma.github.io/Logging_0188/artfynd/A 16539-2022 artfynd.xlsx", "A 16539-2022")</f>
        <v/>
      </c>
      <c r="T142">
        <f>HYPERLINK("https://klasma.github.io/Logging_0188/kartor/A 16539-2022 karta.png", "A 16539-2022")</f>
        <v/>
      </c>
      <c r="V142">
        <f>HYPERLINK("https://klasma.github.io/Logging_0188/klagomål/A 16539-2022 FSC-klagomål.docx", "A 16539-2022")</f>
        <v/>
      </c>
      <c r="W142">
        <f>HYPERLINK("https://klasma.github.io/Logging_0188/klagomålsmail/A 16539-2022 FSC-klagomål mail.docx", "A 16539-2022")</f>
        <v/>
      </c>
      <c r="X142">
        <f>HYPERLINK("https://klasma.github.io/Logging_0188/tillsyn/A 16539-2022 tillsynsbegäran.docx", "A 16539-2022")</f>
        <v/>
      </c>
      <c r="Y142">
        <f>HYPERLINK("https://klasma.github.io/Logging_0188/tillsynsmail/A 16539-2022 tillsynsbegäran mail.docx", "A 16539-2022")</f>
        <v/>
      </c>
    </row>
    <row r="143" ht="15" customHeight="1">
      <c r="A143" t="inlineStr">
        <is>
          <t>A 19829-2022</t>
        </is>
      </c>
      <c r="B143" s="1" t="n">
        <v>44695</v>
      </c>
      <c r="C143" s="1" t="n">
        <v>45657</v>
      </c>
      <c r="D143" t="inlineStr">
        <is>
          <t>STOCKHOLMS LÄN</t>
        </is>
      </c>
      <c r="E143" t="inlineStr">
        <is>
          <t>NORRTÄLJE</t>
        </is>
      </c>
      <c r="G143" t="n">
        <v>2</v>
      </c>
      <c r="H143" t="n">
        <v>1</v>
      </c>
      <c r="I143" t="n">
        <v>1</v>
      </c>
      <c r="J143" t="n">
        <v>0</v>
      </c>
      <c r="K143" t="n">
        <v>0</v>
      </c>
      <c r="L143" t="n">
        <v>0</v>
      </c>
      <c r="M143" t="n">
        <v>0</v>
      </c>
      <c r="N143" t="n">
        <v>0</v>
      </c>
      <c r="O143" t="n">
        <v>0</v>
      </c>
      <c r="P143" t="n">
        <v>0</v>
      </c>
      <c r="Q143" t="n">
        <v>1</v>
      </c>
      <c r="R143" s="2" t="inlineStr">
        <is>
          <t>Guckusko</t>
        </is>
      </c>
      <c r="S143">
        <f>HYPERLINK("https://klasma.github.io/Logging_0188/artfynd/A 19829-2022 artfynd.xlsx", "A 19829-2022")</f>
        <v/>
      </c>
      <c r="T143">
        <f>HYPERLINK("https://klasma.github.io/Logging_0188/kartor/A 19829-2022 karta.png", "A 19829-2022")</f>
        <v/>
      </c>
      <c r="V143">
        <f>HYPERLINK("https://klasma.github.io/Logging_0188/klagomål/A 19829-2022 FSC-klagomål.docx", "A 19829-2022")</f>
        <v/>
      </c>
      <c r="W143">
        <f>HYPERLINK("https://klasma.github.io/Logging_0188/klagomålsmail/A 19829-2022 FSC-klagomål mail.docx", "A 19829-2022")</f>
        <v/>
      </c>
      <c r="X143">
        <f>HYPERLINK("https://klasma.github.io/Logging_0188/tillsyn/A 19829-2022 tillsynsbegäran.docx", "A 19829-2022")</f>
        <v/>
      </c>
      <c r="Y143">
        <f>HYPERLINK("https://klasma.github.io/Logging_0188/tillsynsmail/A 19829-2022 tillsynsbegäran mail.docx", "A 19829-2022")</f>
        <v/>
      </c>
    </row>
    <row r="144" ht="15" customHeight="1">
      <c r="A144" t="inlineStr">
        <is>
          <t>A 21150-2022</t>
        </is>
      </c>
      <c r="B144" s="1" t="n">
        <v>44704</v>
      </c>
      <c r="C144" s="1" t="n">
        <v>45657</v>
      </c>
      <c r="D144" t="inlineStr">
        <is>
          <t>STOCKHOLMS LÄN</t>
        </is>
      </c>
      <c r="E144" t="inlineStr">
        <is>
          <t>NORRTÄLJE</t>
        </is>
      </c>
      <c r="G144" t="n">
        <v>12.5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21150-2022 artfynd.xlsx", "A 21150-2022")</f>
        <v/>
      </c>
      <c r="T144">
        <f>HYPERLINK("https://klasma.github.io/Logging_0188/kartor/A 21150-2022 karta.png", "A 21150-2022")</f>
        <v/>
      </c>
      <c r="V144">
        <f>HYPERLINK("https://klasma.github.io/Logging_0188/klagomål/A 21150-2022 FSC-klagomål.docx", "A 21150-2022")</f>
        <v/>
      </c>
      <c r="W144">
        <f>HYPERLINK("https://klasma.github.io/Logging_0188/klagomålsmail/A 21150-2022 FSC-klagomål mail.docx", "A 21150-2022")</f>
        <v/>
      </c>
      <c r="X144">
        <f>HYPERLINK("https://klasma.github.io/Logging_0188/tillsyn/A 21150-2022 tillsynsbegäran.docx", "A 21150-2022")</f>
        <v/>
      </c>
      <c r="Y144">
        <f>HYPERLINK("https://klasma.github.io/Logging_0188/tillsynsmail/A 21150-2022 tillsynsbegäran mail.docx", "A 21150-2022")</f>
        <v/>
      </c>
    </row>
    <row r="145" ht="15" customHeight="1">
      <c r="A145" t="inlineStr">
        <is>
          <t>A 31194-2022</t>
        </is>
      </c>
      <c r="B145" s="1" t="n">
        <v>44770</v>
      </c>
      <c r="C145" s="1" t="n">
        <v>45657</v>
      </c>
      <c r="D145" t="inlineStr">
        <is>
          <t>STOCKHOLMS LÄN</t>
        </is>
      </c>
      <c r="E145" t="inlineStr">
        <is>
          <t>NORRTÄLJE</t>
        </is>
      </c>
      <c r="G145" t="n">
        <v>2.7</v>
      </c>
      <c r="H145" t="n">
        <v>1</v>
      </c>
      <c r="I145" t="n">
        <v>0</v>
      </c>
      <c r="J145" t="n">
        <v>0</v>
      </c>
      <c r="K145" t="n">
        <v>0</v>
      </c>
      <c r="L145" t="n">
        <v>1</v>
      </c>
      <c r="M145" t="n">
        <v>0</v>
      </c>
      <c r="N145" t="n">
        <v>0</v>
      </c>
      <c r="O145" t="n">
        <v>1</v>
      </c>
      <c r="P145" t="n">
        <v>1</v>
      </c>
      <c r="Q145" t="n">
        <v>1</v>
      </c>
      <c r="R145" s="2" t="inlineStr">
        <is>
          <t>Asknätfjäril</t>
        </is>
      </c>
      <c r="S145">
        <f>HYPERLINK("https://klasma.github.io/Logging_0188/artfynd/A 31194-2022 artfynd.xlsx", "A 31194-2022")</f>
        <v/>
      </c>
      <c r="T145">
        <f>HYPERLINK("https://klasma.github.io/Logging_0188/kartor/A 31194-2022 karta.png", "A 31194-2022")</f>
        <v/>
      </c>
      <c r="V145">
        <f>HYPERLINK("https://klasma.github.io/Logging_0188/klagomål/A 31194-2022 FSC-klagomål.docx", "A 31194-2022")</f>
        <v/>
      </c>
      <c r="W145">
        <f>HYPERLINK("https://klasma.github.io/Logging_0188/klagomålsmail/A 31194-2022 FSC-klagomål mail.docx", "A 31194-2022")</f>
        <v/>
      </c>
      <c r="X145">
        <f>HYPERLINK("https://klasma.github.io/Logging_0188/tillsyn/A 31194-2022 tillsynsbegäran.docx", "A 31194-2022")</f>
        <v/>
      </c>
      <c r="Y145">
        <f>HYPERLINK("https://klasma.github.io/Logging_0188/tillsynsmail/A 31194-2022 tillsynsbegäran mail.docx", "A 31194-2022")</f>
        <v/>
      </c>
    </row>
    <row r="146" ht="15" customHeight="1">
      <c r="A146" t="inlineStr">
        <is>
          <t>A 33477-2022</t>
        </is>
      </c>
      <c r="B146" s="1" t="n">
        <v>44788</v>
      </c>
      <c r="C146" s="1" t="n">
        <v>45657</v>
      </c>
      <c r="D146" t="inlineStr">
        <is>
          <t>STOCKHOLMS LÄN</t>
        </is>
      </c>
      <c r="E146" t="inlineStr">
        <is>
          <t>NORRTÄLJE</t>
        </is>
      </c>
      <c r="G146" t="n">
        <v>5.7</v>
      </c>
      <c r="H146" t="n">
        <v>1</v>
      </c>
      <c r="I146" t="n">
        <v>1</v>
      </c>
      <c r="J146" t="n">
        <v>0</v>
      </c>
      <c r="K146" t="n">
        <v>0</v>
      </c>
      <c r="L146" t="n">
        <v>0</v>
      </c>
      <c r="M146" t="n">
        <v>0</v>
      </c>
      <c r="N146" t="n">
        <v>0</v>
      </c>
      <c r="O146" t="n">
        <v>0</v>
      </c>
      <c r="P146" t="n">
        <v>0</v>
      </c>
      <c r="Q146" t="n">
        <v>1</v>
      </c>
      <c r="R146" s="2" t="inlineStr">
        <is>
          <t>Nästrot</t>
        </is>
      </c>
      <c r="S146">
        <f>HYPERLINK("https://klasma.github.io/Logging_0188/artfynd/A 33477-2022 artfynd.xlsx", "A 33477-2022")</f>
        <v/>
      </c>
      <c r="T146">
        <f>HYPERLINK("https://klasma.github.io/Logging_0188/kartor/A 33477-2022 karta.png", "A 33477-2022")</f>
        <v/>
      </c>
      <c r="V146">
        <f>HYPERLINK("https://klasma.github.io/Logging_0188/klagomål/A 33477-2022 FSC-klagomål.docx", "A 33477-2022")</f>
        <v/>
      </c>
      <c r="W146">
        <f>HYPERLINK("https://klasma.github.io/Logging_0188/klagomålsmail/A 33477-2022 FSC-klagomål mail.docx", "A 33477-2022")</f>
        <v/>
      </c>
      <c r="X146">
        <f>HYPERLINK("https://klasma.github.io/Logging_0188/tillsyn/A 33477-2022 tillsynsbegäran.docx", "A 33477-2022")</f>
        <v/>
      </c>
      <c r="Y146">
        <f>HYPERLINK("https://klasma.github.io/Logging_0188/tillsynsmail/A 33477-2022 tillsynsbegäran mail.docx", "A 33477-2022")</f>
        <v/>
      </c>
    </row>
    <row r="147" ht="15" customHeight="1">
      <c r="A147" t="inlineStr">
        <is>
          <t>A 37522-2022</t>
        </is>
      </c>
      <c r="B147" s="1" t="n">
        <v>44809</v>
      </c>
      <c r="C147" s="1" t="n">
        <v>45657</v>
      </c>
      <c r="D147" t="inlineStr">
        <is>
          <t>STOCKHOLMS LÄN</t>
        </is>
      </c>
      <c r="E147" t="inlineStr">
        <is>
          <t>NORRTÄLJE</t>
        </is>
      </c>
      <c r="G147" t="n">
        <v>2.4</v>
      </c>
      <c r="H147" t="n">
        <v>1</v>
      </c>
      <c r="I147" t="n">
        <v>0</v>
      </c>
      <c r="J147" t="n">
        <v>0</v>
      </c>
      <c r="K147" t="n">
        <v>0</v>
      </c>
      <c r="L147" t="n">
        <v>0</v>
      </c>
      <c r="M147" t="n">
        <v>0</v>
      </c>
      <c r="N147" t="n">
        <v>0</v>
      </c>
      <c r="O147" t="n">
        <v>0</v>
      </c>
      <c r="P147" t="n">
        <v>0</v>
      </c>
      <c r="Q147" t="n">
        <v>1</v>
      </c>
      <c r="R147" s="2" t="inlineStr">
        <is>
          <t>Blåsippa</t>
        </is>
      </c>
      <c r="S147">
        <f>HYPERLINK("https://klasma.github.io/Logging_0188/artfynd/A 37522-2022 artfynd.xlsx", "A 37522-2022")</f>
        <v/>
      </c>
      <c r="T147">
        <f>HYPERLINK("https://klasma.github.io/Logging_0188/kartor/A 37522-2022 karta.png", "A 37522-2022")</f>
        <v/>
      </c>
      <c r="V147">
        <f>HYPERLINK("https://klasma.github.io/Logging_0188/klagomål/A 37522-2022 FSC-klagomål.docx", "A 37522-2022")</f>
        <v/>
      </c>
      <c r="W147">
        <f>HYPERLINK("https://klasma.github.io/Logging_0188/klagomålsmail/A 37522-2022 FSC-klagomål mail.docx", "A 37522-2022")</f>
        <v/>
      </c>
      <c r="X147">
        <f>HYPERLINK("https://klasma.github.io/Logging_0188/tillsyn/A 37522-2022 tillsynsbegäran.docx", "A 37522-2022")</f>
        <v/>
      </c>
      <c r="Y147">
        <f>HYPERLINK("https://klasma.github.io/Logging_0188/tillsynsmail/A 37522-2022 tillsynsbegäran mail.docx", "A 37522-2022")</f>
        <v/>
      </c>
    </row>
    <row r="148" ht="15" customHeight="1">
      <c r="A148" t="inlineStr">
        <is>
          <t>A 39318-2022</t>
        </is>
      </c>
      <c r="B148" s="1" t="n">
        <v>44817</v>
      </c>
      <c r="C148" s="1" t="n">
        <v>45657</v>
      </c>
      <c r="D148" t="inlineStr">
        <is>
          <t>STOCKHOLMS LÄN</t>
        </is>
      </c>
      <c r="E148" t="inlineStr">
        <is>
          <t>NORRTÄLJE</t>
        </is>
      </c>
      <c r="G148" t="n">
        <v>2.4</v>
      </c>
      <c r="H148" t="n">
        <v>1</v>
      </c>
      <c r="I148" t="n">
        <v>0</v>
      </c>
      <c r="J148" t="n">
        <v>0</v>
      </c>
      <c r="K148" t="n">
        <v>1</v>
      </c>
      <c r="L148" t="n">
        <v>0</v>
      </c>
      <c r="M148" t="n">
        <v>0</v>
      </c>
      <c r="N148" t="n">
        <v>0</v>
      </c>
      <c r="O148" t="n">
        <v>1</v>
      </c>
      <c r="P148" t="n">
        <v>1</v>
      </c>
      <c r="Q148" t="n">
        <v>1</v>
      </c>
      <c r="R148" s="2" t="inlineStr">
        <is>
          <t>Stare</t>
        </is>
      </c>
      <c r="S148">
        <f>HYPERLINK("https://klasma.github.io/Logging_0188/artfynd/A 39318-2022 artfynd.xlsx", "A 39318-2022")</f>
        <v/>
      </c>
      <c r="T148">
        <f>HYPERLINK("https://klasma.github.io/Logging_0188/kartor/A 39318-2022 karta.png", "A 39318-2022")</f>
        <v/>
      </c>
      <c r="V148">
        <f>HYPERLINK("https://klasma.github.io/Logging_0188/klagomål/A 39318-2022 FSC-klagomål.docx", "A 39318-2022")</f>
        <v/>
      </c>
      <c r="W148">
        <f>HYPERLINK("https://klasma.github.io/Logging_0188/klagomålsmail/A 39318-2022 FSC-klagomål mail.docx", "A 39318-2022")</f>
        <v/>
      </c>
      <c r="X148">
        <f>HYPERLINK("https://klasma.github.io/Logging_0188/tillsyn/A 39318-2022 tillsynsbegäran.docx", "A 39318-2022")</f>
        <v/>
      </c>
      <c r="Y148">
        <f>HYPERLINK("https://klasma.github.io/Logging_0188/tillsynsmail/A 39318-2022 tillsynsbegäran mail.docx", "A 39318-2022")</f>
        <v/>
      </c>
    </row>
    <row r="149" ht="15" customHeight="1">
      <c r="A149" t="inlineStr">
        <is>
          <t>A 40672-2022</t>
        </is>
      </c>
      <c r="B149" s="1" t="n">
        <v>44824</v>
      </c>
      <c r="C149" s="1" t="n">
        <v>45657</v>
      </c>
      <c r="D149" t="inlineStr">
        <is>
          <t>STOCKHOLMS LÄN</t>
        </is>
      </c>
      <c r="E149" t="inlineStr">
        <is>
          <t>NORRTÄLJE</t>
        </is>
      </c>
      <c r="F149" t="inlineStr">
        <is>
          <t>Övriga Aktiebolag</t>
        </is>
      </c>
      <c r="G149" t="n">
        <v>1.3</v>
      </c>
      <c r="H149" t="n">
        <v>0</v>
      </c>
      <c r="I149" t="n">
        <v>0</v>
      </c>
      <c r="J149" t="n">
        <v>1</v>
      </c>
      <c r="K149" t="n">
        <v>0</v>
      </c>
      <c r="L149" t="n">
        <v>0</v>
      </c>
      <c r="M149" t="n">
        <v>0</v>
      </c>
      <c r="N149" t="n">
        <v>0</v>
      </c>
      <c r="O149" t="n">
        <v>1</v>
      </c>
      <c r="P149" t="n">
        <v>0</v>
      </c>
      <c r="Q149" t="n">
        <v>1</v>
      </c>
      <c r="R149" s="2" t="inlineStr">
        <is>
          <t>Månlåsbräken</t>
        </is>
      </c>
      <c r="S149">
        <f>HYPERLINK("https://klasma.github.io/Logging_0188/artfynd/A 40672-2022 artfynd.xlsx", "A 40672-2022")</f>
        <v/>
      </c>
      <c r="T149">
        <f>HYPERLINK("https://klasma.github.io/Logging_0188/kartor/A 40672-2022 karta.png", "A 40672-2022")</f>
        <v/>
      </c>
      <c r="V149">
        <f>HYPERLINK("https://klasma.github.io/Logging_0188/klagomål/A 40672-2022 FSC-klagomål.docx", "A 40672-2022")</f>
        <v/>
      </c>
      <c r="W149">
        <f>HYPERLINK("https://klasma.github.io/Logging_0188/klagomålsmail/A 40672-2022 FSC-klagomål mail.docx", "A 40672-2022")</f>
        <v/>
      </c>
      <c r="X149">
        <f>HYPERLINK("https://klasma.github.io/Logging_0188/tillsyn/A 40672-2022 tillsynsbegäran.docx", "A 40672-2022")</f>
        <v/>
      </c>
      <c r="Y149">
        <f>HYPERLINK("https://klasma.github.io/Logging_0188/tillsynsmail/A 40672-2022 tillsynsbegäran mail.docx", "A 40672-2022")</f>
        <v/>
      </c>
    </row>
    <row r="150" ht="15" customHeight="1">
      <c r="A150" t="inlineStr">
        <is>
          <t>A 44709-2022</t>
        </is>
      </c>
      <c r="B150" s="1" t="n">
        <v>44839</v>
      </c>
      <c r="C150" s="1" t="n">
        <v>45657</v>
      </c>
      <c r="D150" t="inlineStr">
        <is>
          <t>STOCKHOLMS LÄN</t>
        </is>
      </c>
      <c r="E150" t="inlineStr">
        <is>
          <t>NORRTÄLJE</t>
        </is>
      </c>
      <c r="G150" t="n">
        <v>16.3</v>
      </c>
      <c r="H150" t="n">
        <v>0</v>
      </c>
      <c r="I150" t="n">
        <v>0</v>
      </c>
      <c r="J150" t="n">
        <v>1</v>
      </c>
      <c r="K150" t="n">
        <v>0</v>
      </c>
      <c r="L150" t="n">
        <v>0</v>
      </c>
      <c r="M150" t="n">
        <v>0</v>
      </c>
      <c r="N150" t="n">
        <v>0</v>
      </c>
      <c r="O150" t="n">
        <v>1</v>
      </c>
      <c r="P150" t="n">
        <v>0</v>
      </c>
      <c r="Q150" t="n">
        <v>1</v>
      </c>
      <c r="R150" s="2" t="inlineStr">
        <is>
          <t>Asppraktbagge</t>
        </is>
      </c>
      <c r="S150">
        <f>HYPERLINK("https://klasma.github.io/Logging_0188/artfynd/A 44709-2022 artfynd.xlsx", "A 44709-2022")</f>
        <v/>
      </c>
      <c r="T150">
        <f>HYPERLINK("https://klasma.github.io/Logging_0188/kartor/A 44709-2022 karta.png", "A 44709-2022")</f>
        <v/>
      </c>
      <c r="V150">
        <f>HYPERLINK("https://klasma.github.io/Logging_0188/klagomål/A 44709-2022 FSC-klagomål.docx", "A 44709-2022")</f>
        <v/>
      </c>
      <c r="W150">
        <f>HYPERLINK("https://klasma.github.io/Logging_0188/klagomålsmail/A 44709-2022 FSC-klagomål mail.docx", "A 44709-2022")</f>
        <v/>
      </c>
      <c r="X150">
        <f>HYPERLINK("https://klasma.github.io/Logging_0188/tillsyn/A 44709-2022 tillsynsbegäran.docx", "A 44709-2022")</f>
        <v/>
      </c>
      <c r="Y150">
        <f>HYPERLINK("https://klasma.github.io/Logging_0188/tillsynsmail/A 44709-2022 tillsynsbegäran mail.docx", "A 44709-2022")</f>
        <v/>
      </c>
    </row>
    <row r="151" ht="15" customHeight="1">
      <c r="A151" t="inlineStr">
        <is>
          <t>A 47898-2022</t>
        </is>
      </c>
      <c r="B151" s="1" t="n">
        <v>44855</v>
      </c>
      <c r="C151" s="1" t="n">
        <v>45657</v>
      </c>
      <c r="D151" t="inlineStr">
        <is>
          <t>STOCKHOLMS LÄN</t>
        </is>
      </c>
      <c r="E151" t="inlineStr">
        <is>
          <t>NORRTÄLJE</t>
        </is>
      </c>
      <c r="G151" t="n">
        <v>6.7</v>
      </c>
      <c r="H151" t="n">
        <v>1</v>
      </c>
      <c r="I151" t="n">
        <v>1</v>
      </c>
      <c r="J151" t="n">
        <v>0</v>
      </c>
      <c r="K151" t="n">
        <v>0</v>
      </c>
      <c r="L151" t="n">
        <v>0</v>
      </c>
      <c r="M151" t="n">
        <v>0</v>
      </c>
      <c r="N151" t="n">
        <v>0</v>
      </c>
      <c r="O151" t="n">
        <v>0</v>
      </c>
      <c r="P151" t="n">
        <v>0</v>
      </c>
      <c r="Q151" t="n">
        <v>1</v>
      </c>
      <c r="R151" s="2" t="inlineStr">
        <is>
          <t>Guckusko</t>
        </is>
      </c>
      <c r="S151">
        <f>HYPERLINK("https://klasma.github.io/Logging_0188/artfynd/A 47898-2022 artfynd.xlsx", "A 47898-2022")</f>
        <v/>
      </c>
      <c r="T151">
        <f>HYPERLINK("https://klasma.github.io/Logging_0188/kartor/A 47898-2022 karta.png", "A 47898-2022")</f>
        <v/>
      </c>
      <c r="V151">
        <f>HYPERLINK("https://klasma.github.io/Logging_0188/klagomål/A 47898-2022 FSC-klagomål.docx", "A 47898-2022")</f>
        <v/>
      </c>
      <c r="W151">
        <f>HYPERLINK("https://klasma.github.io/Logging_0188/klagomålsmail/A 47898-2022 FSC-klagomål mail.docx", "A 47898-2022")</f>
        <v/>
      </c>
      <c r="X151">
        <f>HYPERLINK("https://klasma.github.io/Logging_0188/tillsyn/A 47898-2022 tillsynsbegäran.docx", "A 47898-2022")</f>
        <v/>
      </c>
      <c r="Y151">
        <f>HYPERLINK("https://klasma.github.io/Logging_0188/tillsynsmail/A 47898-2022 tillsynsbegäran mail.docx", "A 47898-2022")</f>
        <v/>
      </c>
    </row>
    <row r="152" ht="15" customHeight="1">
      <c r="A152" t="inlineStr">
        <is>
          <t>A 50854-2022</t>
        </is>
      </c>
      <c r="B152" s="1" t="n">
        <v>44863</v>
      </c>
      <c r="C152" s="1" t="n">
        <v>45657</v>
      </c>
      <c r="D152" t="inlineStr">
        <is>
          <t>STOCKHOLMS LÄN</t>
        </is>
      </c>
      <c r="E152" t="inlineStr">
        <is>
          <t>NORRTÄLJE</t>
        </is>
      </c>
      <c r="G152" t="n">
        <v>2.9</v>
      </c>
      <c r="H152" t="n">
        <v>0</v>
      </c>
      <c r="I152" t="n">
        <v>1</v>
      </c>
      <c r="J152" t="n">
        <v>0</v>
      </c>
      <c r="K152" t="n">
        <v>0</v>
      </c>
      <c r="L152" t="n">
        <v>0</v>
      </c>
      <c r="M152" t="n">
        <v>0</v>
      </c>
      <c r="N152" t="n">
        <v>0</v>
      </c>
      <c r="O152" t="n">
        <v>0</v>
      </c>
      <c r="P152" t="n">
        <v>0</v>
      </c>
      <c r="Q152" t="n">
        <v>1</v>
      </c>
      <c r="R152" s="2" t="inlineStr">
        <is>
          <t>Tibast</t>
        </is>
      </c>
      <c r="S152">
        <f>HYPERLINK("https://klasma.github.io/Logging_0188/artfynd/A 50854-2022 artfynd.xlsx", "A 50854-2022")</f>
        <v/>
      </c>
      <c r="T152">
        <f>HYPERLINK("https://klasma.github.io/Logging_0188/kartor/A 50854-2022 karta.png", "A 50854-2022")</f>
        <v/>
      </c>
      <c r="V152">
        <f>HYPERLINK("https://klasma.github.io/Logging_0188/klagomål/A 50854-2022 FSC-klagomål.docx", "A 50854-2022")</f>
        <v/>
      </c>
      <c r="W152">
        <f>HYPERLINK("https://klasma.github.io/Logging_0188/klagomålsmail/A 50854-2022 FSC-klagomål mail.docx", "A 50854-2022")</f>
        <v/>
      </c>
      <c r="X152">
        <f>HYPERLINK("https://klasma.github.io/Logging_0188/tillsyn/A 50854-2022 tillsynsbegäran.docx", "A 50854-2022")</f>
        <v/>
      </c>
      <c r="Y152">
        <f>HYPERLINK("https://klasma.github.io/Logging_0188/tillsynsmail/A 50854-2022 tillsynsbegäran mail.docx", "A 50854-2022")</f>
        <v/>
      </c>
    </row>
    <row r="153" ht="15" customHeight="1">
      <c r="A153" t="inlineStr">
        <is>
          <t>A 52130-2022</t>
        </is>
      </c>
      <c r="B153" s="1" t="n">
        <v>44868</v>
      </c>
      <c r="C153" s="1" t="n">
        <v>45657</v>
      </c>
      <c r="D153" t="inlineStr">
        <is>
          <t>STOCKHOLMS LÄN</t>
        </is>
      </c>
      <c r="E153" t="inlineStr">
        <is>
          <t>NORRTÄLJE</t>
        </is>
      </c>
      <c r="G153" t="n">
        <v>3.7</v>
      </c>
      <c r="H153" t="n">
        <v>0</v>
      </c>
      <c r="I153" t="n">
        <v>0</v>
      </c>
      <c r="J153" t="n">
        <v>1</v>
      </c>
      <c r="K153" t="n">
        <v>0</v>
      </c>
      <c r="L153" t="n">
        <v>0</v>
      </c>
      <c r="M153" t="n">
        <v>0</v>
      </c>
      <c r="N153" t="n">
        <v>0</v>
      </c>
      <c r="O153" t="n">
        <v>1</v>
      </c>
      <c r="P153" t="n">
        <v>0</v>
      </c>
      <c r="Q153" t="n">
        <v>1</v>
      </c>
      <c r="R153" s="2" t="inlineStr">
        <is>
          <t>Flattoppad klubbsvamp</t>
        </is>
      </c>
      <c r="S153">
        <f>HYPERLINK("https://klasma.github.io/Logging_0188/artfynd/A 52130-2022 artfynd.xlsx", "A 52130-2022")</f>
        <v/>
      </c>
      <c r="T153">
        <f>HYPERLINK("https://klasma.github.io/Logging_0188/kartor/A 52130-2022 karta.png", "A 52130-2022")</f>
        <v/>
      </c>
      <c r="V153">
        <f>HYPERLINK("https://klasma.github.io/Logging_0188/klagomål/A 52130-2022 FSC-klagomål.docx", "A 52130-2022")</f>
        <v/>
      </c>
      <c r="W153">
        <f>HYPERLINK("https://klasma.github.io/Logging_0188/klagomålsmail/A 52130-2022 FSC-klagomål mail.docx", "A 52130-2022")</f>
        <v/>
      </c>
      <c r="X153">
        <f>HYPERLINK("https://klasma.github.io/Logging_0188/tillsyn/A 52130-2022 tillsynsbegäran.docx", "A 52130-2022")</f>
        <v/>
      </c>
      <c r="Y153">
        <f>HYPERLINK("https://klasma.github.io/Logging_0188/tillsynsmail/A 52130-2022 tillsynsbegäran mail.docx", "A 52130-2022")</f>
        <v/>
      </c>
    </row>
    <row r="154" ht="15" customHeight="1">
      <c r="A154" t="inlineStr">
        <is>
          <t>A 61011-2022</t>
        </is>
      </c>
      <c r="B154" s="1" t="n">
        <v>44914</v>
      </c>
      <c r="C154" s="1" t="n">
        <v>45657</v>
      </c>
      <c r="D154" t="inlineStr">
        <is>
          <t>STOCKHOLMS LÄN</t>
        </is>
      </c>
      <c r="E154" t="inlineStr">
        <is>
          <t>NORRTÄLJE</t>
        </is>
      </c>
      <c r="G154" t="n">
        <v>2.2</v>
      </c>
      <c r="H154" t="n">
        <v>0</v>
      </c>
      <c r="I154" t="n">
        <v>0</v>
      </c>
      <c r="J154" t="n">
        <v>1</v>
      </c>
      <c r="K154" t="n">
        <v>0</v>
      </c>
      <c r="L154" t="n">
        <v>0</v>
      </c>
      <c r="M154" t="n">
        <v>0</v>
      </c>
      <c r="N154" t="n">
        <v>0</v>
      </c>
      <c r="O154" t="n">
        <v>1</v>
      </c>
      <c r="P154" t="n">
        <v>0</v>
      </c>
      <c r="Q154" t="n">
        <v>1</v>
      </c>
      <c r="R154" s="2" t="inlineStr">
        <is>
          <t>Orange taggsvamp</t>
        </is>
      </c>
      <c r="S154">
        <f>HYPERLINK("https://klasma.github.io/Logging_0188/artfynd/A 61011-2022 artfynd.xlsx", "A 61011-2022")</f>
        <v/>
      </c>
      <c r="T154">
        <f>HYPERLINK("https://klasma.github.io/Logging_0188/kartor/A 61011-2022 karta.png", "A 61011-2022")</f>
        <v/>
      </c>
      <c r="V154">
        <f>HYPERLINK("https://klasma.github.io/Logging_0188/klagomål/A 61011-2022 FSC-klagomål.docx", "A 61011-2022")</f>
        <v/>
      </c>
      <c r="W154">
        <f>HYPERLINK("https://klasma.github.io/Logging_0188/klagomålsmail/A 61011-2022 FSC-klagomål mail.docx", "A 61011-2022")</f>
        <v/>
      </c>
      <c r="X154">
        <f>HYPERLINK("https://klasma.github.io/Logging_0188/tillsyn/A 61011-2022 tillsynsbegäran.docx", "A 61011-2022")</f>
        <v/>
      </c>
      <c r="Y154">
        <f>HYPERLINK("https://klasma.github.io/Logging_0188/tillsynsmail/A 61011-2022 tillsynsbegäran mail.docx", "A 61011-2022")</f>
        <v/>
      </c>
    </row>
    <row r="155" ht="15" customHeight="1">
      <c r="A155" t="inlineStr">
        <is>
          <t>A 4385-2023</t>
        </is>
      </c>
      <c r="B155" s="1" t="n">
        <v>44955</v>
      </c>
      <c r="C155" s="1" t="n">
        <v>45657</v>
      </c>
      <c r="D155" t="inlineStr">
        <is>
          <t>STOCKHOLMS LÄN</t>
        </is>
      </c>
      <c r="E155" t="inlineStr">
        <is>
          <t>NORRTÄLJE</t>
        </is>
      </c>
      <c r="G155" t="n">
        <v>7.8</v>
      </c>
      <c r="H155" t="n">
        <v>1</v>
      </c>
      <c r="I155" t="n">
        <v>1</v>
      </c>
      <c r="J155" t="n">
        <v>0</v>
      </c>
      <c r="K155" t="n">
        <v>0</v>
      </c>
      <c r="L155" t="n">
        <v>0</v>
      </c>
      <c r="M155" t="n">
        <v>0</v>
      </c>
      <c r="N155" t="n">
        <v>0</v>
      </c>
      <c r="O155" t="n">
        <v>0</v>
      </c>
      <c r="P155" t="n">
        <v>0</v>
      </c>
      <c r="Q155" t="n">
        <v>1</v>
      </c>
      <c r="R155" s="2" t="inlineStr">
        <is>
          <t>Skogsknipprot</t>
        </is>
      </c>
      <c r="S155">
        <f>HYPERLINK("https://klasma.github.io/Logging_0188/artfynd/A 4385-2023 artfynd.xlsx", "A 4385-2023")</f>
        <v/>
      </c>
      <c r="T155">
        <f>HYPERLINK("https://klasma.github.io/Logging_0188/kartor/A 4385-2023 karta.png", "A 4385-2023")</f>
        <v/>
      </c>
      <c r="V155">
        <f>HYPERLINK("https://klasma.github.io/Logging_0188/klagomål/A 4385-2023 FSC-klagomål.docx", "A 4385-2023")</f>
        <v/>
      </c>
      <c r="W155">
        <f>HYPERLINK("https://klasma.github.io/Logging_0188/klagomålsmail/A 4385-2023 FSC-klagomål mail.docx", "A 4385-2023")</f>
        <v/>
      </c>
      <c r="X155">
        <f>HYPERLINK("https://klasma.github.io/Logging_0188/tillsyn/A 4385-2023 tillsynsbegäran.docx", "A 4385-2023")</f>
        <v/>
      </c>
      <c r="Y155">
        <f>HYPERLINK("https://klasma.github.io/Logging_0188/tillsynsmail/A 4385-2023 tillsynsbegäran mail.docx", "A 4385-2023")</f>
        <v/>
      </c>
    </row>
    <row r="156" ht="15" customHeight="1">
      <c r="A156" t="inlineStr">
        <is>
          <t>A 4595-2023</t>
        </is>
      </c>
      <c r="B156" s="1" t="n">
        <v>44956</v>
      </c>
      <c r="C156" s="1" t="n">
        <v>45657</v>
      </c>
      <c r="D156" t="inlineStr">
        <is>
          <t>STOCKHOLMS LÄN</t>
        </is>
      </c>
      <c r="E156" t="inlineStr">
        <is>
          <t>NORRTÄLJE</t>
        </is>
      </c>
      <c r="G156" t="n">
        <v>0.6</v>
      </c>
      <c r="H156" t="n">
        <v>1</v>
      </c>
      <c r="I156" t="n">
        <v>0</v>
      </c>
      <c r="J156" t="n">
        <v>0</v>
      </c>
      <c r="K156" t="n">
        <v>0</v>
      </c>
      <c r="L156" t="n">
        <v>0</v>
      </c>
      <c r="M156" t="n">
        <v>0</v>
      </c>
      <c r="N156" t="n">
        <v>0</v>
      </c>
      <c r="O156" t="n">
        <v>0</v>
      </c>
      <c r="P156" t="n">
        <v>0</v>
      </c>
      <c r="Q156" t="n">
        <v>1</v>
      </c>
      <c r="R156" s="2" t="inlineStr">
        <is>
          <t>Blåsippa</t>
        </is>
      </c>
      <c r="S156">
        <f>HYPERLINK("https://klasma.github.io/Logging_0188/artfynd/A 4595-2023 artfynd.xlsx", "A 4595-2023")</f>
        <v/>
      </c>
      <c r="T156">
        <f>HYPERLINK("https://klasma.github.io/Logging_0188/kartor/A 4595-2023 karta.png", "A 4595-2023")</f>
        <v/>
      </c>
      <c r="V156">
        <f>HYPERLINK("https://klasma.github.io/Logging_0188/klagomål/A 4595-2023 FSC-klagomål.docx", "A 4595-2023")</f>
        <v/>
      </c>
      <c r="W156">
        <f>HYPERLINK("https://klasma.github.io/Logging_0188/klagomålsmail/A 4595-2023 FSC-klagomål mail.docx", "A 4595-2023")</f>
        <v/>
      </c>
      <c r="X156">
        <f>HYPERLINK("https://klasma.github.io/Logging_0188/tillsyn/A 4595-2023 tillsynsbegäran.docx", "A 4595-2023")</f>
        <v/>
      </c>
      <c r="Y156">
        <f>HYPERLINK("https://klasma.github.io/Logging_0188/tillsynsmail/A 4595-2023 tillsynsbegäran mail.docx", "A 4595-2023")</f>
        <v/>
      </c>
    </row>
    <row r="157" ht="15" customHeight="1">
      <c r="A157" t="inlineStr">
        <is>
          <t>A 6381-2023</t>
        </is>
      </c>
      <c r="B157" s="1" t="n">
        <v>44965</v>
      </c>
      <c r="C157" s="1" t="n">
        <v>45657</v>
      </c>
      <c r="D157" t="inlineStr">
        <is>
          <t>STOCKHOLMS LÄN</t>
        </is>
      </c>
      <c r="E157" t="inlineStr">
        <is>
          <t>NORRTÄLJE</t>
        </is>
      </c>
      <c r="G157" t="n">
        <v>3.5</v>
      </c>
      <c r="H157" t="n">
        <v>1</v>
      </c>
      <c r="I157" t="n">
        <v>1</v>
      </c>
      <c r="J157" t="n">
        <v>0</v>
      </c>
      <c r="K157" t="n">
        <v>0</v>
      </c>
      <c r="L157" t="n">
        <v>0</v>
      </c>
      <c r="M157" t="n">
        <v>0</v>
      </c>
      <c r="N157" t="n">
        <v>0</v>
      </c>
      <c r="O157" t="n">
        <v>0</v>
      </c>
      <c r="P157" t="n">
        <v>0</v>
      </c>
      <c r="Q157" t="n">
        <v>1</v>
      </c>
      <c r="R157" s="2" t="inlineStr">
        <is>
          <t>Guckusko</t>
        </is>
      </c>
      <c r="S157">
        <f>HYPERLINK("https://klasma.github.io/Logging_0188/artfynd/A 6381-2023 artfynd.xlsx", "A 6381-2023")</f>
        <v/>
      </c>
      <c r="T157">
        <f>HYPERLINK("https://klasma.github.io/Logging_0188/kartor/A 6381-2023 karta.png", "A 6381-2023")</f>
        <v/>
      </c>
      <c r="V157">
        <f>HYPERLINK("https://klasma.github.io/Logging_0188/klagomål/A 6381-2023 FSC-klagomål.docx", "A 6381-2023")</f>
        <v/>
      </c>
      <c r="W157">
        <f>HYPERLINK("https://klasma.github.io/Logging_0188/klagomålsmail/A 6381-2023 FSC-klagomål mail.docx", "A 6381-2023")</f>
        <v/>
      </c>
      <c r="X157">
        <f>HYPERLINK("https://klasma.github.io/Logging_0188/tillsyn/A 6381-2023 tillsynsbegäran.docx", "A 6381-2023")</f>
        <v/>
      </c>
      <c r="Y157">
        <f>HYPERLINK("https://klasma.github.io/Logging_0188/tillsynsmail/A 6381-2023 tillsynsbegäran mail.docx", "A 6381-2023")</f>
        <v/>
      </c>
    </row>
    <row r="158" ht="15" customHeight="1">
      <c r="A158" t="inlineStr">
        <is>
          <t>A 9214-2023</t>
        </is>
      </c>
      <c r="B158" s="1" t="n">
        <v>44980</v>
      </c>
      <c r="C158" s="1" t="n">
        <v>45657</v>
      </c>
      <c r="D158" t="inlineStr">
        <is>
          <t>STOCKHOLMS LÄN</t>
        </is>
      </c>
      <c r="E158" t="inlineStr">
        <is>
          <t>NORRTÄLJE</t>
        </is>
      </c>
      <c r="G158" t="n">
        <v>10.6</v>
      </c>
      <c r="H158" t="n">
        <v>1</v>
      </c>
      <c r="I158" t="n">
        <v>1</v>
      </c>
      <c r="J158" t="n">
        <v>0</v>
      </c>
      <c r="K158" t="n">
        <v>0</v>
      </c>
      <c r="L158" t="n">
        <v>0</v>
      </c>
      <c r="M158" t="n">
        <v>0</v>
      </c>
      <c r="N158" t="n">
        <v>0</v>
      </c>
      <c r="O158" t="n">
        <v>0</v>
      </c>
      <c r="P158" t="n">
        <v>0</v>
      </c>
      <c r="Q158" t="n">
        <v>1</v>
      </c>
      <c r="R158" s="2" t="inlineStr">
        <is>
          <t>Guckusko</t>
        </is>
      </c>
      <c r="S158">
        <f>HYPERLINK("https://klasma.github.io/Logging_0188/artfynd/A 9214-2023 artfynd.xlsx", "A 9214-2023")</f>
        <v/>
      </c>
      <c r="T158">
        <f>HYPERLINK("https://klasma.github.io/Logging_0188/kartor/A 9214-2023 karta.png", "A 9214-2023")</f>
        <v/>
      </c>
      <c r="V158">
        <f>HYPERLINK("https://klasma.github.io/Logging_0188/klagomål/A 9214-2023 FSC-klagomål.docx", "A 9214-2023")</f>
        <v/>
      </c>
      <c r="W158">
        <f>HYPERLINK("https://klasma.github.io/Logging_0188/klagomålsmail/A 9214-2023 FSC-klagomål mail.docx", "A 9214-2023")</f>
        <v/>
      </c>
      <c r="X158">
        <f>HYPERLINK("https://klasma.github.io/Logging_0188/tillsyn/A 9214-2023 tillsynsbegäran.docx", "A 9214-2023")</f>
        <v/>
      </c>
      <c r="Y158">
        <f>HYPERLINK("https://klasma.github.io/Logging_0188/tillsynsmail/A 9214-2023 tillsynsbegäran mail.docx", "A 9214-2023")</f>
        <v/>
      </c>
    </row>
    <row r="159" ht="15" customHeight="1">
      <c r="A159" t="inlineStr">
        <is>
          <t>A 9271-2023</t>
        </is>
      </c>
      <c r="B159" s="1" t="n">
        <v>44980</v>
      </c>
      <c r="C159" s="1" t="n">
        <v>45657</v>
      </c>
      <c r="D159" t="inlineStr">
        <is>
          <t>STOCKHOLMS LÄN</t>
        </is>
      </c>
      <c r="E159" t="inlineStr">
        <is>
          <t>NORRTÄLJE</t>
        </is>
      </c>
      <c r="G159" t="n">
        <v>5.3</v>
      </c>
      <c r="H159" t="n">
        <v>1</v>
      </c>
      <c r="I159" t="n">
        <v>0</v>
      </c>
      <c r="J159" t="n">
        <v>0</v>
      </c>
      <c r="K159" t="n">
        <v>1</v>
      </c>
      <c r="L159" t="n">
        <v>0</v>
      </c>
      <c r="M159" t="n">
        <v>0</v>
      </c>
      <c r="N159" t="n">
        <v>0</v>
      </c>
      <c r="O159" t="n">
        <v>1</v>
      </c>
      <c r="P159" t="n">
        <v>1</v>
      </c>
      <c r="Q159" t="n">
        <v>1</v>
      </c>
      <c r="R159" s="2" t="inlineStr">
        <is>
          <t>Hällebräcka</t>
        </is>
      </c>
      <c r="S159">
        <f>HYPERLINK("https://klasma.github.io/Logging_0188/artfynd/A 9271-2023 artfynd.xlsx", "A 9271-2023")</f>
        <v/>
      </c>
      <c r="T159">
        <f>HYPERLINK("https://klasma.github.io/Logging_0188/kartor/A 9271-2023 karta.png", "A 9271-2023")</f>
        <v/>
      </c>
      <c r="V159">
        <f>HYPERLINK("https://klasma.github.io/Logging_0188/klagomål/A 9271-2023 FSC-klagomål.docx", "A 9271-2023")</f>
        <v/>
      </c>
      <c r="W159">
        <f>HYPERLINK("https://klasma.github.io/Logging_0188/klagomålsmail/A 9271-2023 FSC-klagomål mail.docx", "A 9271-2023")</f>
        <v/>
      </c>
      <c r="X159">
        <f>HYPERLINK("https://klasma.github.io/Logging_0188/tillsyn/A 9271-2023 tillsynsbegäran.docx", "A 9271-2023")</f>
        <v/>
      </c>
      <c r="Y159">
        <f>HYPERLINK("https://klasma.github.io/Logging_0188/tillsynsmail/A 9271-2023 tillsynsbegäran mail.docx", "A 9271-2023")</f>
        <v/>
      </c>
    </row>
    <row r="160" ht="15" customHeight="1">
      <c r="A160" t="inlineStr">
        <is>
          <t>A 9522-2023</t>
        </is>
      </c>
      <c r="B160" s="1" t="n">
        <v>44981</v>
      </c>
      <c r="C160" s="1" t="n">
        <v>45657</v>
      </c>
      <c r="D160" t="inlineStr">
        <is>
          <t>STOCKHOLMS LÄN</t>
        </is>
      </c>
      <c r="E160" t="inlineStr">
        <is>
          <t>NORRTÄLJE</t>
        </is>
      </c>
      <c r="F160" t="inlineStr">
        <is>
          <t>Holmen skog AB</t>
        </is>
      </c>
      <c r="G160" t="n">
        <v>7.5</v>
      </c>
      <c r="H160" t="n">
        <v>1</v>
      </c>
      <c r="I160" t="n">
        <v>0</v>
      </c>
      <c r="J160" t="n">
        <v>0</v>
      </c>
      <c r="K160" t="n">
        <v>0</v>
      </c>
      <c r="L160" t="n">
        <v>1</v>
      </c>
      <c r="M160" t="n">
        <v>0</v>
      </c>
      <c r="N160" t="n">
        <v>0</v>
      </c>
      <c r="O160" t="n">
        <v>1</v>
      </c>
      <c r="P160" t="n">
        <v>1</v>
      </c>
      <c r="Q160" t="n">
        <v>1</v>
      </c>
      <c r="R160" s="2" t="inlineStr">
        <is>
          <t>Asknätfjäril</t>
        </is>
      </c>
      <c r="S160">
        <f>HYPERLINK("https://klasma.github.io/Logging_0188/artfynd/A 9522-2023 artfynd.xlsx", "A 9522-2023")</f>
        <v/>
      </c>
      <c r="T160">
        <f>HYPERLINK("https://klasma.github.io/Logging_0188/kartor/A 9522-2023 karta.png", "A 9522-2023")</f>
        <v/>
      </c>
      <c r="V160">
        <f>HYPERLINK("https://klasma.github.io/Logging_0188/klagomål/A 9522-2023 FSC-klagomål.docx", "A 9522-2023")</f>
        <v/>
      </c>
      <c r="W160">
        <f>HYPERLINK("https://klasma.github.io/Logging_0188/klagomålsmail/A 9522-2023 FSC-klagomål mail.docx", "A 9522-2023")</f>
        <v/>
      </c>
      <c r="X160">
        <f>HYPERLINK("https://klasma.github.io/Logging_0188/tillsyn/A 9522-2023 tillsynsbegäran.docx", "A 9522-2023")</f>
        <v/>
      </c>
      <c r="Y160">
        <f>HYPERLINK("https://klasma.github.io/Logging_0188/tillsynsmail/A 9522-2023 tillsynsbegäran mail.docx", "A 9522-2023")</f>
        <v/>
      </c>
    </row>
    <row r="161" ht="15" customHeight="1">
      <c r="A161" t="inlineStr">
        <is>
          <t>A 10019-2023</t>
        </is>
      </c>
      <c r="B161" s="1" t="n">
        <v>44985</v>
      </c>
      <c r="C161" s="1" t="n">
        <v>45657</v>
      </c>
      <c r="D161" t="inlineStr">
        <is>
          <t>STOCKHOLMS LÄN</t>
        </is>
      </c>
      <c r="E161" t="inlineStr">
        <is>
          <t>NORRTÄLJE</t>
        </is>
      </c>
      <c r="G161" t="n">
        <v>8.4</v>
      </c>
      <c r="H161" t="n">
        <v>0</v>
      </c>
      <c r="I161" t="n">
        <v>1</v>
      </c>
      <c r="J161" t="n">
        <v>0</v>
      </c>
      <c r="K161" t="n">
        <v>0</v>
      </c>
      <c r="L161" t="n">
        <v>0</v>
      </c>
      <c r="M161" t="n">
        <v>0</v>
      </c>
      <c r="N161" t="n">
        <v>0</v>
      </c>
      <c r="O161" t="n">
        <v>0</v>
      </c>
      <c r="P161" t="n">
        <v>0</v>
      </c>
      <c r="Q161" t="n">
        <v>1</v>
      </c>
      <c r="R161" s="2" t="inlineStr">
        <is>
          <t>Underviol</t>
        </is>
      </c>
      <c r="S161">
        <f>HYPERLINK("https://klasma.github.io/Logging_0188/artfynd/A 10019-2023 artfynd.xlsx", "A 10019-2023")</f>
        <v/>
      </c>
      <c r="T161">
        <f>HYPERLINK("https://klasma.github.io/Logging_0188/kartor/A 10019-2023 karta.png", "A 10019-2023")</f>
        <v/>
      </c>
      <c r="V161">
        <f>HYPERLINK("https://klasma.github.io/Logging_0188/klagomål/A 10019-2023 FSC-klagomål.docx", "A 10019-2023")</f>
        <v/>
      </c>
      <c r="W161">
        <f>HYPERLINK("https://klasma.github.io/Logging_0188/klagomålsmail/A 10019-2023 FSC-klagomål mail.docx", "A 10019-2023")</f>
        <v/>
      </c>
      <c r="X161">
        <f>HYPERLINK("https://klasma.github.io/Logging_0188/tillsyn/A 10019-2023 tillsynsbegäran.docx", "A 10019-2023")</f>
        <v/>
      </c>
      <c r="Y161">
        <f>HYPERLINK("https://klasma.github.io/Logging_0188/tillsynsmail/A 10019-2023 tillsynsbegäran mail.docx", "A 10019-2023")</f>
        <v/>
      </c>
    </row>
    <row r="162" ht="15" customHeight="1">
      <c r="A162" t="inlineStr">
        <is>
          <t>A 11429-2023</t>
        </is>
      </c>
      <c r="B162" s="1" t="n">
        <v>44993</v>
      </c>
      <c r="C162" s="1" t="n">
        <v>45657</v>
      </c>
      <c r="D162" t="inlineStr">
        <is>
          <t>STOCKHOLMS LÄN</t>
        </is>
      </c>
      <c r="E162" t="inlineStr">
        <is>
          <t>NORRTÄLJE</t>
        </is>
      </c>
      <c r="G162" t="n">
        <v>2</v>
      </c>
      <c r="H162" t="n">
        <v>0</v>
      </c>
      <c r="I162" t="n">
        <v>0</v>
      </c>
      <c r="J162" t="n">
        <v>1</v>
      </c>
      <c r="K162" t="n">
        <v>0</v>
      </c>
      <c r="L162" t="n">
        <v>0</v>
      </c>
      <c r="M162" t="n">
        <v>0</v>
      </c>
      <c r="N162" t="n">
        <v>0</v>
      </c>
      <c r="O162" t="n">
        <v>1</v>
      </c>
      <c r="P162" t="n">
        <v>0</v>
      </c>
      <c r="Q162" t="n">
        <v>1</v>
      </c>
      <c r="R162" s="2" t="inlineStr">
        <is>
          <t>Skogsklocka</t>
        </is>
      </c>
      <c r="S162">
        <f>HYPERLINK("https://klasma.github.io/Logging_0188/artfynd/A 11429-2023 artfynd.xlsx", "A 11429-2023")</f>
        <v/>
      </c>
      <c r="T162">
        <f>HYPERLINK("https://klasma.github.io/Logging_0188/kartor/A 11429-2023 karta.png", "A 11429-2023")</f>
        <v/>
      </c>
      <c r="V162">
        <f>HYPERLINK("https://klasma.github.io/Logging_0188/klagomål/A 11429-2023 FSC-klagomål.docx", "A 11429-2023")</f>
        <v/>
      </c>
      <c r="W162">
        <f>HYPERLINK("https://klasma.github.io/Logging_0188/klagomålsmail/A 11429-2023 FSC-klagomål mail.docx", "A 11429-2023")</f>
        <v/>
      </c>
      <c r="X162">
        <f>HYPERLINK("https://klasma.github.io/Logging_0188/tillsyn/A 11429-2023 tillsynsbegäran.docx", "A 11429-2023")</f>
        <v/>
      </c>
      <c r="Y162">
        <f>HYPERLINK("https://klasma.github.io/Logging_0188/tillsynsmail/A 11429-2023 tillsynsbegäran mail.docx", "A 11429-2023")</f>
        <v/>
      </c>
    </row>
    <row r="163" ht="15" customHeight="1">
      <c r="A163" t="inlineStr">
        <is>
          <t>A 12442-2023</t>
        </is>
      </c>
      <c r="B163" s="1" t="n">
        <v>44999</v>
      </c>
      <c r="C163" s="1" t="n">
        <v>45657</v>
      </c>
      <c r="D163" t="inlineStr">
        <is>
          <t>STOCKHOLMS LÄN</t>
        </is>
      </c>
      <c r="E163" t="inlineStr">
        <is>
          <t>NORRTÄLJE</t>
        </is>
      </c>
      <c r="G163" t="n">
        <v>1.9</v>
      </c>
      <c r="H163" t="n">
        <v>1</v>
      </c>
      <c r="I163" t="n">
        <v>0</v>
      </c>
      <c r="J163" t="n">
        <v>0</v>
      </c>
      <c r="K163" t="n">
        <v>0</v>
      </c>
      <c r="L163" t="n">
        <v>0</v>
      </c>
      <c r="M163" t="n">
        <v>0</v>
      </c>
      <c r="N163" t="n">
        <v>0</v>
      </c>
      <c r="O163" t="n">
        <v>0</v>
      </c>
      <c r="P163" t="n">
        <v>0</v>
      </c>
      <c r="Q163" t="n">
        <v>1</v>
      </c>
      <c r="R163" s="2" t="inlineStr">
        <is>
          <t>Gullviva</t>
        </is>
      </c>
      <c r="S163">
        <f>HYPERLINK("https://klasma.github.io/Logging_0188/artfynd/A 12442-2023 artfynd.xlsx", "A 12442-2023")</f>
        <v/>
      </c>
      <c r="T163">
        <f>HYPERLINK("https://klasma.github.io/Logging_0188/kartor/A 12442-2023 karta.png", "A 12442-2023")</f>
        <v/>
      </c>
      <c r="V163">
        <f>HYPERLINK("https://klasma.github.io/Logging_0188/klagomål/A 12442-2023 FSC-klagomål.docx", "A 12442-2023")</f>
        <v/>
      </c>
      <c r="W163">
        <f>HYPERLINK("https://klasma.github.io/Logging_0188/klagomålsmail/A 12442-2023 FSC-klagomål mail.docx", "A 12442-2023")</f>
        <v/>
      </c>
      <c r="X163">
        <f>HYPERLINK("https://klasma.github.io/Logging_0188/tillsyn/A 12442-2023 tillsynsbegäran.docx", "A 12442-2023")</f>
        <v/>
      </c>
      <c r="Y163">
        <f>HYPERLINK("https://klasma.github.io/Logging_0188/tillsynsmail/A 12442-2023 tillsynsbegäran mail.docx", "A 12442-2023")</f>
        <v/>
      </c>
    </row>
    <row r="164" ht="15" customHeight="1">
      <c r="A164" t="inlineStr">
        <is>
          <t>A 15644-2023</t>
        </is>
      </c>
      <c r="B164" s="1" t="n">
        <v>45021</v>
      </c>
      <c r="C164" s="1" t="n">
        <v>45657</v>
      </c>
      <c r="D164" t="inlineStr">
        <is>
          <t>STOCKHOLMS LÄN</t>
        </is>
      </c>
      <c r="E164" t="inlineStr">
        <is>
          <t>NORRTÄLJE</t>
        </is>
      </c>
      <c r="F164" t="inlineStr">
        <is>
          <t>Holmen skog AB</t>
        </is>
      </c>
      <c r="G164" t="n">
        <v>13</v>
      </c>
      <c r="H164" t="n">
        <v>1</v>
      </c>
      <c r="I164" t="n">
        <v>0</v>
      </c>
      <c r="J164" t="n">
        <v>0</v>
      </c>
      <c r="K164" t="n">
        <v>0</v>
      </c>
      <c r="L164" t="n">
        <v>1</v>
      </c>
      <c r="M164" t="n">
        <v>0</v>
      </c>
      <c r="N164" t="n">
        <v>0</v>
      </c>
      <c r="O164" t="n">
        <v>1</v>
      </c>
      <c r="P164" t="n">
        <v>1</v>
      </c>
      <c r="Q164" t="n">
        <v>1</v>
      </c>
      <c r="R164" s="2" t="inlineStr">
        <is>
          <t>Asknätfjäril</t>
        </is>
      </c>
      <c r="S164">
        <f>HYPERLINK("https://klasma.github.io/Logging_0188/artfynd/A 15644-2023 artfynd.xlsx", "A 15644-2023")</f>
        <v/>
      </c>
      <c r="T164">
        <f>HYPERLINK("https://klasma.github.io/Logging_0188/kartor/A 15644-2023 karta.png", "A 15644-2023")</f>
        <v/>
      </c>
      <c r="V164">
        <f>HYPERLINK("https://klasma.github.io/Logging_0188/klagomål/A 15644-2023 FSC-klagomål.docx", "A 15644-2023")</f>
        <v/>
      </c>
      <c r="W164">
        <f>HYPERLINK("https://klasma.github.io/Logging_0188/klagomålsmail/A 15644-2023 FSC-klagomål mail.docx", "A 15644-2023")</f>
        <v/>
      </c>
      <c r="X164">
        <f>HYPERLINK("https://klasma.github.io/Logging_0188/tillsyn/A 15644-2023 tillsynsbegäran.docx", "A 15644-2023")</f>
        <v/>
      </c>
      <c r="Y164">
        <f>HYPERLINK("https://klasma.github.io/Logging_0188/tillsynsmail/A 15644-2023 tillsynsbegäran mail.docx", "A 15644-2023")</f>
        <v/>
      </c>
    </row>
    <row r="165" ht="15" customHeight="1">
      <c r="A165" t="inlineStr">
        <is>
          <t>A 18216-2023</t>
        </is>
      </c>
      <c r="B165" s="1" t="n">
        <v>45041</v>
      </c>
      <c r="C165" s="1" t="n">
        <v>45657</v>
      </c>
      <c r="D165" t="inlineStr">
        <is>
          <t>STOCKHOLMS LÄN</t>
        </is>
      </c>
      <c r="E165" t="inlineStr">
        <is>
          <t>NORRTÄLJE</t>
        </is>
      </c>
      <c r="F165" t="inlineStr">
        <is>
          <t>Holmen skog AB</t>
        </is>
      </c>
      <c r="G165" t="n">
        <v>1.9</v>
      </c>
      <c r="H165" t="n">
        <v>0</v>
      </c>
      <c r="I165" t="n">
        <v>1</v>
      </c>
      <c r="J165" t="n">
        <v>0</v>
      </c>
      <c r="K165" t="n">
        <v>0</v>
      </c>
      <c r="L165" t="n">
        <v>0</v>
      </c>
      <c r="M165" t="n">
        <v>0</v>
      </c>
      <c r="N165" t="n">
        <v>0</v>
      </c>
      <c r="O165" t="n">
        <v>0</v>
      </c>
      <c r="P165" t="n">
        <v>0</v>
      </c>
      <c r="Q165" t="n">
        <v>1</v>
      </c>
      <c r="R165" s="2" t="inlineStr">
        <is>
          <t>Vårärt</t>
        </is>
      </c>
      <c r="S165">
        <f>HYPERLINK("https://klasma.github.io/Logging_0188/artfynd/A 18216-2023 artfynd.xlsx", "A 18216-2023")</f>
        <v/>
      </c>
      <c r="T165">
        <f>HYPERLINK("https://klasma.github.io/Logging_0188/kartor/A 18216-2023 karta.png", "A 18216-2023")</f>
        <v/>
      </c>
      <c r="V165">
        <f>HYPERLINK("https://klasma.github.io/Logging_0188/klagomål/A 18216-2023 FSC-klagomål.docx", "A 18216-2023")</f>
        <v/>
      </c>
      <c r="W165">
        <f>HYPERLINK("https://klasma.github.io/Logging_0188/klagomålsmail/A 18216-2023 FSC-klagomål mail.docx", "A 18216-2023")</f>
        <v/>
      </c>
      <c r="X165">
        <f>HYPERLINK("https://klasma.github.io/Logging_0188/tillsyn/A 18216-2023 tillsynsbegäran.docx", "A 18216-2023")</f>
        <v/>
      </c>
      <c r="Y165">
        <f>HYPERLINK("https://klasma.github.io/Logging_0188/tillsynsmail/A 18216-2023 tillsynsbegäran mail.docx", "A 18216-2023")</f>
        <v/>
      </c>
    </row>
    <row r="166" ht="15" customHeight="1">
      <c r="A166" t="inlineStr">
        <is>
          <t>A 21431-2023</t>
        </is>
      </c>
      <c r="B166" s="1" t="n">
        <v>45063</v>
      </c>
      <c r="C166" s="1" t="n">
        <v>45657</v>
      </c>
      <c r="D166" t="inlineStr">
        <is>
          <t>STOCKHOLMS LÄN</t>
        </is>
      </c>
      <c r="E166" t="inlineStr">
        <is>
          <t>NORRTÄLJE</t>
        </is>
      </c>
      <c r="F166" t="inlineStr">
        <is>
          <t>Holmen skog AB</t>
        </is>
      </c>
      <c r="G166" t="n">
        <v>4</v>
      </c>
      <c r="H166" t="n">
        <v>1</v>
      </c>
      <c r="I166" t="n">
        <v>1</v>
      </c>
      <c r="J166" t="n">
        <v>0</v>
      </c>
      <c r="K166" t="n">
        <v>0</v>
      </c>
      <c r="L166" t="n">
        <v>0</v>
      </c>
      <c r="M166" t="n">
        <v>0</v>
      </c>
      <c r="N166" t="n">
        <v>0</v>
      </c>
      <c r="O166" t="n">
        <v>0</v>
      </c>
      <c r="P166" t="n">
        <v>0</v>
      </c>
      <c r="Q166" t="n">
        <v>1</v>
      </c>
      <c r="R166" s="2" t="inlineStr">
        <is>
          <t>Nästrot</t>
        </is>
      </c>
      <c r="S166">
        <f>HYPERLINK("https://klasma.github.io/Logging_0188/artfynd/A 21431-2023 artfynd.xlsx", "A 21431-2023")</f>
        <v/>
      </c>
      <c r="T166">
        <f>HYPERLINK("https://klasma.github.io/Logging_0188/kartor/A 21431-2023 karta.png", "A 21431-2023")</f>
        <v/>
      </c>
      <c r="V166">
        <f>HYPERLINK("https://klasma.github.io/Logging_0188/klagomål/A 21431-2023 FSC-klagomål.docx", "A 21431-2023")</f>
        <v/>
      </c>
      <c r="W166">
        <f>HYPERLINK("https://klasma.github.io/Logging_0188/klagomålsmail/A 21431-2023 FSC-klagomål mail.docx", "A 21431-2023")</f>
        <v/>
      </c>
      <c r="X166">
        <f>HYPERLINK("https://klasma.github.io/Logging_0188/tillsyn/A 21431-2023 tillsynsbegäran.docx", "A 21431-2023")</f>
        <v/>
      </c>
      <c r="Y166">
        <f>HYPERLINK("https://klasma.github.io/Logging_0188/tillsynsmail/A 21431-2023 tillsynsbegäran mail.docx", "A 21431-2023")</f>
        <v/>
      </c>
    </row>
    <row r="167" ht="15" customHeight="1">
      <c r="A167" t="inlineStr">
        <is>
          <t>A 21744-2023</t>
        </is>
      </c>
      <c r="B167" s="1" t="n">
        <v>45065</v>
      </c>
      <c r="C167" s="1" t="n">
        <v>45657</v>
      </c>
      <c r="D167" t="inlineStr">
        <is>
          <t>STOCKHOLMS LÄN</t>
        </is>
      </c>
      <c r="E167" t="inlineStr">
        <is>
          <t>NORRTÄLJE</t>
        </is>
      </c>
      <c r="F167" t="inlineStr">
        <is>
          <t>Holmen skog AB</t>
        </is>
      </c>
      <c r="G167" t="n">
        <v>4.2</v>
      </c>
      <c r="H167" t="n">
        <v>0</v>
      </c>
      <c r="I167" t="n">
        <v>1</v>
      </c>
      <c r="J167" t="n">
        <v>0</v>
      </c>
      <c r="K167" t="n">
        <v>0</v>
      </c>
      <c r="L167" t="n">
        <v>0</v>
      </c>
      <c r="M167" t="n">
        <v>0</v>
      </c>
      <c r="N167" t="n">
        <v>0</v>
      </c>
      <c r="O167" t="n">
        <v>0</v>
      </c>
      <c r="P167" t="n">
        <v>0</v>
      </c>
      <c r="Q167" t="n">
        <v>1</v>
      </c>
      <c r="R167" s="2" t="inlineStr">
        <is>
          <t>Korallblylav</t>
        </is>
      </c>
      <c r="S167">
        <f>HYPERLINK("https://klasma.github.io/Logging_0188/artfynd/A 21744-2023 artfynd.xlsx", "A 21744-2023")</f>
        <v/>
      </c>
      <c r="T167">
        <f>HYPERLINK("https://klasma.github.io/Logging_0188/kartor/A 21744-2023 karta.png", "A 21744-2023")</f>
        <v/>
      </c>
      <c r="V167">
        <f>HYPERLINK("https://klasma.github.io/Logging_0188/klagomål/A 21744-2023 FSC-klagomål.docx", "A 21744-2023")</f>
        <v/>
      </c>
      <c r="W167">
        <f>HYPERLINK("https://klasma.github.io/Logging_0188/klagomålsmail/A 21744-2023 FSC-klagomål mail.docx", "A 21744-2023")</f>
        <v/>
      </c>
      <c r="X167">
        <f>HYPERLINK("https://klasma.github.io/Logging_0188/tillsyn/A 21744-2023 tillsynsbegäran.docx", "A 21744-2023")</f>
        <v/>
      </c>
      <c r="Y167">
        <f>HYPERLINK("https://klasma.github.io/Logging_0188/tillsynsmail/A 21744-2023 tillsynsbegäran mail.docx", "A 21744-2023")</f>
        <v/>
      </c>
    </row>
    <row r="168" ht="15" customHeight="1">
      <c r="A168" t="inlineStr">
        <is>
          <t>A 24535-2023</t>
        </is>
      </c>
      <c r="B168" s="1" t="n">
        <v>45082</v>
      </c>
      <c r="C168" s="1" t="n">
        <v>45657</v>
      </c>
      <c r="D168" t="inlineStr">
        <is>
          <t>STOCKHOLMS LÄN</t>
        </is>
      </c>
      <c r="E168" t="inlineStr">
        <is>
          <t>NORRTÄLJE</t>
        </is>
      </c>
      <c r="F168" t="inlineStr">
        <is>
          <t>Kommuner</t>
        </is>
      </c>
      <c r="G168" t="n">
        <v>2</v>
      </c>
      <c r="H168" t="n">
        <v>1</v>
      </c>
      <c r="I168" t="n">
        <v>0</v>
      </c>
      <c r="J168" t="n">
        <v>0</v>
      </c>
      <c r="K168" t="n">
        <v>0</v>
      </c>
      <c r="L168" t="n">
        <v>0</v>
      </c>
      <c r="M168" t="n">
        <v>0</v>
      </c>
      <c r="N168" t="n">
        <v>0</v>
      </c>
      <c r="O168" t="n">
        <v>0</v>
      </c>
      <c r="P168" t="n">
        <v>0</v>
      </c>
      <c r="Q168" t="n">
        <v>1</v>
      </c>
      <c r="R168" s="2" t="inlineStr">
        <is>
          <t>Blåsippa</t>
        </is>
      </c>
      <c r="S168">
        <f>HYPERLINK("https://klasma.github.io/Logging_0188/artfynd/A 24535-2023 artfynd.xlsx", "A 24535-2023")</f>
        <v/>
      </c>
      <c r="T168">
        <f>HYPERLINK("https://klasma.github.io/Logging_0188/kartor/A 24535-2023 karta.png", "A 24535-2023")</f>
        <v/>
      </c>
      <c r="V168">
        <f>HYPERLINK("https://klasma.github.io/Logging_0188/klagomål/A 24535-2023 FSC-klagomål.docx", "A 24535-2023")</f>
        <v/>
      </c>
      <c r="W168">
        <f>HYPERLINK("https://klasma.github.io/Logging_0188/klagomålsmail/A 24535-2023 FSC-klagomål mail.docx", "A 24535-2023")</f>
        <v/>
      </c>
      <c r="X168">
        <f>HYPERLINK("https://klasma.github.io/Logging_0188/tillsyn/A 24535-2023 tillsynsbegäran.docx", "A 24535-2023")</f>
        <v/>
      </c>
      <c r="Y168">
        <f>HYPERLINK("https://klasma.github.io/Logging_0188/tillsynsmail/A 24535-2023 tillsynsbegäran mail.docx", "A 24535-2023")</f>
        <v/>
      </c>
    </row>
    <row r="169" ht="15" customHeight="1">
      <c r="A169" t="inlineStr">
        <is>
          <t>A 26635-2023</t>
        </is>
      </c>
      <c r="B169" s="1" t="n">
        <v>45092</v>
      </c>
      <c r="C169" s="1" t="n">
        <v>45657</v>
      </c>
      <c r="D169" t="inlineStr">
        <is>
          <t>STOCKHOLMS LÄN</t>
        </is>
      </c>
      <c r="E169" t="inlineStr">
        <is>
          <t>NORRTÄLJE</t>
        </is>
      </c>
      <c r="G169" t="n">
        <v>3.1</v>
      </c>
      <c r="H169" t="n">
        <v>1</v>
      </c>
      <c r="I169" t="n">
        <v>0</v>
      </c>
      <c r="J169" t="n">
        <v>0</v>
      </c>
      <c r="K169" t="n">
        <v>0</v>
      </c>
      <c r="L169" t="n">
        <v>0</v>
      </c>
      <c r="M169" t="n">
        <v>0</v>
      </c>
      <c r="N169" t="n">
        <v>0</v>
      </c>
      <c r="O169" t="n">
        <v>0</v>
      </c>
      <c r="P169" t="n">
        <v>0</v>
      </c>
      <c r="Q169" t="n">
        <v>1</v>
      </c>
      <c r="R169" s="2" t="inlineStr">
        <is>
          <t>Fläcknycklar</t>
        </is>
      </c>
      <c r="S169">
        <f>HYPERLINK("https://klasma.github.io/Logging_0188/artfynd/A 26635-2023 artfynd.xlsx", "A 26635-2023")</f>
        <v/>
      </c>
      <c r="T169">
        <f>HYPERLINK("https://klasma.github.io/Logging_0188/kartor/A 26635-2023 karta.png", "A 26635-2023")</f>
        <v/>
      </c>
      <c r="V169">
        <f>HYPERLINK("https://klasma.github.io/Logging_0188/klagomål/A 26635-2023 FSC-klagomål.docx", "A 26635-2023")</f>
        <v/>
      </c>
      <c r="W169">
        <f>HYPERLINK("https://klasma.github.io/Logging_0188/klagomålsmail/A 26635-2023 FSC-klagomål mail.docx", "A 26635-2023")</f>
        <v/>
      </c>
      <c r="X169">
        <f>HYPERLINK("https://klasma.github.io/Logging_0188/tillsyn/A 26635-2023 tillsynsbegäran.docx", "A 26635-2023")</f>
        <v/>
      </c>
      <c r="Y169">
        <f>HYPERLINK("https://klasma.github.io/Logging_0188/tillsynsmail/A 26635-2023 tillsynsbegäran mail.docx", "A 26635-2023")</f>
        <v/>
      </c>
    </row>
    <row r="170" ht="15" customHeight="1">
      <c r="A170" t="inlineStr">
        <is>
          <t>A 35649-2023</t>
        </is>
      </c>
      <c r="B170" s="1" t="n">
        <v>45146</v>
      </c>
      <c r="C170" s="1" t="n">
        <v>45657</v>
      </c>
      <c r="D170" t="inlineStr">
        <is>
          <t>STOCKHOLMS LÄN</t>
        </is>
      </c>
      <c r="E170" t="inlineStr">
        <is>
          <t>NORRTÄLJE</t>
        </is>
      </c>
      <c r="G170" t="n">
        <v>25.1</v>
      </c>
      <c r="H170" t="n">
        <v>0</v>
      </c>
      <c r="I170" t="n">
        <v>0</v>
      </c>
      <c r="J170" t="n">
        <v>1</v>
      </c>
      <c r="K170" t="n">
        <v>0</v>
      </c>
      <c r="L170" t="n">
        <v>0</v>
      </c>
      <c r="M170" t="n">
        <v>0</v>
      </c>
      <c r="N170" t="n">
        <v>0</v>
      </c>
      <c r="O170" t="n">
        <v>1</v>
      </c>
      <c r="P170" t="n">
        <v>0</v>
      </c>
      <c r="Q170" t="n">
        <v>1</v>
      </c>
      <c r="R170" s="2" t="inlineStr">
        <is>
          <t>Månlåsbräken</t>
        </is>
      </c>
      <c r="S170">
        <f>HYPERLINK("https://klasma.github.io/Logging_0188/artfynd/A 35649-2023 artfynd.xlsx", "A 35649-2023")</f>
        <v/>
      </c>
      <c r="T170">
        <f>HYPERLINK("https://klasma.github.io/Logging_0188/kartor/A 35649-2023 karta.png", "A 35649-2023")</f>
        <v/>
      </c>
      <c r="V170">
        <f>HYPERLINK("https://klasma.github.io/Logging_0188/klagomål/A 35649-2023 FSC-klagomål.docx", "A 35649-2023")</f>
        <v/>
      </c>
      <c r="W170">
        <f>HYPERLINK("https://klasma.github.io/Logging_0188/klagomålsmail/A 35649-2023 FSC-klagomål mail.docx", "A 35649-2023")</f>
        <v/>
      </c>
      <c r="X170">
        <f>HYPERLINK("https://klasma.github.io/Logging_0188/tillsyn/A 35649-2023 tillsynsbegäran.docx", "A 35649-2023")</f>
        <v/>
      </c>
      <c r="Y170">
        <f>HYPERLINK("https://klasma.github.io/Logging_0188/tillsynsmail/A 35649-2023 tillsynsbegäran mail.docx", "A 35649-2023")</f>
        <v/>
      </c>
    </row>
    <row r="171" ht="15" customHeight="1">
      <c r="A171" t="inlineStr">
        <is>
          <t>A 39255-2023</t>
        </is>
      </c>
      <c r="B171" s="1" t="n">
        <v>45166</v>
      </c>
      <c r="C171" s="1" t="n">
        <v>45657</v>
      </c>
      <c r="D171" t="inlineStr">
        <is>
          <t>STOCKHOLMS LÄN</t>
        </is>
      </c>
      <c r="E171" t="inlineStr">
        <is>
          <t>NORRTÄLJE</t>
        </is>
      </c>
      <c r="G171" t="n">
        <v>14.2</v>
      </c>
      <c r="H171" t="n">
        <v>1</v>
      </c>
      <c r="I171" t="n">
        <v>0</v>
      </c>
      <c r="J171" t="n">
        <v>0</v>
      </c>
      <c r="K171" t="n">
        <v>0</v>
      </c>
      <c r="L171" t="n">
        <v>0</v>
      </c>
      <c r="M171" t="n">
        <v>0</v>
      </c>
      <c r="N171" t="n">
        <v>0</v>
      </c>
      <c r="O171" t="n">
        <v>0</v>
      </c>
      <c r="P171" t="n">
        <v>0</v>
      </c>
      <c r="Q171" t="n">
        <v>1</v>
      </c>
      <c r="R171" s="2" t="inlineStr">
        <is>
          <t>Lopplummer</t>
        </is>
      </c>
      <c r="S171">
        <f>HYPERLINK("https://klasma.github.io/Logging_0188/artfynd/A 39255-2023 artfynd.xlsx", "A 39255-2023")</f>
        <v/>
      </c>
      <c r="T171">
        <f>HYPERLINK("https://klasma.github.io/Logging_0188/kartor/A 39255-2023 karta.png", "A 39255-2023")</f>
        <v/>
      </c>
      <c r="V171">
        <f>HYPERLINK("https://klasma.github.io/Logging_0188/klagomål/A 39255-2023 FSC-klagomål.docx", "A 39255-2023")</f>
        <v/>
      </c>
      <c r="W171">
        <f>HYPERLINK("https://klasma.github.io/Logging_0188/klagomålsmail/A 39255-2023 FSC-klagomål mail.docx", "A 39255-2023")</f>
        <v/>
      </c>
      <c r="X171">
        <f>HYPERLINK("https://klasma.github.io/Logging_0188/tillsyn/A 39255-2023 tillsynsbegäran.docx", "A 39255-2023")</f>
        <v/>
      </c>
      <c r="Y171">
        <f>HYPERLINK("https://klasma.github.io/Logging_0188/tillsynsmail/A 39255-2023 tillsynsbegäran mail.docx", "A 39255-2023")</f>
        <v/>
      </c>
    </row>
    <row r="172" ht="15" customHeight="1">
      <c r="A172" t="inlineStr">
        <is>
          <t>A 43178-2023</t>
        </is>
      </c>
      <c r="B172" s="1" t="n">
        <v>45183</v>
      </c>
      <c r="C172" s="1" t="n">
        <v>45657</v>
      </c>
      <c r="D172" t="inlineStr">
        <is>
          <t>STOCKHOLMS LÄN</t>
        </is>
      </c>
      <c r="E172" t="inlineStr">
        <is>
          <t>NORRTÄLJE</t>
        </is>
      </c>
      <c r="F172" t="inlineStr">
        <is>
          <t>Kyrkan</t>
        </is>
      </c>
      <c r="G172" t="n">
        <v>1.5</v>
      </c>
      <c r="H172" t="n">
        <v>0</v>
      </c>
      <c r="I172" t="n">
        <v>0</v>
      </c>
      <c r="J172" t="n">
        <v>1</v>
      </c>
      <c r="K172" t="n">
        <v>0</v>
      </c>
      <c r="L172" t="n">
        <v>0</v>
      </c>
      <c r="M172" t="n">
        <v>0</v>
      </c>
      <c r="N172" t="n">
        <v>0</v>
      </c>
      <c r="O172" t="n">
        <v>1</v>
      </c>
      <c r="P172" t="n">
        <v>0</v>
      </c>
      <c r="Q172" t="n">
        <v>1</v>
      </c>
      <c r="R172" s="2" t="inlineStr">
        <is>
          <t>Mindre bastardsvärmare</t>
        </is>
      </c>
      <c r="S172">
        <f>HYPERLINK("https://klasma.github.io/Logging_0188/artfynd/A 43178-2023 artfynd.xlsx", "A 43178-2023")</f>
        <v/>
      </c>
      <c r="T172">
        <f>HYPERLINK("https://klasma.github.io/Logging_0188/kartor/A 43178-2023 karta.png", "A 43178-2023")</f>
        <v/>
      </c>
      <c r="V172">
        <f>HYPERLINK("https://klasma.github.io/Logging_0188/klagomål/A 43178-2023 FSC-klagomål.docx", "A 43178-2023")</f>
        <v/>
      </c>
      <c r="W172">
        <f>HYPERLINK("https://klasma.github.io/Logging_0188/klagomålsmail/A 43178-2023 FSC-klagomål mail.docx", "A 43178-2023")</f>
        <v/>
      </c>
      <c r="X172">
        <f>HYPERLINK("https://klasma.github.io/Logging_0188/tillsyn/A 43178-2023 tillsynsbegäran.docx", "A 43178-2023")</f>
        <v/>
      </c>
      <c r="Y172">
        <f>HYPERLINK("https://klasma.github.io/Logging_0188/tillsynsmail/A 43178-2023 tillsynsbegäran mail.docx", "A 43178-2023")</f>
        <v/>
      </c>
    </row>
    <row r="173" ht="15" customHeight="1">
      <c r="A173" t="inlineStr">
        <is>
          <t>A 43171-2023</t>
        </is>
      </c>
      <c r="B173" s="1" t="n">
        <v>45183</v>
      </c>
      <c r="C173" s="1" t="n">
        <v>45657</v>
      </c>
      <c r="D173" t="inlineStr">
        <is>
          <t>STOCKHOLMS LÄN</t>
        </is>
      </c>
      <c r="E173" t="inlineStr">
        <is>
          <t>NORRTÄLJE</t>
        </is>
      </c>
      <c r="F173" t="inlineStr">
        <is>
          <t>Kyrkan</t>
        </is>
      </c>
      <c r="G173" t="n">
        <v>1.3</v>
      </c>
      <c r="H173" t="n">
        <v>0</v>
      </c>
      <c r="I173" t="n">
        <v>0</v>
      </c>
      <c r="J173" t="n">
        <v>0</v>
      </c>
      <c r="K173" t="n">
        <v>0</v>
      </c>
      <c r="L173" t="n">
        <v>1</v>
      </c>
      <c r="M173" t="n">
        <v>0</v>
      </c>
      <c r="N173" t="n">
        <v>0</v>
      </c>
      <c r="O173" t="n">
        <v>1</v>
      </c>
      <c r="P173" t="n">
        <v>1</v>
      </c>
      <c r="Q173" t="n">
        <v>1</v>
      </c>
      <c r="R173" s="2" t="inlineStr">
        <is>
          <t>Ryl</t>
        </is>
      </c>
      <c r="S173">
        <f>HYPERLINK("https://klasma.github.io/Logging_0188/artfynd/A 43171-2023 artfynd.xlsx", "A 43171-2023")</f>
        <v/>
      </c>
      <c r="T173">
        <f>HYPERLINK("https://klasma.github.io/Logging_0188/kartor/A 43171-2023 karta.png", "A 43171-2023")</f>
        <v/>
      </c>
      <c r="U173">
        <f>HYPERLINK("https://klasma.github.io/Logging_0188/knärot/A 43171-2023 karta knärot.png", "A 43171-2023")</f>
        <v/>
      </c>
      <c r="V173">
        <f>HYPERLINK("https://klasma.github.io/Logging_0188/klagomål/A 43171-2023 FSC-klagomål.docx", "A 43171-2023")</f>
        <v/>
      </c>
      <c r="W173">
        <f>HYPERLINK("https://klasma.github.io/Logging_0188/klagomålsmail/A 43171-2023 FSC-klagomål mail.docx", "A 43171-2023")</f>
        <v/>
      </c>
      <c r="X173">
        <f>HYPERLINK("https://klasma.github.io/Logging_0188/tillsyn/A 43171-2023 tillsynsbegäran.docx", "A 43171-2023")</f>
        <v/>
      </c>
      <c r="Y173">
        <f>HYPERLINK("https://klasma.github.io/Logging_0188/tillsynsmail/A 43171-2023 tillsynsbegäran mail.docx", "A 43171-2023")</f>
        <v/>
      </c>
    </row>
    <row r="174" ht="15" customHeight="1">
      <c r="A174" t="inlineStr">
        <is>
          <t>A 43350-2023</t>
        </is>
      </c>
      <c r="B174" s="1" t="n">
        <v>45183</v>
      </c>
      <c r="C174" s="1" t="n">
        <v>45657</v>
      </c>
      <c r="D174" t="inlineStr">
        <is>
          <t>STOCKHOLMS LÄN</t>
        </is>
      </c>
      <c r="E174" t="inlineStr">
        <is>
          <t>NORRTÄLJE</t>
        </is>
      </c>
      <c r="F174" t="inlineStr">
        <is>
          <t>Holmen skog AB</t>
        </is>
      </c>
      <c r="G174" t="n">
        <v>4.2</v>
      </c>
      <c r="H174" t="n">
        <v>1</v>
      </c>
      <c r="I174" t="n">
        <v>0</v>
      </c>
      <c r="J174" t="n">
        <v>0</v>
      </c>
      <c r="K174" t="n">
        <v>0</v>
      </c>
      <c r="L174" t="n">
        <v>0</v>
      </c>
      <c r="M174" t="n">
        <v>0</v>
      </c>
      <c r="N174" t="n">
        <v>0</v>
      </c>
      <c r="O174" t="n">
        <v>0</v>
      </c>
      <c r="P174" t="n">
        <v>0</v>
      </c>
      <c r="Q174" t="n">
        <v>1</v>
      </c>
      <c r="R174" s="2" t="inlineStr">
        <is>
          <t>Revlummer</t>
        </is>
      </c>
      <c r="S174">
        <f>HYPERLINK("https://klasma.github.io/Logging_0188/artfynd/A 43350-2023 artfynd.xlsx", "A 43350-2023")</f>
        <v/>
      </c>
      <c r="T174">
        <f>HYPERLINK("https://klasma.github.io/Logging_0188/kartor/A 43350-2023 karta.png", "A 43350-2023")</f>
        <v/>
      </c>
      <c r="V174">
        <f>HYPERLINK("https://klasma.github.io/Logging_0188/klagomål/A 43350-2023 FSC-klagomål.docx", "A 43350-2023")</f>
        <v/>
      </c>
      <c r="W174">
        <f>HYPERLINK("https://klasma.github.io/Logging_0188/klagomålsmail/A 43350-2023 FSC-klagomål mail.docx", "A 43350-2023")</f>
        <v/>
      </c>
      <c r="X174">
        <f>HYPERLINK("https://klasma.github.io/Logging_0188/tillsyn/A 43350-2023 tillsynsbegäran.docx", "A 43350-2023")</f>
        <v/>
      </c>
      <c r="Y174">
        <f>HYPERLINK("https://klasma.github.io/Logging_0188/tillsynsmail/A 43350-2023 tillsynsbegäran mail.docx", "A 43350-2023")</f>
        <v/>
      </c>
    </row>
    <row r="175" ht="15" customHeight="1">
      <c r="A175" t="inlineStr">
        <is>
          <t>A 43354-2023</t>
        </is>
      </c>
      <c r="B175" s="1" t="n">
        <v>45183</v>
      </c>
      <c r="C175" s="1" t="n">
        <v>45657</v>
      </c>
      <c r="D175" t="inlineStr">
        <is>
          <t>STOCKHOLMS LÄN</t>
        </is>
      </c>
      <c r="E175" t="inlineStr">
        <is>
          <t>NORRTÄLJE</t>
        </is>
      </c>
      <c r="F175" t="inlineStr">
        <is>
          <t>Holmen skog AB</t>
        </is>
      </c>
      <c r="G175" t="n">
        <v>9.9</v>
      </c>
      <c r="H175" t="n">
        <v>0</v>
      </c>
      <c r="I175" t="n">
        <v>1</v>
      </c>
      <c r="J175" t="n">
        <v>0</v>
      </c>
      <c r="K175" t="n">
        <v>0</v>
      </c>
      <c r="L175" t="n">
        <v>0</v>
      </c>
      <c r="M175" t="n">
        <v>0</v>
      </c>
      <c r="N175" t="n">
        <v>0</v>
      </c>
      <c r="O175" t="n">
        <v>0</v>
      </c>
      <c r="P175" t="n">
        <v>0</v>
      </c>
      <c r="Q175" t="n">
        <v>1</v>
      </c>
      <c r="R175" s="2" t="inlineStr">
        <is>
          <t>Tibast</t>
        </is>
      </c>
      <c r="S175">
        <f>HYPERLINK("https://klasma.github.io/Logging_0188/artfynd/A 43354-2023 artfynd.xlsx", "A 43354-2023")</f>
        <v/>
      </c>
      <c r="T175">
        <f>HYPERLINK("https://klasma.github.io/Logging_0188/kartor/A 43354-2023 karta.png", "A 43354-2023")</f>
        <v/>
      </c>
      <c r="V175">
        <f>HYPERLINK("https://klasma.github.io/Logging_0188/klagomål/A 43354-2023 FSC-klagomål.docx", "A 43354-2023")</f>
        <v/>
      </c>
      <c r="W175">
        <f>HYPERLINK("https://klasma.github.io/Logging_0188/klagomålsmail/A 43354-2023 FSC-klagomål mail.docx", "A 43354-2023")</f>
        <v/>
      </c>
      <c r="X175">
        <f>HYPERLINK("https://klasma.github.io/Logging_0188/tillsyn/A 43354-2023 tillsynsbegäran.docx", "A 43354-2023")</f>
        <v/>
      </c>
      <c r="Y175">
        <f>HYPERLINK("https://klasma.github.io/Logging_0188/tillsynsmail/A 43354-2023 tillsynsbegäran mail.docx", "A 43354-2023")</f>
        <v/>
      </c>
    </row>
    <row r="176" ht="15" customHeight="1">
      <c r="A176" t="inlineStr">
        <is>
          <t>A 45172-2023</t>
        </is>
      </c>
      <c r="B176" s="1" t="n">
        <v>45191</v>
      </c>
      <c r="C176" s="1" t="n">
        <v>45657</v>
      </c>
      <c r="D176" t="inlineStr">
        <is>
          <t>STOCKHOLMS LÄN</t>
        </is>
      </c>
      <c r="E176" t="inlineStr">
        <is>
          <t>NORRTÄLJE</t>
        </is>
      </c>
      <c r="F176" t="inlineStr">
        <is>
          <t>Sveaskog</t>
        </is>
      </c>
      <c r="G176" t="n">
        <v>3.8</v>
      </c>
      <c r="H176" t="n">
        <v>1</v>
      </c>
      <c r="I176" t="n">
        <v>0</v>
      </c>
      <c r="J176" t="n">
        <v>1</v>
      </c>
      <c r="K176" t="n">
        <v>0</v>
      </c>
      <c r="L176" t="n">
        <v>0</v>
      </c>
      <c r="M176" t="n">
        <v>0</v>
      </c>
      <c r="N176" t="n">
        <v>0</v>
      </c>
      <c r="O176" t="n">
        <v>1</v>
      </c>
      <c r="P176" t="n">
        <v>0</v>
      </c>
      <c r="Q176" t="n">
        <v>1</v>
      </c>
      <c r="R176" s="2" t="inlineStr">
        <is>
          <t>Slaguggla</t>
        </is>
      </c>
      <c r="S176">
        <f>HYPERLINK("https://klasma.github.io/Logging_0188/artfynd/A 45172-2023 artfynd.xlsx", "A 45172-2023")</f>
        <v/>
      </c>
      <c r="T176">
        <f>HYPERLINK("https://klasma.github.io/Logging_0188/kartor/A 45172-2023 karta.png", "A 45172-2023")</f>
        <v/>
      </c>
      <c r="V176">
        <f>HYPERLINK("https://klasma.github.io/Logging_0188/klagomål/A 45172-2023 FSC-klagomål.docx", "A 45172-2023")</f>
        <v/>
      </c>
      <c r="W176">
        <f>HYPERLINK("https://klasma.github.io/Logging_0188/klagomålsmail/A 45172-2023 FSC-klagomål mail.docx", "A 45172-2023")</f>
        <v/>
      </c>
      <c r="X176">
        <f>HYPERLINK("https://klasma.github.io/Logging_0188/tillsyn/A 45172-2023 tillsynsbegäran.docx", "A 45172-2023")</f>
        <v/>
      </c>
      <c r="Y176">
        <f>HYPERLINK("https://klasma.github.io/Logging_0188/tillsynsmail/A 45172-2023 tillsynsbegäran mail.docx", "A 45172-2023")</f>
        <v/>
      </c>
      <c r="Z176">
        <f>HYPERLINK("https://klasma.github.io/Logging_0188/fåglar/A 45172-2023 prioriterade fågelarter.docx", "A 45172-2023")</f>
        <v/>
      </c>
    </row>
    <row r="177" ht="15" customHeight="1">
      <c r="A177" t="inlineStr">
        <is>
          <t>A 48131-2023</t>
        </is>
      </c>
      <c r="B177" s="1" t="n">
        <v>45205</v>
      </c>
      <c r="C177" s="1" t="n">
        <v>45657</v>
      </c>
      <c r="D177" t="inlineStr">
        <is>
          <t>STOCKHOLMS LÄN</t>
        </is>
      </c>
      <c r="E177" t="inlineStr">
        <is>
          <t>NORRTÄLJE</t>
        </is>
      </c>
      <c r="G177" t="n">
        <v>2.3</v>
      </c>
      <c r="H177" t="n">
        <v>0</v>
      </c>
      <c r="I177" t="n">
        <v>0</v>
      </c>
      <c r="J177" t="n">
        <v>1</v>
      </c>
      <c r="K177" t="n">
        <v>0</v>
      </c>
      <c r="L177" t="n">
        <v>0</v>
      </c>
      <c r="M177" t="n">
        <v>0</v>
      </c>
      <c r="N177" t="n">
        <v>0</v>
      </c>
      <c r="O177" t="n">
        <v>1</v>
      </c>
      <c r="P177" t="n">
        <v>0</v>
      </c>
      <c r="Q177" t="n">
        <v>1</v>
      </c>
      <c r="R177" s="2" t="inlineStr">
        <is>
          <t>Slåtterfibbla</t>
        </is>
      </c>
      <c r="S177">
        <f>HYPERLINK("https://klasma.github.io/Logging_0188/artfynd/A 48131-2023 artfynd.xlsx", "A 48131-2023")</f>
        <v/>
      </c>
      <c r="T177">
        <f>HYPERLINK("https://klasma.github.io/Logging_0188/kartor/A 48131-2023 karta.png", "A 48131-2023")</f>
        <v/>
      </c>
      <c r="V177">
        <f>HYPERLINK("https://klasma.github.io/Logging_0188/klagomål/A 48131-2023 FSC-klagomål.docx", "A 48131-2023")</f>
        <v/>
      </c>
      <c r="W177">
        <f>HYPERLINK("https://klasma.github.io/Logging_0188/klagomålsmail/A 48131-2023 FSC-klagomål mail.docx", "A 48131-2023")</f>
        <v/>
      </c>
      <c r="X177">
        <f>HYPERLINK("https://klasma.github.io/Logging_0188/tillsyn/A 48131-2023 tillsynsbegäran.docx", "A 48131-2023")</f>
        <v/>
      </c>
      <c r="Y177">
        <f>HYPERLINK("https://klasma.github.io/Logging_0188/tillsynsmail/A 48131-2023 tillsynsbegäran mail.docx", "A 48131-2023")</f>
        <v/>
      </c>
    </row>
    <row r="178" ht="15" customHeight="1">
      <c r="A178" t="inlineStr">
        <is>
          <t>A 51695-2023</t>
        </is>
      </c>
      <c r="B178" s="1" t="n">
        <v>45222</v>
      </c>
      <c r="C178" s="1" t="n">
        <v>45657</v>
      </c>
      <c r="D178" t="inlineStr">
        <is>
          <t>STOCKHOLMS LÄN</t>
        </is>
      </c>
      <c r="E178" t="inlineStr">
        <is>
          <t>NORRTÄLJE</t>
        </is>
      </c>
      <c r="G178" t="n">
        <v>4.9</v>
      </c>
      <c r="H178" t="n">
        <v>0</v>
      </c>
      <c r="I178" t="n">
        <v>1</v>
      </c>
      <c r="J178" t="n">
        <v>0</v>
      </c>
      <c r="K178" t="n">
        <v>0</v>
      </c>
      <c r="L178" t="n">
        <v>0</v>
      </c>
      <c r="M178" t="n">
        <v>0</v>
      </c>
      <c r="N178" t="n">
        <v>0</v>
      </c>
      <c r="O178" t="n">
        <v>0</v>
      </c>
      <c r="P178" t="n">
        <v>0</v>
      </c>
      <c r="Q178" t="n">
        <v>1</v>
      </c>
      <c r="R178" s="2" t="inlineStr">
        <is>
          <t>Fjällig taggsvamp s.str.</t>
        </is>
      </c>
      <c r="S178">
        <f>HYPERLINK("https://klasma.github.io/Logging_0188/artfynd/A 51695-2023 artfynd.xlsx", "A 51695-2023")</f>
        <v/>
      </c>
      <c r="T178">
        <f>HYPERLINK("https://klasma.github.io/Logging_0188/kartor/A 51695-2023 karta.png", "A 51695-2023")</f>
        <v/>
      </c>
      <c r="V178">
        <f>HYPERLINK("https://klasma.github.io/Logging_0188/klagomål/A 51695-2023 FSC-klagomål.docx", "A 51695-2023")</f>
        <v/>
      </c>
      <c r="W178">
        <f>HYPERLINK("https://klasma.github.io/Logging_0188/klagomålsmail/A 51695-2023 FSC-klagomål mail.docx", "A 51695-2023")</f>
        <v/>
      </c>
      <c r="X178">
        <f>HYPERLINK("https://klasma.github.io/Logging_0188/tillsyn/A 51695-2023 tillsynsbegäran.docx", "A 51695-2023")</f>
        <v/>
      </c>
      <c r="Y178">
        <f>HYPERLINK("https://klasma.github.io/Logging_0188/tillsynsmail/A 51695-2023 tillsynsbegäran mail.docx", "A 51695-2023")</f>
        <v/>
      </c>
    </row>
    <row r="179" ht="15" customHeight="1">
      <c r="A179" t="inlineStr">
        <is>
          <t>A 51909-2023</t>
        </is>
      </c>
      <c r="B179" s="1" t="n">
        <v>45223</v>
      </c>
      <c r="C179" s="1" t="n">
        <v>45657</v>
      </c>
      <c r="D179" t="inlineStr">
        <is>
          <t>STOCKHOLMS LÄN</t>
        </is>
      </c>
      <c r="E179" t="inlineStr">
        <is>
          <t>NORRTÄLJE</t>
        </is>
      </c>
      <c r="G179" t="n">
        <v>8.1</v>
      </c>
      <c r="H179" t="n">
        <v>1</v>
      </c>
      <c r="I179" t="n">
        <v>1</v>
      </c>
      <c r="J179" t="n">
        <v>0</v>
      </c>
      <c r="K179" t="n">
        <v>0</v>
      </c>
      <c r="L179" t="n">
        <v>0</v>
      </c>
      <c r="M179" t="n">
        <v>0</v>
      </c>
      <c r="N179" t="n">
        <v>0</v>
      </c>
      <c r="O179" t="n">
        <v>0</v>
      </c>
      <c r="P179" t="n">
        <v>0</v>
      </c>
      <c r="Q179" t="n">
        <v>1</v>
      </c>
      <c r="R179" s="2" t="inlineStr">
        <is>
          <t>Skogsknipprot</t>
        </is>
      </c>
      <c r="S179">
        <f>HYPERLINK("https://klasma.github.io/Logging_0188/artfynd/A 51909-2023 artfynd.xlsx", "A 51909-2023")</f>
        <v/>
      </c>
      <c r="T179">
        <f>HYPERLINK("https://klasma.github.io/Logging_0188/kartor/A 51909-2023 karta.png", "A 51909-2023")</f>
        <v/>
      </c>
      <c r="V179">
        <f>HYPERLINK("https://klasma.github.io/Logging_0188/klagomål/A 51909-2023 FSC-klagomål.docx", "A 51909-2023")</f>
        <v/>
      </c>
      <c r="W179">
        <f>HYPERLINK("https://klasma.github.io/Logging_0188/klagomålsmail/A 51909-2023 FSC-klagomål mail.docx", "A 51909-2023")</f>
        <v/>
      </c>
      <c r="X179">
        <f>HYPERLINK("https://klasma.github.io/Logging_0188/tillsyn/A 51909-2023 tillsynsbegäran.docx", "A 51909-2023")</f>
        <v/>
      </c>
      <c r="Y179">
        <f>HYPERLINK("https://klasma.github.io/Logging_0188/tillsynsmail/A 51909-2023 tillsynsbegäran mail.docx", "A 51909-2023")</f>
        <v/>
      </c>
    </row>
    <row r="180" ht="15" customHeight="1">
      <c r="A180" t="inlineStr">
        <is>
          <t>A 52508-2023</t>
        </is>
      </c>
      <c r="B180" s="1" t="n">
        <v>45225</v>
      </c>
      <c r="C180" s="1" t="n">
        <v>45657</v>
      </c>
      <c r="D180" t="inlineStr">
        <is>
          <t>STOCKHOLMS LÄN</t>
        </is>
      </c>
      <c r="E180" t="inlineStr">
        <is>
          <t>NORRTÄLJE</t>
        </is>
      </c>
      <c r="G180" t="n">
        <v>19.7</v>
      </c>
      <c r="H180" t="n">
        <v>1</v>
      </c>
      <c r="I180" t="n">
        <v>0</v>
      </c>
      <c r="J180" t="n">
        <v>0</v>
      </c>
      <c r="K180" t="n">
        <v>1</v>
      </c>
      <c r="L180" t="n">
        <v>0</v>
      </c>
      <c r="M180" t="n">
        <v>0</v>
      </c>
      <c r="N180" t="n">
        <v>0</v>
      </c>
      <c r="O180" t="n">
        <v>1</v>
      </c>
      <c r="P180" t="n">
        <v>1</v>
      </c>
      <c r="Q180" t="n">
        <v>1</v>
      </c>
      <c r="R180" s="2" t="inlineStr">
        <is>
          <t>Svärta</t>
        </is>
      </c>
      <c r="S180">
        <f>HYPERLINK("https://klasma.github.io/Logging_0188/artfynd/A 52508-2023 artfynd.xlsx", "A 52508-2023")</f>
        <v/>
      </c>
      <c r="T180">
        <f>HYPERLINK("https://klasma.github.io/Logging_0188/kartor/A 52508-2023 karta.png", "A 52508-2023")</f>
        <v/>
      </c>
      <c r="V180">
        <f>HYPERLINK("https://klasma.github.io/Logging_0188/klagomål/A 52508-2023 FSC-klagomål.docx", "A 52508-2023")</f>
        <v/>
      </c>
      <c r="W180">
        <f>HYPERLINK("https://klasma.github.io/Logging_0188/klagomålsmail/A 52508-2023 FSC-klagomål mail.docx", "A 52508-2023")</f>
        <v/>
      </c>
      <c r="X180">
        <f>HYPERLINK("https://klasma.github.io/Logging_0188/tillsyn/A 52508-2023 tillsynsbegäran.docx", "A 52508-2023")</f>
        <v/>
      </c>
      <c r="Y180">
        <f>HYPERLINK("https://klasma.github.io/Logging_0188/tillsynsmail/A 52508-2023 tillsynsbegäran mail.docx", "A 52508-2023")</f>
        <v/>
      </c>
    </row>
    <row r="181" ht="15" customHeight="1">
      <c r="A181" t="inlineStr">
        <is>
          <t>A 55767-2023</t>
        </is>
      </c>
      <c r="B181" s="1" t="n">
        <v>45239</v>
      </c>
      <c r="C181" s="1" t="n">
        <v>45657</v>
      </c>
      <c r="D181" t="inlineStr">
        <is>
          <t>STOCKHOLMS LÄN</t>
        </is>
      </c>
      <c r="E181" t="inlineStr">
        <is>
          <t>NORRTÄLJE</t>
        </is>
      </c>
      <c r="G181" t="n">
        <v>3.7</v>
      </c>
      <c r="H181" t="n">
        <v>0</v>
      </c>
      <c r="I181" t="n">
        <v>1</v>
      </c>
      <c r="J181" t="n">
        <v>0</v>
      </c>
      <c r="K181" t="n">
        <v>0</v>
      </c>
      <c r="L181" t="n">
        <v>0</v>
      </c>
      <c r="M181" t="n">
        <v>0</v>
      </c>
      <c r="N181" t="n">
        <v>0</v>
      </c>
      <c r="O181" t="n">
        <v>0</v>
      </c>
      <c r="P181" t="n">
        <v>0</v>
      </c>
      <c r="Q181" t="n">
        <v>1</v>
      </c>
      <c r="R181" s="2" t="inlineStr">
        <is>
          <t>Ögonpyrola</t>
        </is>
      </c>
      <c r="S181">
        <f>HYPERLINK("https://klasma.github.io/Logging_0188/artfynd/A 55767-2023 artfynd.xlsx", "A 55767-2023")</f>
        <v/>
      </c>
      <c r="T181">
        <f>HYPERLINK("https://klasma.github.io/Logging_0188/kartor/A 55767-2023 karta.png", "A 55767-2023")</f>
        <v/>
      </c>
      <c r="V181">
        <f>HYPERLINK("https://klasma.github.io/Logging_0188/klagomål/A 55767-2023 FSC-klagomål.docx", "A 55767-2023")</f>
        <v/>
      </c>
      <c r="W181">
        <f>HYPERLINK("https://klasma.github.io/Logging_0188/klagomålsmail/A 55767-2023 FSC-klagomål mail.docx", "A 55767-2023")</f>
        <v/>
      </c>
      <c r="X181">
        <f>HYPERLINK("https://klasma.github.io/Logging_0188/tillsyn/A 55767-2023 tillsynsbegäran.docx", "A 55767-2023")</f>
        <v/>
      </c>
      <c r="Y181">
        <f>HYPERLINK("https://klasma.github.io/Logging_0188/tillsynsmail/A 55767-2023 tillsynsbegäran mail.docx", "A 55767-2023")</f>
        <v/>
      </c>
    </row>
    <row r="182" ht="15" customHeight="1">
      <c r="A182" t="inlineStr">
        <is>
          <t>A 59580-2023</t>
        </is>
      </c>
      <c r="B182" s="1" t="n">
        <v>45254</v>
      </c>
      <c r="C182" s="1" t="n">
        <v>45657</v>
      </c>
      <c r="D182" t="inlineStr">
        <is>
          <t>STOCKHOLMS LÄN</t>
        </is>
      </c>
      <c r="E182" t="inlineStr">
        <is>
          <t>NORRTÄLJE</t>
        </is>
      </c>
      <c r="G182" t="n">
        <v>3.2</v>
      </c>
      <c r="H182" t="n">
        <v>0</v>
      </c>
      <c r="I182" t="n">
        <v>1</v>
      </c>
      <c r="J182" t="n">
        <v>0</v>
      </c>
      <c r="K182" t="n">
        <v>0</v>
      </c>
      <c r="L182" t="n">
        <v>0</v>
      </c>
      <c r="M182" t="n">
        <v>0</v>
      </c>
      <c r="N182" t="n">
        <v>0</v>
      </c>
      <c r="O182" t="n">
        <v>0</v>
      </c>
      <c r="P182" t="n">
        <v>0</v>
      </c>
      <c r="Q182" t="n">
        <v>1</v>
      </c>
      <c r="R182" s="2" t="inlineStr">
        <is>
          <t>Trådticka</t>
        </is>
      </c>
      <c r="S182">
        <f>HYPERLINK("https://klasma.github.io/Logging_0188/artfynd/A 59580-2023 artfynd.xlsx", "A 59580-2023")</f>
        <v/>
      </c>
      <c r="T182">
        <f>HYPERLINK("https://klasma.github.io/Logging_0188/kartor/A 59580-2023 karta.png", "A 59580-2023")</f>
        <v/>
      </c>
      <c r="V182">
        <f>HYPERLINK("https://klasma.github.io/Logging_0188/klagomål/A 59580-2023 FSC-klagomål.docx", "A 59580-2023")</f>
        <v/>
      </c>
      <c r="W182">
        <f>HYPERLINK("https://klasma.github.io/Logging_0188/klagomålsmail/A 59580-2023 FSC-klagomål mail.docx", "A 59580-2023")</f>
        <v/>
      </c>
      <c r="X182">
        <f>HYPERLINK("https://klasma.github.io/Logging_0188/tillsyn/A 59580-2023 tillsynsbegäran.docx", "A 59580-2023")</f>
        <v/>
      </c>
      <c r="Y182">
        <f>HYPERLINK("https://klasma.github.io/Logging_0188/tillsynsmail/A 59580-2023 tillsynsbegäran mail.docx", "A 59580-2023")</f>
        <v/>
      </c>
    </row>
    <row r="183" ht="15" customHeight="1">
      <c r="A183" t="inlineStr">
        <is>
          <t>A 63851-2023</t>
        </is>
      </c>
      <c r="B183" s="1" t="n">
        <v>45278</v>
      </c>
      <c r="C183" s="1" t="n">
        <v>45657</v>
      </c>
      <c r="D183" t="inlineStr">
        <is>
          <t>STOCKHOLMS LÄN</t>
        </is>
      </c>
      <c r="E183" t="inlineStr">
        <is>
          <t>NORRTÄLJE</t>
        </is>
      </c>
      <c r="G183" t="n">
        <v>5.6</v>
      </c>
      <c r="H183" t="n">
        <v>1</v>
      </c>
      <c r="I183" t="n">
        <v>0</v>
      </c>
      <c r="J183" t="n">
        <v>0</v>
      </c>
      <c r="K183" t="n">
        <v>0</v>
      </c>
      <c r="L183" t="n">
        <v>0</v>
      </c>
      <c r="M183" t="n">
        <v>0</v>
      </c>
      <c r="N183" t="n">
        <v>0</v>
      </c>
      <c r="O183" t="n">
        <v>0</v>
      </c>
      <c r="P183" t="n">
        <v>0</v>
      </c>
      <c r="Q183" t="n">
        <v>1</v>
      </c>
      <c r="R183" s="2" t="inlineStr">
        <is>
          <t>Tjäder</t>
        </is>
      </c>
      <c r="S183">
        <f>HYPERLINK("https://klasma.github.io/Logging_0188/artfynd/A 63851-2023 artfynd.xlsx", "A 63851-2023")</f>
        <v/>
      </c>
      <c r="T183">
        <f>HYPERLINK("https://klasma.github.io/Logging_0188/kartor/A 63851-2023 karta.png", "A 63851-2023")</f>
        <v/>
      </c>
      <c r="V183">
        <f>HYPERLINK("https://klasma.github.io/Logging_0188/klagomål/A 63851-2023 FSC-klagomål.docx", "A 63851-2023")</f>
        <v/>
      </c>
      <c r="W183">
        <f>HYPERLINK("https://klasma.github.io/Logging_0188/klagomålsmail/A 63851-2023 FSC-klagomål mail.docx", "A 63851-2023")</f>
        <v/>
      </c>
      <c r="X183">
        <f>HYPERLINK("https://klasma.github.io/Logging_0188/tillsyn/A 63851-2023 tillsynsbegäran.docx", "A 63851-2023")</f>
        <v/>
      </c>
      <c r="Y183">
        <f>HYPERLINK("https://klasma.github.io/Logging_0188/tillsynsmail/A 63851-2023 tillsynsbegäran mail.docx", "A 63851-2023")</f>
        <v/>
      </c>
      <c r="Z183">
        <f>HYPERLINK("https://klasma.github.io/Logging_0188/fåglar/A 63851-2023 prioriterade fågelarter.docx", "A 63851-2023")</f>
        <v/>
      </c>
    </row>
    <row r="184" ht="15" customHeight="1">
      <c r="A184" t="inlineStr">
        <is>
          <t>A 64456-2023</t>
        </is>
      </c>
      <c r="B184" s="1" t="n">
        <v>45280</v>
      </c>
      <c r="C184" s="1" t="n">
        <v>45657</v>
      </c>
      <c r="D184" t="inlineStr">
        <is>
          <t>STOCKHOLMS LÄN</t>
        </is>
      </c>
      <c r="E184" t="inlineStr">
        <is>
          <t>NORRTÄLJE</t>
        </is>
      </c>
      <c r="G184" t="n">
        <v>2.5</v>
      </c>
      <c r="H184" t="n">
        <v>0</v>
      </c>
      <c r="I184" t="n">
        <v>1</v>
      </c>
      <c r="J184" t="n">
        <v>0</v>
      </c>
      <c r="K184" t="n">
        <v>0</v>
      </c>
      <c r="L184" t="n">
        <v>0</v>
      </c>
      <c r="M184" t="n">
        <v>0</v>
      </c>
      <c r="N184" t="n">
        <v>0</v>
      </c>
      <c r="O184" t="n">
        <v>0</v>
      </c>
      <c r="P184" t="n">
        <v>0</v>
      </c>
      <c r="Q184" t="n">
        <v>1</v>
      </c>
      <c r="R184" s="2" t="inlineStr">
        <is>
          <t>Rödgul trumpetsvamp</t>
        </is>
      </c>
      <c r="S184">
        <f>HYPERLINK("https://klasma.github.io/Logging_0188/artfynd/A 64456-2023 artfynd.xlsx", "A 64456-2023")</f>
        <v/>
      </c>
      <c r="T184">
        <f>HYPERLINK("https://klasma.github.io/Logging_0188/kartor/A 64456-2023 karta.png", "A 64456-2023")</f>
        <v/>
      </c>
      <c r="V184">
        <f>HYPERLINK("https://klasma.github.io/Logging_0188/klagomål/A 64456-2023 FSC-klagomål.docx", "A 64456-2023")</f>
        <v/>
      </c>
      <c r="W184">
        <f>HYPERLINK("https://klasma.github.io/Logging_0188/klagomålsmail/A 64456-2023 FSC-klagomål mail.docx", "A 64456-2023")</f>
        <v/>
      </c>
      <c r="X184">
        <f>HYPERLINK("https://klasma.github.io/Logging_0188/tillsyn/A 64456-2023 tillsynsbegäran.docx", "A 64456-2023")</f>
        <v/>
      </c>
      <c r="Y184">
        <f>HYPERLINK("https://klasma.github.io/Logging_0188/tillsynsmail/A 64456-2023 tillsynsbegäran mail.docx", "A 64456-2023")</f>
        <v/>
      </c>
    </row>
    <row r="185" ht="15" customHeight="1">
      <c r="A185" t="inlineStr">
        <is>
          <t>A 6950-2024</t>
        </is>
      </c>
      <c r="B185" s="1" t="n">
        <v>45343</v>
      </c>
      <c r="C185" s="1" t="n">
        <v>45657</v>
      </c>
      <c r="D185" t="inlineStr">
        <is>
          <t>STOCKHOLMS LÄN</t>
        </is>
      </c>
      <c r="E185" t="inlineStr">
        <is>
          <t>NORRTÄLJE</t>
        </is>
      </c>
      <c r="G185" t="n">
        <v>26.8</v>
      </c>
      <c r="H185" t="n">
        <v>1</v>
      </c>
      <c r="I185" t="n">
        <v>0</v>
      </c>
      <c r="J185" t="n">
        <v>0</v>
      </c>
      <c r="K185" t="n">
        <v>0</v>
      </c>
      <c r="L185" t="n">
        <v>0</v>
      </c>
      <c r="M185" t="n">
        <v>0</v>
      </c>
      <c r="N185" t="n">
        <v>0</v>
      </c>
      <c r="O185" t="n">
        <v>0</v>
      </c>
      <c r="P185" t="n">
        <v>0</v>
      </c>
      <c r="Q185" t="n">
        <v>1</v>
      </c>
      <c r="R185" s="2" t="inlineStr">
        <is>
          <t>Blåsippa</t>
        </is>
      </c>
      <c r="S185">
        <f>HYPERLINK("https://klasma.github.io/Logging_0188/artfynd/A 6950-2024 artfynd.xlsx", "A 6950-2024")</f>
        <v/>
      </c>
      <c r="T185">
        <f>HYPERLINK("https://klasma.github.io/Logging_0188/kartor/A 6950-2024 karta.png", "A 6950-2024")</f>
        <v/>
      </c>
      <c r="V185">
        <f>HYPERLINK("https://klasma.github.io/Logging_0188/klagomål/A 6950-2024 FSC-klagomål.docx", "A 6950-2024")</f>
        <v/>
      </c>
      <c r="W185">
        <f>HYPERLINK("https://klasma.github.io/Logging_0188/klagomålsmail/A 6950-2024 FSC-klagomål mail.docx", "A 6950-2024")</f>
        <v/>
      </c>
      <c r="X185">
        <f>HYPERLINK("https://klasma.github.io/Logging_0188/tillsyn/A 6950-2024 tillsynsbegäran.docx", "A 6950-2024")</f>
        <v/>
      </c>
      <c r="Y185">
        <f>HYPERLINK("https://klasma.github.io/Logging_0188/tillsynsmail/A 6950-2024 tillsynsbegäran mail.docx", "A 6950-2024")</f>
        <v/>
      </c>
    </row>
    <row r="186" ht="15" customHeight="1">
      <c r="A186" t="inlineStr">
        <is>
          <t>A 20468-2024</t>
        </is>
      </c>
      <c r="B186" s="1" t="n">
        <v>45435</v>
      </c>
      <c r="C186" s="1" t="n">
        <v>45657</v>
      </c>
      <c r="D186" t="inlineStr">
        <is>
          <t>STOCKHOLMS LÄN</t>
        </is>
      </c>
      <c r="E186" t="inlineStr">
        <is>
          <t>NORRTÄLJE</t>
        </is>
      </c>
      <c r="G186" t="n">
        <v>2.2</v>
      </c>
      <c r="H186" t="n">
        <v>0</v>
      </c>
      <c r="I186" t="n">
        <v>0</v>
      </c>
      <c r="J186" t="n">
        <v>0</v>
      </c>
      <c r="K186" t="n">
        <v>0</v>
      </c>
      <c r="L186" t="n">
        <v>1</v>
      </c>
      <c r="M186" t="n">
        <v>0</v>
      </c>
      <c r="N186" t="n">
        <v>0</v>
      </c>
      <c r="O186" t="n">
        <v>1</v>
      </c>
      <c r="P186" t="n">
        <v>1</v>
      </c>
      <c r="Q186" t="n">
        <v>1</v>
      </c>
      <c r="R186" s="2" t="inlineStr">
        <is>
          <t>Fältgentiana</t>
        </is>
      </c>
      <c r="S186">
        <f>HYPERLINK("https://klasma.github.io/Logging_0188/artfynd/A 20468-2024 artfynd.xlsx", "A 20468-2024")</f>
        <v/>
      </c>
      <c r="T186">
        <f>HYPERLINK("https://klasma.github.io/Logging_0188/kartor/A 20468-2024 karta.png", "A 20468-2024")</f>
        <v/>
      </c>
      <c r="V186">
        <f>HYPERLINK("https://klasma.github.io/Logging_0188/klagomål/A 20468-2024 FSC-klagomål.docx", "A 20468-2024")</f>
        <v/>
      </c>
      <c r="W186">
        <f>HYPERLINK("https://klasma.github.io/Logging_0188/klagomålsmail/A 20468-2024 FSC-klagomål mail.docx", "A 20468-2024")</f>
        <v/>
      </c>
      <c r="X186">
        <f>HYPERLINK("https://klasma.github.io/Logging_0188/tillsyn/A 20468-2024 tillsynsbegäran.docx", "A 20468-2024")</f>
        <v/>
      </c>
      <c r="Y186">
        <f>HYPERLINK("https://klasma.github.io/Logging_0188/tillsynsmail/A 20468-2024 tillsynsbegäran mail.docx", "A 20468-2024")</f>
        <v/>
      </c>
    </row>
    <row r="187" ht="15" customHeight="1">
      <c r="A187" t="inlineStr">
        <is>
          <t>A 23146-2024</t>
        </is>
      </c>
      <c r="B187" s="1" t="n">
        <v>45450</v>
      </c>
      <c r="C187" s="1" t="n">
        <v>45657</v>
      </c>
      <c r="D187" t="inlineStr">
        <is>
          <t>STOCKHOLMS LÄN</t>
        </is>
      </c>
      <c r="E187" t="inlineStr">
        <is>
          <t>NORRTÄLJE</t>
        </is>
      </c>
      <c r="F187" t="inlineStr">
        <is>
          <t>Kommuner</t>
        </is>
      </c>
      <c r="G187" t="n">
        <v>6</v>
      </c>
      <c r="H187" t="n">
        <v>0</v>
      </c>
      <c r="I187" t="n">
        <v>0</v>
      </c>
      <c r="J187" t="n">
        <v>1</v>
      </c>
      <c r="K187" t="n">
        <v>0</v>
      </c>
      <c r="L187" t="n">
        <v>0</v>
      </c>
      <c r="M187" t="n">
        <v>0</v>
      </c>
      <c r="N187" t="n">
        <v>0</v>
      </c>
      <c r="O187" t="n">
        <v>1</v>
      </c>
      <c r="P187" t="n">
        <v>0</v>
      </c>
      <c r="Q187" t="n">
        <v>1</v>
      </c>
      <c r="R187" s="2" t="inlineStr">
        <is>
          <t>Motaggsvamp</t>
        </is>
      </c>
      <c r="S187">
        <f>HYPERLINK("https://klasma.github.io/Logging_0188/artfynd/A 23146-2024 artfynd.xlsx", "A 23146-2024")</f>
        <v/>
      </c>
      <c r="T187">
        <f>HYPERLINK("https://klasma.github.io/Logging_0188/kartor/A 23146-2024 karta.png", "A 23146-2024")</f>
        <v/>
      </c>
      <c r="V187">
        <f>HYPERLINK("https://klasma.github.io/Logging_0188/klagomål/A 23146-2024 FSC-klagomål.docx", "A 23146-2024")</f>
        <v/>
      </c>
      <c r="W187">
        <f>HYPERLINK("https://klasma.github.io/Logging_0188/klagomålsmail/A 23146-2024 FSC-klagomål mail.docx", "A 23146-2024")</f>
        <v/>
      </c>
      <c r="X187">
        <f>HYPERLINK("https://klasma.github.io/Logging_0188/tillsyn/A 23146-2024 tillsynsbegäran.docx", "A 23146-2024")</f>
        <v/>
      </c>
      <c r="Y187">
        <f>HYPERLINK("https://klasma.github.io/Logging_0188/tillsynsmail/A 23146-2024 tillsynsbegäran mail.docx", "A 23146-2024")</f>
        <v/>
      </c>
    </row>
    <row r="188" ht="15" customHeight="1">
      <c r="A188" t="inlineStr">
        <is>
          <t>A 23583-2024</t>
        </is>
      </c>
      <c r="B188" s="1" t="n">
        <v>45454</v>
      </c>
      <c r="C188" s="1" t="n">
        <v>45657</v>
      </c>
      <c r="D188" t="inlineStr">
        <is>
          <t>STOCKHOLMS LÄN</t>
        </is>
      </c>
      <c r="E188" t="inlineStr">
        <is>
          <t>NORRTÄLJE</t>
        </is>
      </c>
      <c r="G188" t="n">
        <v>7.7</v>
      </c>
      <c r="H188" t="n">
        <v>0</v>
      </c>
      <c r="I188" t="n">
        <v>1</v>
      </c>
      <c r="J188" t="n">
        <v>0</v>
      </c>
      <c r="K188" t="n">
        <v>0</v>
      </c>
      <c r="L188" t="n">
        <v>0</v>
      </c>
      <c r="M188" t="n">
        <v>0</v>
      </c>
      <c r="N188" t="n">
        <v>0</v>
      </c>
      <c r="O188" t="n">
        <v>0</v>
      </c>
      <c r="P188" t="n">
        <v>0</v>
      </c>
      <c r="Q188" t="n">
        <v>1</v>
      </c>
      <c r="R188" s="2" t="inlineStr">
        <is>
          <t>Kattfotslav</t>
        </is>
      </c>
      <c r="S188">
        <f>HYPERLINK("https://klasma.github.io/Logging_0188/artfynd/A 23583-2024 artfynd.xlsx", "A 23583-2024")</f>
        <v/>
      </c>
      <c r="T188">
        <f>HYPERLINK("https://klasma.github.io/Logging_0188/kartor/A 23583-2024 karta.png", "A 23583-2024")</f>
        <v/>
      </c>
      <c r="V188">
        <f>HYPERLINK("https://klasma.github.io/Logging_0188/klagomål/A 23583-2024 FSC-klagomål.docx", "A 23583-2024")</f>
        <v/>
      </c>
      <c r="W188">
        <f>HYPERLINK("https://klasma.github.io/Logging_0188/klagomålsmail/A 23583-2024 FSC-klagomål mail.docx", "A 23583-2024")</f>
        <v/>
      </c>
      <c r="X188">
        <f>HYPERLINK("https://klasma.github.io/Logging_0188/tillsyn/A 23583-2024 tillsynsbegäran.docx", "A 23583-2024")</f>
        <v/>
      </c>
      <c r="Y188">
        <f>HYPERLINK("https://klasma.github.io/Logging_0188/tillsynsmail/A 23583-2024 tillsynsbegäran mail.docx", "A 23583-2024")</f>
        <v/>
      </c>
    </row>
    <row r="189" ht="15" customHeight="1">
      <c r="A189" t="inlineStr">
        <is>
          <t>A 24577-2024</t>
        </is>
      </c>
      <c r="B189" s="1" t="n">
        <v>45460</v>
      </c>
      <c r="C189" s="1" t="n">
        <v>45657</v>
      </c>
      <c r="D189" t="inlineStr">
        <is>
          <t>STOCKHOLMS LÄN</t>
        </is>
      </c>
      <c r="E189" t="inlineStr">
        <is>
          <t>NORRTÄLJE</t>
        </is>
      </c>
      <c r="G189" t="n">
        <v>3.8</v>
      </c>
      <c r="H189" t="n">
        <v>0</v>
      </c>
      <c r="I189" t="n">
        <v>1</v>
      </c>
      <c r="J189" t="n">
        <v>0</v>
      </c>
      <c r="K189" t="n">
        <v>0</v>
      </c>
      <c r="L189" t="n">
        <v>0</v>
      </c>
      <c r="M189" t="n">
        <v>0</v>
      </c>
      <c r="N189" t="n">
        <v>0</v>
      </c>
      <c r="O189" t="n">
        <v>0</v>
      </c>
      <c r="P189" t="n">
        <v>0</v>
      </c>
      <c r="Q189" t="n">
        <v>1</v>
      </c>
      <c r="R189" s="2" t="inlineStr">
        <is>
          <t>Rostfläck</t>
        </is>
      </c>
      <c r="S189">
        <f>HYPERLINK("https://klasma.github.io/Logging_0188/artfynd/A 24577-2024 artfynd.xlsx", "A 24577-2024")</f>
        <v/>
      </c>
      <c r="T189">
        <f>HYPERLINK("https://klasma.github.io/Logging_0188/kartor/A 24577-2024 karta.png", "A 24577-2024")</f>
        <v/>
      </c>
      <c r="V189">
        <f>HYPERLINK("https://klasma.github.io/Logging_0188/klagomål/A 24577-2024 FSC-klagomål.docx", "A 24577-2024")</f>
        <v/>
      </c>
      <c r="W189">
        <f>HYPERLINK("https://klasma.github.io/Logging_0188/klagomålsmail/A 24577-2024 FSC-klagomål mail.docx", "A 24577-2024")</f>
        <v/>
      </c>
      <c r="X189">
        <f>HYPERLINK("https://klasma.github.io/Logging_0188/tillsyn/A 24577-2024 tillsynsbegäran.docx", "A 24577-2024")</f>
        <v/>
      </c>
      <c r="Y189">
        <f>HYPERLINK("https://klasma.github.io/Logging_0188/tillsynsmail/A 24577-2024 tillsynsbegäran mail.docx", "A 24577-2024")</f>
        <v/>
      </c>
    </row>
    <row r="190" ht="15" customHeight="1">
      <c r="A190" t="inlineStr">
        <is>
          <t>A 24528-2024</t>
        </is>
      </c>
      <c r="B190" s="1" t="n">
        <v>45460</v>
      </c>
      <c r="C190" s="1" t="n">
        <v>45657</v>
      </c>
      <c r="D190" t="inlineStr">
        <is>
          <t>STOCKHOLMS LÄN</t>
        </is>
      </c>
      <c r="E190" t="inlineStr">
        <is>
          <t>NORRTÄLJE</t>
        </is>
      </c>
      <c r="G190" t="n">
        <v>1.4</v>
      </c>
      <c r="H190" t="n">
        <v>1</v>
      </c>
      <c r="I190" t="n">
        <v>0</v>
      </c>
      <c r="J190" t="n">
        <v>0</v>
      </c>
      <c r="K190" t="n">
        <v>1</v>
      </c>
      <c r="L190" t="n">
        <v>0</v>
      </c>
      <c r="M190" t="n">
        <v>0</v>
      </c>
      <c r="N190" t="n">
        <v>0</v>
      </c>
      <c r="O190" t="n">
        <v>1</v>
      </c>
      <c r="P190" t="n">
        <v>1</v>
      </c>
      <c r="Q190" t="n">
        <v>1</v>
      </c>
      <c r="R190" s="2" t="inlineStr">
        <is>
          <t>Hällebräcka</t>
        </is>
      </c>
      <c r="S190">
        <f>HYPERLINK("https://klasma.github.io/Logging_0188/artfynd/A 24528-2024 artfynd.xlsx", "A 24528-2024")</f>
        <v/>
      </c>
      <c r="T190">
        <f>HYPERLINK("https://klasma.github.io/Logging_0188/kartor/A 24528-2024 karta.png", "A 24528-2024")</f>
        <v/>
      </c>
      <c r="V190">
        <f>HYPERLINK("https://klasma.github.io/Logging_0188/klagomål/A 24528-2024 FSC-klagomål.docx", "A 24528-2024")</f>
        <v/>
      </c>
      <c r="W190">
        <f>HYPERLINK("https://klasma.github.io/Logging_0188/klagomålsmail/A 24528-2024 FSC-klagomål mail.docx", "A 24528-2024")</f>
        <v/>
      </c>
      <c r="X190">
        <f>HYPERLINK("https://klasma.github.io/Logging_0188/tillsyn/A 24528-2024 tillsynsbegäran.docx", "A 24528-2024")</f>
        <v/>
      </c>
      <c r="Y190">
        <f>HYPERLINK("https://klasma.github.io/Logging_0188/tillsynsmail/A 24528-2024 tillsynsbegäran mail.docx", "A 24528-2024")</f>
        <v/>
      </c>
    </row>
    <row r="191" ht="15" customHeight="1">
      <c r="A191" t="inlineStr">
        <is>
          <t>A 26120-2024</t>
        </is>
      </c>
      <c r="B191" s="1" t="n">
        <v>45468</v>
      </c>
      <c r="C191" s="1" t="n">
        <v>45657</v>
      </c>
      <c r="D191" t="inlineStr">
        <is>
          <t>STOCKHOLMS LÄN</t>
        </is>
      </c>
      <c r="E191" t="inlineStr">
        <is>
          <t>NORRTÄLJE</t>
        </is>
      </c>
      <c r="G191" t="n">
        <v>1.8</v>
      </c>
      <c r="H191" t="n">
        <v>0</v>
      </c>
      <c r="I191" t="n">
        <v>0</v>
      </c>
      <c r="J191" t="n">
        <v>1</v>
      </c>
      <c r="K191" t="n">
        <v>0</v>
      </c>
      <c r="L191" t="n">
        <v>0</v>
      </c>
      <c r="M191" t="n">
        <v>0</v>
      </c>
      <c r="N191" t="n">
        <v>0</v>
      </c>
      <c r="O191" t="n">
        <v>1</v>
      </c>
      <c r="P191" t="n">
        <v>0</v>
      </c>
      <c r="Q191" t="n">
        <v>1</v>
      </c>
      <c r="R191" s="2" t="inlineStr">
        <is>
          <t>Majviva</t>
        </is>
      </c>
      <c r="S191">
        <f>HYPERLINK("https://klasma.github.io/Logging_0188/artfynd/A 26120-2024 artfynd.xlsx", "A 26120-2024")</f>
        <v/>
      </c>
      <c r="T191">
        <f>HYPERLINK("https://klasma.github.io/Logging_0188/kartor/A 26120-2024 karta.png", "A 26120-2024")</f>
        <v/>
      </c>
      <c r="V191">
        <f>HYPERLINK("https://klasma.github.io/Logging_0188/klagomål/A 26120-2024 FSC-klagomål.docx", "A 26120-2024")</f>
        <v/>
      </c>
      <c r="W191">
        <f>HYPERLINK("https://klasma.github.io/Logging_0188/klagomålsmail/A 26120-2024 FSC-klagomål mail.docx", "A 26120-2024")</f>
        <v/>
      </c>
      <c r="X191">
        <f>HYPERLINK("https://klasma.github.io/Logging_0188/tillsyn/A 26120-2024 tillsynsbegäran.docx", "A 26120-2024")</f>
        <v/>
      </c>
      <c r="Y191">
        <f>HYPERLINK("https://klasma.github.io/Logging_0188/tillsynsmail/A 26120-2024 tillsynsbegäran mail.docx", "A 26120-2024")</f>
        <v/>
      </c>
    </row>
    <row r="192" ht="15" customHeight="1">
      <c r="A192" t="inlineStr">
        <is>
          <t>A 27538-2024</t>
        </is>
      </c>
      <c r="B192" s="1" t="n">
        <v>45474</v>
      </c>
      <c r="C192" s="1" t="n">
        <v>45657</v>
      </c>
      <c r="D192" t="inlineStr">
        <is>
          <t>STOCKHOLMS LÄN</t>
        </is>
      </c>
      <c r="E192" t="inlineStr">
        <is>
          <t>NORRTÄLJE</t>
        </is>
      </c>
      <c r="G192" t="n">
        <v>1.5</v>
      </c>
      <c r="H192" t="n">
        <v>1</v>
      </c>
      <c r="I192" t="n">
        <v>1</v>
      </c>
      <c r="J192" t="n">
        <v>0</v>
      </c>
      <c r="K192" t="n">
        <v>0</v>
      </c>
      <c r="L192" t="n">
        <v>0</v>
      </c>
      <c r="M192" t="n">
        <v>0</v>
      </c>
      <c r="N192" t="n">
        <v>0</v>
      </c>
      <c r="O192" t="n">
        <v>0</v>
      </c>
      <c r="P192" t="n">
        <v>0</v>
      </c>
      <c r="Q192" t="n">
        <v>1</v>
      </c>
      <c r="R192" s="2" t="inlineStr">
        <is>
          <t>Skogsknipprot</t>
        </is>
      </c>
      <c r="S192">
        <f>HYPERLINK("https://klasma.github.io/Logging_0188/artfynd/A 27538-2024 artfynd.xlsx", "A 27538-2024")</f>
        <v/>
      </c>
      <c r="T192">
        <f>HYPERLINK("https://klasma.github.io/Logging_0188/kartor/A 27538-2024 karta.png", "A 27538-2024")</f>
        <v/>
      </c>
      <c r="V192">
        <f>HYPERLINK("https://klasma.github.io/Logging_0188/klagomål/A 27538-2024 FSC-klagomål.docx", "A 27538-2024")</f>
        <v/>
      </c>
      <c r="W192">
        <f>HYPERLINK("https://klasma.github.io/Logging_0188/klagomålsmail/A 27538-2024 FSC-klagomål mail.docx", "A 27538-2024")</f>
        <v/>
      </c>
      <c r="X192">
        <f>HYPERLINK("https://klasma.github.io/Logging_0188/tillsyn/A 27538-2024 tillsynsbegäran.docx", "A 27538-2024")</f>
        <v/>
      </c>
      <c r="Y192">
        <f>HYPERLINK("https://klasma.github.io/Logging_0188/tillsynsmail/A 27538-2024 tillsynsbegäran mail.docx", "A 27538-2024")</f>
        <v/>
      </c>
    </row>
    <row r="193" ht="15" customHeight="1">
      <c r="A193" t="inlineStr">
        <is>
          <t>A 35764-2024</t>
        </is>
      </c>
      <c r="B193" s="1" t="n">
        <v>45532</v>
      </c>
      <c r="C193" s="1" t="n">
        <v>45657</v>
      </c>
      <c r="D193" t="inlineStr">
        <is>
          <t>STOCKHOLMS LÄN</t>
        </is>
      </c>
      <c r="E193" t="inlineStr">
        <is>
          <t>NORRTÄLJE</t>
        </is>
      </c>
      <c r="G193" t="n">
        <v>14.2</v>
      </c>
      <c r="H193" t="n">
        <v>1</v>
      </c>
      <c r="I193" t="n">
        <v>0</v>
      </c>
      <c r="J193" t="n">
        <v>0</v>
      </c>
      <c r="K193" t="n">
        <v>1</v>
      </c>
      <c r="L193" t="n">
        <v>0</v>
      </c>
      <c r="M193" t="n">
        <v>0</v>
      </c>
      <c r="N193" t="n">
        <v>0</v>
      </c>
      <c r="O193" t="n">
        <v>1</v>
      </c>
      <c r="P193" t="n">
        <v>1</v>
      </c>
      <c r="Q193" t="n">
        <v>1</v>
      </c>
      <c r="R193" s="2" t="inlineStr">
        <is>
          <t>Knärot</t>
        </is>
      </c>
      <c r="S193">
        <f>HYPERLINK("https://klasma.github.io/Logging_0188/artfynd/A 35764-2024 artfynd.xlsx", "A 35764-2024")</f>
        <v/>
      </c>
      <c r="T193">
        <f>HYPERLINK("https://klasma.github.io/Logging_0188/kartor/A 35764-2024 karta.png", "A 35764-2024")</f>
        <v/>
      </c>
      <c r="U193">
        <f>HYPERLINK("https://klasma.github.io/Logging_0188/knärot/A 35764-2024 karta knärot.png", "A 35764-2024")</f>
        <v/>
      </c>
      <c r="V193">
        <f>HYPERLINK("https://klasma.github.io/Logging_0188/klagomål/A 35764-2024 FSC-klagomål.docx", "A 35764-2024")</f>
        <v/>
      </c>
      <c r="W193">
        <f>HYPERLINK("https://klasma.github.io/Logging_0188/klagomålsmail/A 35764-2024 FSC-klagomål mail.docx", "A 35764-2024")</f>
        <v/>
      </c>
      <c r="X193">
        <f>HYPERLINK("https://klasma.github.io/Logging_0188/tillsyn/A 35764-2024 tillsynsbegäran.docx", "A 35764-2024")</f>
        <v/>
      </c>
      <c r="Y193">
        <f>HYPERLINK("https://klasma.github.io/Logging_0188/tillsynsmail/A 35764-2024 tillsynsbegäran mail.docx", "A 35764-2024")</f>
        <v/>
      </c>
    </row>
    <row r="194" ht="15" customHeight="1">
      <c r="A194" t="inlineStr">
        <is>
          <t>A 37918-2024</t>
        </is>
      </c>
      <c r="B194" s="1" t="n">
        <v>45544</v>
      </c>
      <c r="C194" s="1" t="n">
        <v>45657</v>
      </c>
      <c r="D194" t="inlineStr">
        <is>
          <t>STOCKHOLMS LÄN</t>
        </is>
      </c>
      <c r="E194" t="inlineStr">
        <is>
          <t>NORRTÄLJE</t>
        </is>
      </c>
      <c r="F194" t="inlineStr">
        <is>
          <t>Holmen skog AB</t>
        </is>
      </c>
      <c r="G194" t="n">
        <v>8.4</v>
      </c>
      <c r="H194" t="n">
        <v>1</v>
      </c>
      <c r="I194" t="n">
        <v>0</v>
      </c>
      <c r="J194" t="n">
        <v>0</v>
      </c>
      <c r="K194" t="n">
        <v>0</v>
      </c>
      <c r="L194" t="n">
        <v>1</v>
      </c>
      <c r="M194" t="n">
        <v>0</v>
      </c>
      <c r="N194" t="n">
        <v>0</v>
      </c>
      <c r="O194" t="n">
        <v>1</v>
      </c>
      <c r="P194" t="n">
        <v>1</v>
      </c>
      <c r="Q194" t="n">
        <v>1</v>
      </c>
      <c r="R194" s="2" t="inlineStr">
        <is>
          <t>Asknätfjäril</t>
        </is>
      </c>
      <c r="S194">
        <f>HYPERLINK("https://klasma.github.io/Logging_0188/artfynd/A 37918-2024 artfynd.xlsx", "A 37918-2024")</f>
        <v/>
      </c>
      <c r="T194">
        <f>HYPERLINK("https://klasma.github.io/Logging_0188/kartor/A 37918-2024 karta.png", "A 37918-2024")</f>
        <v/>
      </c>
      <c r="V194">
        <f>HYPERLINK("https://klasma.github.io/Logging_0188/klagomål/A 37918-2024 FSC-klagomål.docx", "A 37918-2024")</f>
        <v/>
      </c>
      <c r="W194">
        <f>HYPERLINK("https://klasma.github.io/Logging_0188/klagomålsmail/A 37918-2024 FSC-klagomål mail.docx", "A 37918-2024")</f>
        <v/>
      </c>
      <c r="X194">
        <f>HYPERLINK("https://klasma.github.io/Logging_0188/tillsyn/A 37918-2024 tillsynsbegäran.docx", "A 37918-2024")</f>
        <v/>
      </c>
      <c r="Y194">
        <f>HYPERLINK("https://klasma.github.io/Logging_0188/tillsynsmail/A 37918-2024 tillsynsbegäran mail.docx", "A 37918-2024")</f>
        <v/>
      </c>
    </row>
    <row r="195" ht="15" customHeight="1">
      <c r="A195" t="inlineStr">
        <is>
          <t>A 44547-2024</t>
        </is>
      </c>
      <c r="B195" s="1" t="n">
        <v>45574</v>
      </c>
      <c r="C195" s="1" t="n">
        <v>45657</v>
      </c>
      <c r="D195" t="inlineStr">
        <is>
          <t>STOCKHOLMS LÄN</t>
        </is>
      </c>
      <c r="E195" t="inlineStr">
        <is>
          <t>NORRTÄLJE</t>
        </is>
      </c>
      <c r="G195" t="n">
        <v>11.1</v>
      </c>
      <c r="H195" t="n">
        <v>0</v>
      </c>
      <c r="I195" t="n">
        <v>0</v>
      </c>
      <c r="J195" t="n">
        <v>1</v>
      </c>
      <c r="K195" t="n">
        <v>0</v>
      </c>
      <c r="L195" t="n">
        <v>0</v>
      </c>
      <c r="M195" t="n">
        <v>0</v>
      </c>
      <c r="N195" t="n">
        <v>0</v>
      </c>
      <c r="O195" t="n">
        <v>1</v>
      </c>
      <c r="P195" t="n">
        <v>0</v>
      </c>
      <c r="Q195" t="n">
        <v>1</v>
      </c>
      <c r="R195" s="2" t="inlineStr">
        <is>
          <t>Skogsklocka</t>
        </is>
      </c>
      <c r="S195">
        <f>HYPERLINK("https://klasma.github.io/Logging_0188/artfynd/A 44547-2024 artfynd.xlsx", "A 44547-2024")</f>
        <v/>
      </c>
      <c r="T195">
        <f>HYPERLINK("https://klasma.github.io/Logging_0188/kartor/A 44547-2024 karta.png", "A 44547-2024")</f>
        <v/>
      </c>
      <c r="V195">
        <f>HYPERLINK("https://klasma.github.io/Logging_0188/klagomål/A 44547-2024 FSC-klagomål.docx", "A 44547-2024")</f>
        <v/>
      </c>
      <c r="W195">
        <f>HYPERLINK("https://klasma.github.io/Logging_0188/klagomålsmail/A 44547-2024 FSC-klagomål mail.docx", "A 44547-2024")</f>
        <v/>
      </c>
      <c r="X195">
        <f>HYPERLINK("https://klasma.github.io/Logging_0188/tillsyn/A 44547-2024 tillsynsbegäran.docx", "A 44547-2024")</f>
        <v/>
      </c>
      <c r="Y195">
        <f>HYPERLINK("https://klasma.github.io/Logging_0188/tillsynsmail/A 44547-2024 tillsynsbegäran mail.docx", "A 44547-2024")</f>
        <v/>
      </c>
    </row>
    <row r="196" ht="15" customHeight="1">
      <c r="A196" t="inlineStr">
        <is>
          <t>A 52363-2024</t>
        </is>
      </c>
      <c r="B196" s="1" t="n">
        <v>45609</v>
      </c>
      <c r="C196" s="1" t="n">
        <v>45657</v>
      </c>
      <c r="D196" t="inlineStr">
        <is>
          <t>STOCKHOLMS LÄN</t>
        </is>
      </c>
      <c r="E196" t="inlineStr">
        <is>
          <t>NORRTÄLJE</t>
        </is>
      </c>
      <c r="G196" t="n">
        <v>9.199999999999999</v>
      </c>
      <c r="H196" t="n">
        <v>1</v>
      </c>
      <c r="I196" t="n">
        <v>0</v>
      </c>
      <c r="J196" t="n">
        <v>0</v>
      </c>
      <c r="K196" t="n">
        <v>0</v>
      </c>
      <c r="L196" t="n">
        <v>0</v>
      </c>
      <c r="M196" t="n">
        <v>0</v>
      </c>
      <c r="N196" t="n">
        <v>0</v>
      </c>
      <c r="O196" t="n">
        <v>0</v>
      </c>
      <c r="P196" t="n">
        <v>0</v>
      </c>
      <c r="Q196" t="n">
        <v>1</v>
      </c>
      <c r="R196" s="2" t="inlineStr">
        <is>
          <t>Revlummer</t>
        </is>
      </c>
      <c r="S196">
        <f>HYPERLINK("https://klasma.github.io/Logging_0188/artfynd/A 52363-2024 artfynd.xlsx", "A 52363-2024")</f>
        <v/>
      </c>
      <c r="T196">
        <f>HYPERLINK("https://klasma.github.io/Logging_0188/kartor/A 52363-2024 karta.png", "A 52363-2024")</f>
        <v/>
      </c>
      <c r="V196">
        <f>HYPERLINK("https://klasma.github.io/Logging_0188/klagomål/A 52363-2024 FSC-klagomål.docx", "A 52363-2024")</f>
        <v/>
      </c>
      <c r="W196">
        <f>HYPERLINK("https://klasma.github.io/Logging_0188/klagomålsmail/A 52363-2024 FSC-klagomål mail.docx", "A 52363-2024")</f>
        <v/>
      </c>
      <c r="X196">
        <f>HYPERLINK("https://klasma.github.io/Logging_0188/tillsyn/A 52363-2024 tillsynsbegäran.docx", "A 52363-2024")</f>
        <v/>
      </c>
      <c r="Y196">
        <f>HYPERLINK("https://klasma.github.io/Logging_0188/tillsynsmail/A 52363-2024 tillsynsbegäran mail.docx", "A 52363-2024")</f>
        <v/>
      </c>
    </row>
    <row r="197" ht="15" customHeight="1">
      <c r="A197" t="inlineStr">
        <is>
          <t>A 52611-2024</t>
        </is>
      </c>
      <c r="B197" s="1" t="n">
        <v>45609</v>
      </c>
      <c r="C197" s="1" t="n">
        <v>45657</v>
      </c>
      <c r="D197" t="inlineStr">
        <is>
          <t>STOCKHOLMS LÄN</t>
        </is>
      </c>
      <c r="E197" t="inlineStr">
        <is>
          <t>NORRTÄLJE</t>
        </is>
      </c>
      <c r="G197" t="n">
        <v>10.6</v>
      </c>
      <c r="H197" t="n">
        <v>1</v>
      </c>
      <c r="I197" t="n">
        <v>0</v>
      </c>
      <c r="J197" t="n">
        <v>0</v>
      </c>
      <c r="K197" t="n">
        <v>0</v>
      </c>
      <c r="L197" t="n">
        <v>0</v>
      </c>
      <c r="M197" t="n">
        <v>0</v>
      </c>
      <c r="N197" t="n">
        <v>0</v>
      </c>
      <c r="O197" t="n">
        <v>0</v>
      </c>
      <c r="P197" t="n">
        <v>0</v>
      </c>
      <c r="Q197" t="n">
        <v>1</v>
      </c>
      <c r="R197" s="2" t="inlineStr">
        <is>
          <t>Blåsippa</t>
        </is>
      </c>
      <c r="S197">
        <f>HYPERLINK("https://klasma.github.io/Logging_0188/artfynd/A 52611-2024 artfynd.xlsx", "A 52611-2024")</f>
        <v/>
      </c>
      <c r="T197">
        <f>HYPERLINK("https://klasma.github.io/Logging_0188/kartor/A 52611-2024 karta.png", "A 52611-2024")</f>
        <v/>
      </c>
      <c r="V197">
        <f>HYPERLINK("https://klasma.github.io/Logging_0188/klagomål/A 52611-2024 FSC-klagomål.docx", "A 52611-2024")</f>
        <v/>
      </c>
      <c r="W197">
        <f>HYPERLINK("https://klasma.github.io/Logging_0188/klagomålsmail/A 52611-2024 FSC-klagomål mail.docx", "A 52611-2024")</f>
        <v/>
      </c>
      <c r="X197">
        <f>HYPERLINK("https://klasma.github.io/Logging_0188/tillsyn/A 52611-2024 tillsynsbegäran.docx", "A 52611-2024")</f>
        <v/>
      </c>
      <c r="Y197">
        <f>HYPERLINK("https://klasma.github.io/Logging_0188/tillsynsmail/A 52611-2024 tillsynsbegäran mail.docx", "A 52611-2024")</f>
        <v/>
      </c>
    </row>
    <row r="198" ht="15" customHeight="1">
      <c r="A198" t="inlineStr">
        <is>
          <t>A 56792-2024</t>
        </is>
      </c>
      <c r="B198" s="1" t="n">
        <v>45628</v>
      </c>
      <c r="C198" s="1" t="n">
        <v>45657</v>
      </c>
      <c r="D198" t="inlineStr">
        <is>
          <t>STOCKHOLMS LÄN</t>
        </is>
      </c>
      <c r="E198" t="inlineStr">
        <is>
          <t>NORRTÄLJE</t>
        </is>
      </c>
      <c r="G198" t="n">
        <v>9.699999999999999</v>
      </c>
      <c r="H198" t="n">
        <v>0</v>
      </c>
      <c r="I198" t="n">
        <v>0</v>
      </c>
      <c r="J198" t="n">
        <v>1</v>
      </c>
      <c r="K198" t="n">
        <v>0</v>
      </c>
      <c r="L198" t="n">
        <v>0</v>
      </c>
      <c r="M198" t="n">
        <v>0</v>
      </c>
      <c r="N198" t="n">
        <v>0</v>
      </c>
      <c r="O198" t="n">
        <v>1</v>
      </c>
      <c r="P198" t="n">
        <v>0</v>
      </c>
      <c r="Q198" t="n">
        <v>1</v>
      </c>
      <c r="R198" s="2" t="inlineStr">
        <is>
          <t>Kandelabersvamp</t>
        </is>
      </c>
      <c r="S198">
        <f>HYPERLINK("https://klasma.github.io/Logging_0188/artfynd/A 56792-2024 artfynd.xlsx", "A 56792-2024")</f>
        <v/>
      </c>
      <c r="T198">
        <f>HYPERLINK("https://klasma.github.io/Logging_0188/kartor/A 56792-2024 karta.png", "A 56792-2024")</f>
        <v/>
      </c>
      <c r="V198">
        <f>HYPERLINK("https://klasma.github.io/Logging_0188/klagomål/A 56792-2024 FSC-klagomål.docx", "A 56792-2024")</f>
        <v/>
      </c>
      <c r="W198">
        <f>HYPERLINK("https://klasma.github.io/Logging_0188/klagomålsmail/A 56792-2024 FSC-klagomål mail.docx", "A 56792-2024")</f>
        <v/>
      </c>
      <c r="X198">
        <f>HYPERLINK("https://klasma.github.io/Logging_0188/tillsyn/A 56792-2024 tillsynsbegäran.docx", "A 56792-2024")</f>
        <v/>
      </c>
      <c r="Y198">
        <f>HYPERLINK("https://klasma.github.io/Logging_0188/tillsynsmail/A 56792-2024 tillsynsbegäran mail.docx", "A 56792-2024")</f>
        <v/>
      </c>
    </row>
    <row r="199" ht="15" customHeight="1">
      <c r="A199" t="inlineStr">
        <is>
          <t>A 17752-2019</t>
        </is>
      </c>
      <c r="B199" s="1" t="n">
        <v>43556</v>
      </c>
      <c r="C199" s="1" t="n">
        <v>45657</v>
      </c>
      <c r="D199" t="inlineStr">
        <is>
          <t>STOCKHOLMS LÄN</t>
        </is>
      </c>
      <c r="E199" t="inlineStr">
        <is>
          <t>NORRTÄLJE</t>
        </is>
      </c>
      <c r="G199" t="n">
        <v>3</v>
      </c>
      <c r="H199" t="n">
        <v>0</v>
      </c>
      <c r="I199" t="n">
        <v>0</v>
      </c>
      <c r="J199" t="n">
        <v>0</v>
      </c>
      <c r="K199" t="n">
        <v>0</v>
      </c>
      <c r="L199" t="n">
        <v>0</v>
      </c>
      <c r="M199" t="n">
        <v>0</v>
      </c>
      <c r="N199" t="n">
        <v>0</v>
      </c>
      <c r="O199" t="n">
        <v>0</v>
      </c>
      <c r="P199" t="n">
        <v>0</v>
      </c>
      <c r="Q199" t="n">
        <v>0</v>
      </c>
      <c r="R199" s="2" t="inlineStr"/>
    </row>
    <row r="200" ht="15" customHeight="1">
      <c r="A200" t="inlineStr">
        <is>
          <t>A 17795-2019</t>
        </is>
      </c>
      <c r="B200" s="1" t="n">
        <v>43556</v>
      </c>
      <c r="C200" s="1" t="n">
        <v>45657</v>
      </c>
      <c r="D200" t="inlineStr">
        <is>
          <t>STOCKHOLMS LÄN</t>
        </is>
      </c>
      <c r="E200" t="inlineStr">
        <is>
          <t>NORRTÄLJE</t>
        </is>
      </c>
      <c r="G200" t="n">
        <v>0.8</v>
      </c>
      <c r="H200" t="n">
        <v>0</v>
      </c>
      <c r="I200" t="n">
        <v>0</v>
      </c>
      <c r="J200" t="n">
        <v>0</v>
      </c>
      <c r="K200" t="n">
        <v>0</v>
      </c>
      <c r="L200" t="n">
        <v>0</v>
      </c>
      <c r="M200" t="n">
        <v>0</v>
      </c>
      <c r="N200" t="n">
        <v>0</v>
      </c>
      <c r="O200" t="n">
        <v>0</v>
      </c>
      <c r="P200" t="n">
        <v>0</v>
      </c>
      <c r="Q200" t="n">
        <v>0</v>
      </c>
      <c r="R200" s="2" t="inlineStr"/>
    </row>
    <row r="201" ht="15" customHeight="1">
      <c r="A201" t="inlineStr">
        <is>
          <t>A 17757-2019</t>
        </is>
      </c>
      <c r="B201" s="1" t="n">
        <v>43556</v>
      </c>
      <c r="C201" s="1" t="n">
        <v>45657</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17963-2019</t>
        </is>
      </c>
      <c r="B202" s="1" t="n">
        <v>43557</v>
      </c>
      <c r="C202" s="1" t="n">
        <v>45657</v>
      </c>
      <c r="D202" t="inlineStr">
        <is>
          <t>STOCKHOLMS LÄN</t>
        </is>
      </c>
      <c r="E202" t="inlineStr">
        <is>
          <t>NORRTÄLJE</t>
        </is>
      </c>
      <c r="G202" t="n">
        <v>0.9</v>
      </c>
      <c r="H202" t="n">
        <v>0</v>
      </c>
      <c r="I202" t="n">
        <v>0</v>
      </c>
      <c r="J202" t="n">
        <v>0</v>
      </c>
      <c r="K202" t="n">
        <v>0</v>
      </c>
      <c r="L202" t="n">
        <v>0</v>
      </c>
      <c r="M202" t="n">
        <v>0</v>
      </c>
      <c r="N202" t="n">
        <v>0</v>
      </c>
      <c r="O202" t="n">
        <v>0</v>
      </c>
      <c r="P202" t="n">
        <v>0</v>
      </c>
      <c r="Q202" t="n">
        <v>0</v>
      </c>
      <c r="R202" s="2" t="inlineStr"/>
    </row>
    <row r="203" ht="15" customHeight="1">
      <c r="A203" t="inlineStr">
        <is>
          <t>A 18378-2019</t>
        </is>
      </c>
      <c r="B203" s="1" t="n">
        <v>43559</v>
      </c>
      <c r="C203" s="1" t="n">
        <v>45657</v>
      </c>
      <c r="D203" t="inlineStr">
        <is>
          <t>STOCKHOLMS LÄN</t>
        </is>
      </c>
      <c r="E203" t="inlineStr">
        <is>
          <t>NORRTÄLJE</t>
        </is>
      </c>
      <c r="G203" t="n">
        <v>5.8</v>
      </c>
      <c r="H203" t="n">
        <v>0</v>
      </c>
      <c r="I203" t="n">
        <v>0</v>
      </c>
      <c r="J203" t="n">
        <v>0</v>
      </c>
      <c r="K203" t="n">
        <v>0</v>
      </c>
      <c r="L203" t="n">
        <v>0</v>
      </c>
      <c r="M203" t="n">
        <v>0</v>
      </c>
      <c r="N203" t="n">
        <v>0</v>
      </c>
      <c r="O203" t="n">
        <v>0</v>
      </c>
      <c r="P203" t="n">
        <v>0</v>
      </c>
      <c r="Q203" t="n">
        <v>0</v>
      </c>
      <c r="R203" s="2" t="inlineStr"/>
    </row>
    <row r="204" ht="15" customHeight="1">
      <c r="A204" t="inlineStr">
        <is>
          <t>A 18664-2019</t>
        </is>
      </c>
      <c r="B204" s="1" t="n">
        <v>43560</v>
      </c>
      <c r="C204" s="1" t="n">
        <v>45657</v>
      </c>
      <c r="D204" t="inlineStr">
        <is>
          <t>STOCKHOLMS LÄN</t>
        </is>
      </c>
      <c r="E204" t="inlineStr">
        <is>
          <t>NORRTÄLJE</t>
        </is>
      </c>
      <c r="G204" t="n">
        <v>0.6</v>
      </c>
      <c r="H204" t="n">
        <v>0</v>
      </c>
      <c r="I204" t="n">
        <v>0</v>
      </c>
      <c r="J204" t="n">
        <v>0</v>
      </c>
      <c r="K204" t="n">
        <v>0</v>
      </c>
      <c r="L204" t="n">
        <v>0</v>
      </c>
      <c r="M204" t="n">
        <v>0</v>
      </c>
      <c r="N204" t="n">
        <v>0</v>
      </c>
      <c r="O204" t="n">
        <v>0</v>
      </c>
      <c r="P204" t="n">
        <v>0</v>
      </c>
      <c r="Q204" t="n">
        <v>0</v>
      </c>
      <c r="R204" s="2" t="inlineStr"/>
    </row>
    <row r="205" ht="15" customHeight="1">
      <c r="A205" t="inlineStr">
        <is>
          <t>A 18767-2019</t>
        </is>
      </c>
      <c r="B205" s="1" t="n">
        <v>43560</v>
      </c>
      <c r="C205" s="1" t="n">
        <v>45657</v>
      </c>
      <c r="D205" t="inlineStr">
        <is>
          <t>STOCKHOLMS LÄN</t>
        </is>
      </c>
      <c r="E205" t="inlineStr">
        <is>
          <t>NORRTÄLJE</t>
        </is>
      </c>
      <c r="G205" t="n">
        <v>4</v>
      </c>
      <c r="H205" t="n">
        <v>0</v>
      </c>
      <c r="I205" t="n">
        <v>0</v>
      </c>
      <c r="J205" t="n">
        <v>0</v>
      </c>
      <c r="K205" t="n">
        <v>0</v>
      </c>
      <c r="L205" t="n">
        <v>0</v>
      </c>
      <c r="M205" t="n">
        <v>0</v>
      </c>
      <c r="N205" t="n">
        <v>0</v>
      </c>
      <c r="O205" t="n">
        <v>0</v>
      </c>
      <c r="P205" t="n">
        <v>0</v>
      </c>
      <c r="Q205" t="n">
        <v>0</v>
      </c>
      <c r="R205" s="2" t="inlineStr"/>
    </row>
    <row r="206" ht="15" customHeight="1">
      <c r="A206" t="inlineStr">
        <is>
          <t>A 18820-2019</t>
        </is>
      </c>
      <c r="B206" s="1" t="n">
        <v>43563</v>
      </c>
      <c r="C206" s="1" t="n">
        <v>45657</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18890-2019</t>
        </is>
      </c>
      <c r="B207" s="1" t="n">
        <v>43563</v>
      </c>
      <c r="C207" s="1" t="n">
        <v>45657</v>
      </c>
      <c r="D207" t="inlineStr">
        <is>
          <t>STOCKHOLMS LÄN</t>
        </is>
      </c>
      <c r="E207" t="inlineStr">
        <is>
          <t>NORRTÄLJE</t>
        </is>
      </c>
      <c r="G207" t="n">
        <v>4.7</v>
      </c>
      <c r="H207" t="n">
        <v>0</v>
      </c>
      <c r="I207" t="n">
        <v>0</v>
      </c>
      <c r="J207" t="n">
        <v>0</v>
      </c>
      <c r="K207" t="n">
        <v>0</v>
      </c>
      <c r="L207" t="n">
        <v>0</v>
      </c>
      <c r="M207" t="n">
        <v>0</v>
      </c>
      <c r="N207" t="n">
        <v>0</v>
      </c>
      <c r="O207" t="n">
        <v>0</v>
      </c>
      <c r="P207" t="n">
        <v>0</v>
      </c>
      <c r="Q207" t="n">
        <v>0</v>
      </c>
      <c r="R207" s="2" t="inlineStr"/>
    </row>
    <row r="208" ht="15" customHeight="1">
      <c r="A208" t="inlineStr">
        <is>
          <t>A 18909-2019</t>
        </is>
      </c>
      <c r="B208" s="1" t="n">
        <v>43563</v>
      </c>
      <c r="C208" s="1" t="n">
        <v>45657</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19026-2019</t>
        </is>
      </c>
      <c r="B209" s="1" t="n">
        <v>43563</v>
      </c>
      <c r="C209" s="1" t="n">
        <v>45657</v>
      </c>
      <c r="D209" t="inlineStr">
        <is>
          <t>STOCKHOLMS LÄN</t>
        </is>
      </c>
      <c r="E209" t="inlineStr">
        <is>
          <t>NORRTÄLJE</t>
        </is>
      </c>
      <c r="G209" t="n">
        <v>4.4</v>
      </c>
      <c r="H209" t="n">
        <v>0</v>
      </c>
      <c r="I209" t="n">
        <v>0</v>
      </c>
      <c r="J209" t="n">
        <v>0</v>
      </c>
      <c r="K209" t="n">
        <v>0</v>
      </c>
      <c r="L209" t="n">
        <v>0</v>
      </c>
      <c r="M209" t="n">
        <v>0</v>
      </c>
      <c r="N209" t="n">
        <v>0</v>
      </c>
      <c r="O209" t="n">
        <v>0</v>
      </c>
      <c r="P209" t="n">
        <v>0</v>
      </c>
      <c r="Q209" t="n">
        <v>0</v>
      </c>
      <c r="R209" s="2" t="inlineStr"/>
    </row>
    <row r="210" ht="15" customHeight="1">
      <c r="A210" t="inlineStr">
        <is>
          <t>A 19014-2019</t>
        </is>
      </c>
      <c r="B210" s="1" t="n">
        <v>43563</v>
      </c>
      <c r="C210" s="1" t="n">
        <v>45657</v>
      </c>
      <c r="D210" t="inlineStr">
        <is>
          <t>STOCKHOLMS LÄN</t>
        </is>
      </c>
      <c r="E210" t="inlineStr">
        <is>
          <t>NORRTÄLJE</t>
        </is>
      </c>
      <c r="G210" t="n">
        <v>2.2</v>
      </c>
      <c r="H210" t="n">
        <v>0</v>
      </c>
      <c r="I210" t="n">
        <v>0</v>
      </c>
      <c r="J210" t="n">
        <v>0</v>
      </c>
      <c r="K210" t="n">
        <v>0</v>
      </c>
      <c r="L210" t="n">
        <v>0</v>
      </c>
      <c r="M210" t="n">
        <v>0</v>
      </c>
      <c r="N210" t="n">
        <v>0</v>
      </c>
      <c r="O210" t="n">
        <v>0</v>
      </c>
      <c r="P210" t="n">
        <v>0</v>
      </c>
      <c r="Q210" t="n">
        <v>0</v>
      </c>
      <c r="R210" s="2" t="inlineStr"/>
    </row>
    <row r="211" ht="15" customHeight="1">
      <c r="A211" t="inlineStr">
        <is>
          <t>A 19247-2019</t>
        </is>
      </c>
      <c r="B211" s="1" t="n">
        <v>43564</v>
      </c>
      <c r="C211" s="1" t="n">
        <v>45657</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19255-2019</t>
        </is>
      </c>
      <c r="B212" s="1" t="n">
        <v>43564</v>
      </c>
      <c r="C212" s="1" t="n">
        <v>45657</v>
      </c>
      <c r="D212" t="inlineStr">
        <is>
          <t>STOCKHOLMS LÄN</t>
        </is>
      </c>
      <c r="E212" t="inlineStr">
        <is>
          <t>NORRTÄLJE</t>
        </is>
      </c>
      <c r="G212" t="n">
        <v>2.6</v>
      </c>
      <c r="H212" t="n">
        <v>0</v>
      </c>
      <c r="I212" t="n">
        <v>0</v>
      </c>
      <c r="J212" t="n">
        <v>0</v>
      </c>
      <c r="K212" t="n">
        <v>0</v>
      </c>
      <c r="L212" t="n">
        <v>0</v>
      </c>
      <c r="M212" t="n">
        <v>0</v>
      </c>
      <c r="N212" t="n">
        <v>0</v>
      </c>
      <c r="O212" t="n">
        <v>0</v>
      </c>
      <c r="P212" t="n">
        <v>0</v>
      </c>
      <c r="Q212" t="n">
        <v>0</v>
      </c>
      <c r="R212" s="2" t="inlineStr"/>
    </row>
    <row r="213" ht="15" customHeight="1">
      <c r="A213" t="inlineStr">
        <is>
          <t>A 19302-2019</t>
        </is>
      </c>
      <c r="B213" s="1" t="n">
        <v>43565</v>
      </c>
      <c r="C213" s="1" t="n">
        <v>45657</v>
      </c>
      <c r="D213" t="inlineStr">
        <is>
          <t>STOCKHOLMS LÄN</t>
        </is>
      </c>
      <c r="E213" t="inlineStr">
        <is>
          <t>NORRTÄLJE</t>
        </is>
      </c>
      <c r="F213" t="inlineStr">
        <is>
          <t>Kommuner</t>
        </is>
      </c>
      <c r="G213" t="n">
        <v>4.2</v>
      </c>
      <c r="H213" t="n">
        <v>0</v>
      </c>
      <c r="I213" t="n">
        <v>0</v>
      </c>
      <c r="J213" t="n">
        <v>0</v>
      </c>
      <c r="K213" t="n">
        <v>0</v>
      </c>
      <c r="L213" t="n">
        <v>0</v>
      </c>
      <c r="M213" t="n">
        <v>0</v>
      </c>
      <c r="N213" t="n">
        <v>0</v>
      </c>
      <c r="O213" t="n">
        <v>0</v>
      </c>
      <c r="P213" t="n">
        <v>0</v>
      </c>
      <c r="Q213" t="n">
        <v>0</v>
      </c>
      <c r="R213" s="2" t="inlineStr"/>
    </row>
    <row r="214" ht="15" customHeight="1">
      <c r="A214" t="inlineStr">
        <is>
          <t>A 19301-2019</t>
        </is>
      </c>
      <c r="B214" s="1" t="n">
        <v>43565</v>
      </c>
      <c r="C214" s="1" t="n">
        <v>45657</v>
      </c>
      <c r="D214" t="inlineStr">
        <is>
          <t>STOCKHOLMS LÄN</t>
        </is>
      </c>
      <c r="E214" t="inlineStr">
        <is>
          <t>NORRTÄLJE</t>
        </is>
      </c>
      <c r="F214" t="inlineStr">
        <is>
          <t>Kommuner</t>
        </is>
      </c>
      <c r="G214" t="n">
        <v>3.9</v>
      </c>
      <c r="H214" t="n">
        <v>0</v>
      </c>
      <c r="I214" t="n">
        <v>0</v>
      </c>
      <c r="J214" t="n">
        <v>0</v>
      </c>
      <c r="K214" t="n">
        <v>0</v>
      </c>
      <c r="L214" t="n">
        <v>0</v>
      </c>
      <c r="M214" t="n">
        <v>0</v>
      </c>
      <c r="N214" t="n">
        <v>0</v>
      </c>
      <c r="O214" t="n">
        <v>0</v>
      </c>
      <c r="P214" t="n">
        <v>0</v>
      </c>
      <c r="Q214" t="n">
        <v>0</v>
      </c>
      <c r="R214" s="2" t="inlineStr"/>
    </row>
    <row r="215" ht="15" customHeight="1">
      <c r="A215" t="inlineStr">
        <is>
          <t>A 19297-2019</t>
        </is>
      </c>
      <c r="B215" s="1" t="n">
        <v>43565</v>
      </c>
      <c r="C215" s="1" t="n">
        <v>45657</v>
      </c>
      <c r="D215" t="inlineStr">
        <is>
          <t>STOCKHOLMS LÄN</t>
        </is>
      </c>
      <c r="E215" t="inlineStr">
        <is>
          <t>NORRTÄLJE</t>
        </is>
      </c>
      <c r="F215" t="inlineStr">
        <is>
          <t>Kommuner</t>
        </is>
      </c>
      <c r="G215" t="n">
        <v>1.2</v>
      </c>
      <c r="H215" t="n">
        <v>0</v>
      </c>
      <c r="I215" t="n">
        <v>0</v>
      </c>
      <c r="J215" t="n">
        <v>0</v>
      </c>
      <c r="K215" t="n">
        <v>0</v>
      </c>
      <c r="L215" t="n">
        <v>0</v>
      </c>
      <c r="M215" t="n">
        <v>0</v>
      </c>
      <c r="N215" t="n">
        <v>0</v>
      </c>
      <c r="O215" t="n">
        <v>0</v>
      </c>
      <c r="P215" t="n">
        <v>0</v>
      </c>
      <c r="Q215" t="n">
        <v>0</v>
      </c>
      <c r="R215" s="2" t="inlineStr"/>
    </row>
    <row r="216" ht="15" customHeight="1">
      <c r="A216" t="inlineStr">
        <is>
          <t>A 19537-2019</t>
        </is>
      </c>
      <c r="B216" s="1" t="n">
        <v>43565</v>
      </c>
      <c r="C216" s="1" t="n">
        <v>45657</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19539-2019</t>
        </is>
      </c>
      <c r="B217" s="1" t="n">
        <v>43565</v>
      </c>
      <c r="C217" s="1" t="n">
        <v>45657</v>
      </c>
      <c r="D217" t="inlineStr">
        <is>
          <t>STOCKHOLMS LÄN</t>
        </is>
      </c>
      <c r="E217" t="inlineStr">
        <is>
          <t>NORRTÄLJE</t>
        </is>
      </c>
      <c r="G217" t="n">
        <v>2.4</v>
      </c>
      <c r="H217" t="n">
        <v>0</v>
      </c>
      <c r="I217" t="n">
        <v>0</v>
      </c>
      <c r="J217" t="n">
        <v>0</v>
      </c>
      <c r="K217" t="n">
        <v>0</v>
      </c>
      <c r="L217" t="n">
        <v>0</v>
      </c>
      <c r="M217" t="n">
        <v>0</v>
      </c>
      <c r="N217" t="n">
        <v>0</v>
      </c>
      <c r="O217" t="n">
        <v>0</v>
      </c>
      <c r="P217" t="n">
        <v>0</v>
      </c>
      <c r="Q217" t="n">
        <v>0</v>
      </c>
      <c r="R217" s="2" t="inlineStr"/>
    </row>
    <row r="218" ht="15" customHeight="1">
      <c r="A218" t="inlineStr">
        <is>
          <t>A 19540-2019</t>
        </is>
      </c>
      <c r="B218" s="1" t="n">
        <v>43565</v>
      </c>
      <c r="C218" s="1" t="n">
        <v>45657</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19638-2019</t>
        </is>
      </c>
      <c r="B219" s="1" t="n">
        <v>43566</v>
      </c>
      <c r="C219" s="1" t="n">
        <v>45657</v>
      </c>
      <c r="D219" t="inlineStr">
        <is>
          <t>STOCKHOLMS LÄN</t>
        </is>
      </c>
      <c r="E219" t="inlineStr">
        <is>
          <t>NORRTÄLJE</t>
        </is>
      </c>
      <c r="G219" t="n">
        <v>0.6</v>
      </c>
      <c r="H219" t="n">
        <v>0</v>
      </c>
      <c r="I219" t="n">
        <v>0</v>
      </c>
      <c r="J219" t="n">
        <v>0</v>
      </c>
      <c r="K219" t="n">
        <v>0</v>
      </c>
      <c r="L219" t="n">
        <v>0</v>
      </c>
      <c r="M219" t="n">
        <v>0</v>
      </c>
      <c r="N219" t="n">
        <v>0</v>
      </c>
      <c r="O219" t="n">
        <v>0</v>
      </c>
      <c r="P219" t="n">
        <v>0</v>
      </c>
      <c r="Q219" t="n">
        <v>0</v>
      </c>
      <c r="R219" s="2" t="inlineStr"/>
    </row>
    <row r="220" ht="15" customHeight="1">
      <c r="A220" t="inlineStr">
        <is>
          <t>A 19593-2019</t>
        </is>
      </c>
      <c r="B220" s="1" t="n">
        <v>43566</v>
      </c>
      <c r="C220" s="1" t="n">
        <v>45657</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19872-2019</t>
        </is>
      </c>
      <c r="B221" s="1" t="n">
        <v>43567</v>
      </c>
      <c r="C221" s="1" t="n">
        <v>45657</v>
      </c>
      <c r="D221" t="inlineStr">
        <is>
          <t>STOCKHOLMS LÄN</t>
        </is>
      </c>
      <c r="E221" t="inlineStr">
        <is>
          <t>NORRTÄLJE</t>
        </is>
      </c>
      <c r="G221" t="n">
        <v>1.8</v>
      </c>
      <c r="H221" t="n">
        <v>0</v>
      </c>
      <c r="I221" t="n">
        <v>0</v>
      </c>
      <c r="J221" t="n">
        <v>0</v>
      </c>
      <c r="K221" t="n">
        <v>0</v>
      </c>
      <c r="L221" t="n">
        <v>0</v>
      </c>
      <c r="M221" t="n">
        <v>0</v>
      </c>
      <c r="N221" t="n">
        <v>0</v>
      </c>
      <c r="O221" t="n">
        <v>0</v>
      </c>
      <c r="P221" t="n">
        <v>0</v>
      </c>
      <c r="Q221" t="n">
        <v>0</v>
      </c>
      <c r="R221" s="2" t="inlineStr"/>
    </row>
    <row r="222" ht="15" customHeight="1">
      <c r="A222" t="inlineStr">
        <is>
          <t>A 19811-2019</t>
        </is>
      </c>
      <c r="B222" s="1" t="n">
        <v>43567</v>
      </c>
      <c r="C222" s="1" t="n">
        <v>45657</v>
      </c>
      <c r="D222" t="inlineStr">
        <is>
          <t>STOCKHOLMS LÄN</t>
        </is>
      </c>
      <c r="E222" t="inlineStr">
        <is>
          <t>NORRTÄLJE</t>
        </is>
      </c>
      <c r="F222" t="inlineStr">
        <is>
          <t>Kommuner</t>
        </is>
      </c>
      <c r="G222" t="n">
        <v>1.6</v>
      </c>
      <c r="H222" t="n">
        <v>0</v>
      </c>
      <c r="I222" t="n">
        <v>0</v>
      </c>
      <c r="J222" t="n">
        <v>0</v>
      </c>
      <c r="K222" t="n">
        <v>0</v>
      </c>
      <c r="L222" t="n">
        <v>0</v>
      </c>
      <c r="M222" t="n">
        <v>0</v>
      </c>
      <c r="N222" t="n">
        <v>0</v>
      </c>
      <c r="O222" t="n">
        <v>0</v>
      </c>
      <c r="P222" t="n">
        <v>0</v>
      </c>
      <c r="Q222" t="n">
        <v>0</v>
      </c>
      <c r="R222" s="2" t="inlineStr"/>
    </row>
    <row r="223" ht="15" customHeight="1">
      <c r="A223" t="inlineStr">
        <is>
          <t>A 19812-2019</t>
        </is>
      </c>
      <c r="B223" s="1" t="n">
        <v>43567</v>
      </c>
      <c r="C223" s="1" t="n">
        <v>45657</v>
      </c>
      <c r="D223" t="inlineStr">
        <is>
          <t>STOCKHOLMS LÄN</t>
        </is>
      </c>
      <c r="E223" t="inlineStr">
        <is>
          <t>NORRTÄLJE</t>
        </is>
      </c>
      <c r="F223" t="inlineStr">
        <is>
          <t>Kommuner</t>
        </is>
      </c>
      <c r="G223" t="n">
        <v>1.5</v>
      </c>
      <c r="H223" t="n">
        <v>0</v>
      </c>
      <c r="I223" t="n">
        <v>0</v>
      </c>
      <c r="J223" t="n">
        <v>0</v>
      </c>
      <c r="K223" t="n">
        <v>0</v>
      </c>
      <c r="L223" t="n">
        <v>0</v>
      </c>
      <c r="M223" t="n">
        <v>0</v>
      </c>
      <c r="N223" t="n">
        <v>0</v>
      </c>
      <c r="O223" t="n">
        <v>0</v>
      </c>
      <c r="P223" t="n">
        <v>0</v>
      </c>
      <c r="Q223" t="n">
        <v>0</v>
      </c>
      <c r="R223" s="2" t="inlineStr"/>
    </row>
    <row r="224" ht="15" customHeight="1">
      <c r="A224" t="inlineStr">
        <is>
          <t>A 19931-2019</t>
        </is>
      </c>
      <c r="B224" s="1" t="n">
        <v>43568</v>
      </c>
      <c r="C224" s="1" t="n">
        <v>45657</v>
      </c>
      <c r="D224" t="inlineStr">
        <is>
          <t>STOCKHOLMS LÄN</t>
        </is>
      </c>
      <c r="E224" t="inlineStr">
        <is>
          <t>NORRTÄLJE</t>
        </is>
      </c>
      <c r="G224" t="n">
        <v>4.2</v>
      </c>
      <c r="H224" t="n">
        <v>0</v>
      </c>
      <c r="I224" t="n">
        <v>0</v>
      </c>
      <c r="J224" t="n">
        <v>0</v>
      </c>
      <c r="K224" t="n">
        <v>0</v>
      </c>
      <c r="L224" t="n">
        <v>0</v>
      </c>
      <c r="M224" t="n">
        <v>0</v>
      </c>
      <c r="N224" t="n">
        <v>0</v>
      </c>
      <c r="O224" t="n">
        <v>0</v>
      </c>
      <c r="P224" t="n">
        <v>0</v>
      </c>
      <c r="Q224" t="n">
        <v>0</v>
      </c>
      <c r="R224" s="2" t="inlineStr"/>
    </row>
    <row r="225" ht="15" customHeight="1">
      <c r="A225" t="inlineStr">
        <is>
          <t>A 20033-2019</t>
        </is>
      </c>
      <c r="B225" s="1" t="n">
        <v>43570</v>
      </c>
      <c r="C225" s="1" t="n">
        <v>45657</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20020-2019</t>
        </is>
      </c>
      <c r="B226" s="1" t="n">
        <v>43570</v>
      </c>
      <c r="C226" s="1" t="n">
        <v>45657</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20051-2019</t>
        </is>
      </c>
      <c r="B227" s="1" t="n">
        <v>43570</v>
      </c>
      <c r="C227" s="1" t="n">
        <v>45657</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20137-2019</t>
        </is>
      </c>
      <c r="B228" s="1" t="n">
        <v>43570</v>
      </c>
      <c r="C228" s="1" t="n">
        <v>45657</v>
      </c>
      <c r="D228" t="inlineStr">
        <is>
          <t>STOCKHOLMS LÄN</t>
        </is>
      </c>
      <c r="E228" t="inlineStr">
        <is>
          <t>NORRTÄLJE</t>
        </is>
      </c>
      <c r="G228" t="n">
        <v>3</v>
      </c>
      <c r="H228" t="n">
        <v>0</v>
      </c>
      <c r="I228" t="n">
        <v>0</v>
      </c>
      <c r="J228" t="n">
        <v>0</v>
      </c>
      <c r="K228" t="n">
        <v>0</v>
      </c>
      <c r="L228" t="n">
        <v>0</v>
      </c>
      <c r="M228" t="n">
        <v>0</v>
      </c>
      <c r="N228" t="n">
        <v>0</v>
      </c>
      <c r="O228" t="n">
        <v>0</v>
      </c>
      <c r="P228" t="n">
        <v>0</v>
      </c>
      <c r="Q228" t="n">
        <v>0</v>
      </c>
      <c r="R228" s="2" t="inlineStr"/>
    </row>
    <row r="229" ht="15" customHeight="1">
      <c r="A229" t="inlineStr">
        <is>
          <t>A 20007-2019</t>
        </is>
      </c>
      <c r="B229" s="1" t="n">
        <v>43570</v>
      </c>
      <c r="C229" s="1" t="n">
        <v>45657</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20052-2019</t>
        </is>
      </c>
      <c r="B230" s="1" t="n">
        <v>43570</v>
      </c>
      <c r="C230" s="1" t="n">
        <v>45657</v>
      </c>
      <c r="D230" t="inlineStr">
        <is>
          <t>STOCKHOLMS LÄN</t>
        </is>
      </c>
      <c r="E230" t="inlineStr">
        <is>
          <t>NORRTÄLJE</t>
        </is>
      </c>
      <c r="G230" t="n">
        <v>0.5</v>
      </c>
      <c r="H230" t="n">
        <v>0</v>
      </c>
      <c r="I230" t="n">
        <v>0</v>
      </c>
      <c r="J230" t="n">
        <v>0</v>
      </c>
      <c r="K230" t="n">
        <v>0</v>
      </c>
      <c r="L230" t="n">
        <v>0</v>
      </c>
      <c r="M230" t="n">
        <v>0</v>
      </c>
      <c r="N230" t="n">
        <v>0</v>
      </c>
      <c r="O230" t="n">
        <v>0</v>
      </c>
      <c r="P230" t="n">
        <v>0</v>
      </c>
      <c r="Q230" t="n">
        <v>0</v>
      </c>
      <c r="R230" s="2" t="inlineStr"/>
    </row>
    <row r="231" ht="15" customHeight="1">
      <c r="A231" t="inlineStr">
        <is>
          <t>A 20159-2019</t>
        </is>
      </c>
      <c r="B231" s="1" t="n">
        <v>43570</v>
      </c>
      <c r="C231" s="1" t="n">
        <v>45657</v>
      </c>
      <c r="D231" t="inlineStr">
        <is>
          <t>STOCKHOLMS LÄN</t>
        </is>
      </c>
      <c r="E231" t="inlineStr">
        <is>
          <t>NORRTÄLJE</t>
        </is>
      </c>
      <c r="F231" t="inlineStr">
        <is>
          <t>Kommuner</t>
        </is>
      </c>
      <c r="G231" t="n">
        <v>2</v>
      </c>
      <c r="H231" t="n">
        <v>0</v>
      </c>
      <c r="I231" t="n">
        <v>0</v>
      </c>
      <c r="J231" t="n">
        <v>0</v>
      </c>
      <c r="K231" t="n">
        <v>0</v>
      </c>
      <c r="L231" t="n">
        <v>0</v>
      </c>
      <c r="M231" t="n">
        <v>0</v>
      </c>
      <c r="N231" t="n">
        <v>0</v>
      </c>
      <c r="O231" t="n">
        <v>0</v>
      </c>
      <c r="P231" t="n">
        <v>0</v>
      </c>
      <c r="Q231" t="n">
        <v>0</v>
      </c>
      <c r="R231" s="2" t="inlineStr"/>
    </row>
    <row r="232" ht="15" customHeight="1">
      <c r="A232" t="inlineStr">
        <is>
          <t>A 20181-2019</t>
        </is>
      </c>
      <c r="B232" s="1" t="n">
        <v>43570</v>
      </c>
      <c r="C232" s="1" t="n">
        <v>45657</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20184-2019</t>
        </is>
      </c>
      <c r="B233" s="1" t="n">
        <v>43570</v>
      </c>
      <c r="C233" s="1" t="n">
        <v>45657</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20193-2019</t>
        </is>
      </c>
      <c r="B234" s="1" t="n">
        <v>43570</v>
      </c>
      <c r="C234" s="1" t="n">
        <v>45657</v>
      </c>
      <c r="D234" t="inlineStr">
        <is>
          <t>STOCKHOLMS LÄN</t>
        </is>
      </c>
      <c r="E234" t="inlineStr">
        <is>
          <t>NORRTÄLJE</t>
        </is>
      </c>
      <c r="G234" t="n">
        <v>1.7</v>
      </c>
      <c r="H234" t="n">
        <v>0</v>
      </c>
      <c r="I234" t="n">
        <v>0</v>
      </c>
      <c r="J234" t="n">
        <v>0</v>
      </c>
      <c r="K234" t="n">
        <v>0</v>
      </c>
      <c r="L234" t="n">
        <v>0</v>
      </c>
      <c r="M234" t="n">
        <v>0</v>
      </c>
      <c r="N234" t="n">
        <v>0</v>
      </c>
      <c r="O234" t="n">
        <v>0</v>
      </c>
      <c r="P234" t="n">
        <v>0</v>
      </c>
      <c r="Q234" t="n">
        <v>0</v>
      </c>
      <c r="R234" s="2" t="inlineStr"/>
    </row>
    <row r="235" ht="15" customHeight="1">
      <c r="A235" t="inlineStr">
        <is>
          <t>A 20090-2019</t>
        </is>
      </c>
      <c r="B235" s="1" t="n">
        <v>43570</v>
      </c>
      <c r="C235" s="1" t="n">
        <v>45657</v>
      </c>
      <c r="D235" t="inlineStr">
        <is>
          <t>STOCKHOLMS LÄN</t>
        </is>
      </c>
      <c r="E235" t="inlineStr">
        <is>
          <t>NORRTÄLJE</t>
        </is>
      </c>
      <c r="F235" t="inlineStr">
        <is>
          <t>Kommuner</t>
        </is>
      </c>
      <c r="G235" t="n">
        <v>1.3</v>
      </c>
      <c r="H235" t="n">
        <v>0</v>
      </c>
      <c r="I235" t="n">
        <v>0</v>
      </c>
      <c r="J235" t="n">
        <v>0</v>
      </c>
      <c r="K235" t="n">
        <v>0</v>
      </c>
      <c r="L235" t="n">
        <v>0</v>
      </c>
      <c r="M235" t="n">
        <v>0</v>
      </c>
      <c r="N235" t="n">
        <v>0</v>
      </c>
      <c r="O235" t="n">
        <v>0</v>
      </c>
      <c r="P235" t="n">
        <v>0</v>
      </c>
      <c r="Q235" t="n">
        <v>0</v>
      </c>
      <c r="R235" s="2" t="inlineStr"/>
    </row>
    <row r="236" ht="15" customHeight="1">
      <c r="A236" t="inlineStr">
        <is>
          <t>A 20165-2019</t>
        </is>
      </c>
      <c r="B236" s="1" t="n">
        <v>43570</v>
      </c>
      <c r="C236" s="1" t="n">
        <v>45657</v>
      </c>
      <c r="D236" t="inlineStr">
        <is>
          <t>STOCKHOLMS LÄN</t>
        </is>
      </c>
      <c r="E236" t="inlineStr">
        <is>
          <t>NORRTÄLJE</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20023-2019</t>
        </is>
      </c>
      <c r="B237" s="1" t="n">
        <v>43570</v>
      </c>
      <c r="C237" s="1" t="n">
        <v>45657</v>
      </c>
      <c r="D237" t="inlineStr">
        <is>
          <t>STOCKHOLMS LÄN</t>
        </is>
      </c>
      <c r="E237" t="inlineStr">
        <is>
          <t>NORRTÄLJE</t>
        </is>
      </c>
      <c r="G237" t="n">
        <v>5.1</v>
      </c>
      <c r="H237" t="n">
        <v>0</v>
      </c>
      <c r="I237" t="n">
        <v>0</v>
      </c>
      <c r="J237" t="n">
        <v>0</v>
      </c>
      <c r="K237" t="n">
        <v>0</v>
      </c>
      <c r="L237" t="n">
        <v>0</v>
      </c>
      <c r="M237" t="n">
        <v>0</v>
      </c>
      <c r="N237" t="n">
        <v>0</v>
      </c>
      <c r="O237" t="n">
        <v>0</v>
      </c>
      <c r="P237" t="n">
        <v>0</v>
      </c>
      <c r="Q237" t="n">
        <v>0</v>
      </c>
      <c r="R237" s="2" t="inlineStr"/>
    </row>
    <row r="238" ht="15" customHeight="1">
      <c r="A238" t="inlineStr">
        <is>
          <t>A 20531-2019</t>
        </is>
      </c>
      <c r="B238" s="1" t="n">
        <v>43572</v>
      </c>
      <c r="C238" s="1" t="n">
        <v>45657</v>
      </c>
      <c r="D238" t="inlineStr">
        <is>
          <t>STOCKHOLMS LÄN</t>
        </is>
      </c>
      <c r="E238" t="inlineStr">
        <is>
          <t>NORRTÄLJE</t>
        </is>
      </c>
      <c r="G238" t="n">
        <v>2</v>
      </c>
      <c r="H238" t="n">
        <v>0</v>
      </c>
      <c r="I238" t="n">
        <v>0</v>
      </c>
      <c r="J238" t="n">
        <v>0</v>
      </c>
      <c r="K238" t="n">
        <v>0</v>
      </c>
      <c r="L238" t="n">
        <v>0</v>
      </c>
      <c r="M238" t="n">
        <v>0</v>
      </c>
      <c r="N238" t="n">
        <v>0</v>
      </c>
      <c r="O238" t="n">
        <v>0</v>
      </c>
      <c r="P238" t="n">
        <v>0</v>
      </c>
      <c r="Q238" t="n">
        <v>0</v>
      </c>
      <c r="R238" s="2" t="inlineStr"/>
    </row>
    <row r="239" ht="15" customHeight="1">
      <c r="A239" t="inlineStr">
        <is>
          <t>A 20743-2019</t>
        </is>
      </c>
      <c r="B239" s="1" t="n">
        <v>43573</v>
      </c>
      <c r="C239" s="1" t="n">
        <v>45657</v>
      </c>
      <c r="D239" t="inlineStr">
        <is>
          <t>STOCKHOLMS LÄN</t>
        </is>
      </c>
      <c r="E239" t="inlineStr">
        <is>
          <t>NORRTÄLJE</t>
        </is>
      </c>
      <c r="G239" t="n">
        <v>2.2</v>
      </c>
      <c r="H239" t="n">
        <v>0</v>
      </c>
      <c r="I239" t="n">
        <v>0</v>
      </c>
      <c r="J239" t="n">
        <v>0</v>
      </c>
      <c r="K239" t="n">
        <v>0</v>
      </c>
      <c r="L239" t="n">
        <v>0</v>
      </c>
      <c r="M239" t="n">
        <v>0</v>
      </c>
      <c r="N239" t="n">
        <v>0</v>
      </c>
      <c r="O239" t="n">
        <v>0</v>
      </c>
      <c r="P239" t="n">
        <v>0</v>
      </c>
      <c r="Q239" t="n">
        <v>0</v>
      </c>
      <c r="R239" s="2" t="inlineStr"/>
    </row>
    <row r="240" ht="15" customHeight="1">
      <c r="A240" t="inlineStr">
        <is>
          <t>A 20809-2019</t>
        </is>
      </c>
      <c r="B240" s="1" t="n">
        <v>43573</v>
      </c>
      <c r="C240" s="1" t="n">
        <v>45657</v>
      </c>
      <c r="D240" t="inlineStr">
        <is>
          <t>STOCKHOLMS LÄN</t>
        </is>
      </c>
      <c r="E240" t="inlineStr">
        <is>
          <t>NORRTÄLJE</t>
        </is>
      </c>
      <c r="F240" t="inlineStr">
        <is>
          <t>Kommuner</t>
        </is>
      </c>
      <c r="G240" t="n">
        <v>2.2</v>
      </c>
      <c r="H240" t="n">
        <v>0</v>
      </c>
      <c r="I240" t="n">
        <v>0</v>
      </c>
      <c r="J240" t="n">
        <v>0</v>
      </c>
      <c r="K240" t="n">
        <v>0</v>
      </c>
      <c r="L240" t="n">
        <v>0</v>
      </c>
      <c r="M240" t="n">
        <v>0</v>
      </c>
      <c r="N240" t="n">
        <v>0</v>
      </c>
      <c r="O240" t="n">
        <v>0</v>
      </c>
      <c r="P240" t="n">
        <v>0</v>
      </c>
      <c r="Q240" t="n">
        <v>0</v>
      </c>
      <c r="R240" s="2" t="inlineStr"/>
    </row>
    <row r="241" ht="15" customHeight="1">
      <c r="A241" t="inlineStr">
        <is>
          <t>A 20925-2019</t>
        </is>
      </c>
      <c r="B241" s="1" t="n">
        <v>43578</v>
      </c>
      <c r="C241" s="1" t="n">
        <v>45657</v>
      </c>
      <c r="D241" t="inlineStr">
        <is>
          <t>STOCKHOLMS LÄN</t>
        </is>
      </c>
      <c r="E241" t="inlineStr">
        <is>
          <t>NORRTÄLJE</t>
        </is>
      </c>
      <c r="G241" t="n">
        <v>5</v>
      </c>
      <c r="H241" t="n">
        <v>0</v>
      </c>
      <c r="I241" t="n">
        <v>0</v>
      </c>
      <c r="J241" t="n">
        <v>0</v>
      </c>
      <c r="K241" t="n">
        <v>0</v>
      </c>
      <c r="L241" t="n">
        <v>0</v>
      </c>
      <c r="M241" t="n">
        <v>0</v>
      </c>
      <c r="N241" t="n">
        <v>0</v>
      </c>
      <c r="O241" t="n">
        <v>0</v>
      </c>
      <c r="P241" t="n">
        <v>0</v>
      </c>
      <c r="Q241" t="n">
        <v>0</v>
      </c>
      <c r="R241" s="2" t="inlineStr"/>
    </row>
    <row r="242" ht="15" customHeight="1">
      <c r="A242" t="inlineStr">
        <is>
          <t>A 21062-2019</t>
        </is>
      </c>
      <c r="B242" s="1" t="n">
        <v>43578</v>
      </c>
      <c r="C242" s="1" t="n">
        <v>45657</v>
      </c>
      <c r="D242" t="inlineStr">
        <is>
          <t>STOCKHOLMS LÄN</t>
        </is>
      </c>
      <c r="E242" t="inlineStr">
        <is>
          <t>NORRTÄLJE</t>
        </is>
      </c>
      <c r="G242" t="n">
        <v>2.7</v>
      </c>
      <c r="H242" t="n">
        <v>0</v>
      </c>
      <c r="I242" t="n">
        <v>0</v>
      </c>
      <c r="J242" t="n">
        <v>0</v>
      </c>
      <c r="K242" t="n">
        <v>0</v>
      </c>
      <c r="L242" t="n">
        <v>0</v>
      </c>
      <c r="M242" t="n">
        <v>0</v>
      </c>
      <c r="N242" t="n">
        <v>0</v>
      </c>
      <c r="O242" t="n">
        <v>0</v>
      </c>
      <c r="P242" t="n">
        <v>0</v>
      </c>
      <c r="Q242" t="n">
        <v>0</v>
      </c>
      <c r="R242" s="2" t="inlineStr"/>
    </row>
    <row r="243" ht="15" customHeight="1">
      <c r="A243" t="inlineStr">
        <is>
          <t>A 21441-2019</t>
        </is>
      </c>
      <c r="B243" s="1" t="n">
        <v>43580</v>
      </c>
      <c r="C243" s="1" t="n">
        <v>45657</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21521-2019</t>
        </is>
      </c>
      <c r="B244" s="1" t="n">
        <v>43580</v>
      </c>
      <c r="C244" s="1" t="n">
        <v>45657</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21508-2019</t>
        </is>
      </c>
      <c r="B245" s="1" t="n">
        <v>43580</v>
      </c>
      <c r="C245" s="1" t="n">
        <v>45657</v>
      </c>
      <c r="D245" t="inlineStr">
        <is>
          <t>STOCKHOLMS LÄN</t>
        </is>
      </c>
      <c r="E245" t="inlineStr">
        <is>
          <t>NORRTÄLJE</t>
        </is>
      </c>
      <c r="G245" t="n">
        <v>1.2</v>
      </c>
      <c r="H245" t="n">
        <v>0</v>
      </c>
      <c r="I245" t="n">
        <v>0</v>
      </c>
      <c r="J245" t="n">
        <v>0</v>
      </c>
      <c r="K245" t="n">
        <v>0</v>
      </c>
      <c r="L245" t="n">
        <v>0</v>
      </c>
      <c r="M245" t="n">
        <v>0</v>
      </c>
      <c r="N245" t="n">
        <v>0</v>
      </c>
      <c r="O245" t="n">
        <v>0</v>
      </c>
      <c r="P245" t="n">
        <v>0</v>
      </c>
      <c r="Q245" t="n">
        <v>0</v>
      </c>
      <c r="R245" s="2" t="inlineStr"/>
    </row>
    <row r="246" ht="15" customHeight="1">
      <c r="A246" t="inlineStr">
        <is>
          <t>A 21457-2019</t>
        </is>
      </c>
      <c r="B246" s="1" t="n">
        <v>43580</v>
      </c>
      <c r="C246" s="1" t="n">
        <v>45657</v>
      </c>
      <c r="D246" t="inlineStr">
        <is>
          <t>STOCKHOLMS LÄN</t>
        </is>
      </c>
      <c r="E246" t="inlineStr">
        <is>
          <t>NORRTÄLJE</t>
        </is>
      </c>
      <c r="G246" t="n">
        <v>2.6</v>
      </c>
      <c r="H246" t="n">
        <v>0</v>
      </c>
      <c r="I246" t="n">
        <v>0</v>
      </c>
      <c r="J246" t="n">
        <v>0</v>
      </c>
      <c r="K246" t="n">
        <v>0</v>
      </c>
      <c r="L246" t="n">
        <v>0</v>
      </c>
      <c r="M246" t="n">
        <v>0</v>
      </c>
      <c r="N246" t="n">
        <v>0</v>
      </c>
      <c r="O246" t="n">
        <v>0</v>
      </c>
      <c r="P246" t="n">
        <v>0</v>
      </c>
      <c r="Q246" t="n">
        <v>0</v>
      </c>
      <c r="R246" s="2" t="inlineStr"/>
    </row>
    <row r="247" ht="15" customHeight="1">
      <c r="A247" t="inlineStr">
        <is>
          <t>A 21501-2019</t>
        </is>
      </c>
      <c r="B247" s="1" t="n">
        <v>43580</v>
      </c>
      <c r="C247" s="1" t="n">
        <v>45657</v>
      </c>
      <c r="D247" t="inlineStr">
        <is>
          <t>STOCKHOLMS LÄN</t>
        </is>
      </c>
      <c r="E247" t="inlineStr">
        <is>
          <t>NORRTÄLJE</t>
        </is>
      </c>
      <c r="G247" t="n">
        <v>3.6</v>
      </c>
      <c r="H247" t="n">
        <v>0</v>
      </c>
      <c r="I247" t="n">
        <v>0</v>
      </c>
      <c r="J247" t="n">
        <v>0</v>
      </c>
      <c r="K247" t="n">
        <v>0</v>
      </c>
      <c r="L247" t="n">
        <v>0</v>
      </c>
      <c r="M247" t="n">
        <v>0</v>
      </c>
      <c r="N247" t="n">
        <v>0</v>
      </c>
      <c r="O247" t="n">
        <v>0</v>
      </c>
      <c r="P247" t="n">
        <v>0</v>
      </c>
      <c r="Q247" t="n">
        <v>0</v>
      </c>
      <c r="R247" s="2" t="inlineStr"/>
    </row>
    <row r="248" ht="15" customHeight="1">
      <c r="A248" t="inlineStr">
        <is>
          <t>A 21616-2019</t>
        </is>
      </c>
      <c r="B248" s="1" t="n">
        <v>43581</v>
      </c>
      <c r="C248" s="1" t="n">
        <v>45657</v>
      </c>
      <c r="D248" t="inlineStr">
        <is>
          <t>STOCKHOLMS LÄN</t>
        </is>
      </c>
      <c r="E248" t="inlineStr">
        <is>
          <t>NORRTÄLJE</t>
        </is>
      </c>
      <c r="G248" t="n">
        <v>5.3</v>
      </c>
      <c r="H248" t="n">
        <v>0</v>
      </c>
      <c r="I248" t="n">
        <v>0</v>
      </c>
      <c r="J248" t="n">
        <v>0</v>
      </c>
      <c r="K248" t="n">
        <v>0</v>
      </c>
      <c r="L248" t="n">
        <v>0</v>
      </c>
      <c r="M248" t="n">
        <v>0</v>
      </c>
      <c r="N248" t="n">
        <v>0</v>
      </c>
      <c r="O248" t="n">
        <v>0</v>
      </c>
      <c r="P248" t="n">
        <v>0</v>
      </c>
      <c r="Q248" t="n">
        <v>0</v>
      </c>
      <c r="R248" s="2" t="inlineStr"/>
    </row>
    <row r="249" ht="15" customHeight="1">
      <c r="A249" t="inlineStr">
        <is>
          <t>A 21662-2019</t>
        </is>
      </c>
      <c r="B249" s="1" t="n">
        <v>43581</v>
      </c>
      <c r="C249" s="1" t="n">
        <v>45657</v>
      </c>
      <c r="D249" t="inlineStr">
        <is>
          <t>STOCKHOLMS LÄN</t>
        </is>
      </c>
      <c r="E249" t="inlineStr">
        <is>
          <t>NORRTÄLJE</t>
        </is>
      </c>
      <c r="G249" t="n">
        <v>1.5</v>
      </c>
      <c r="H249" t="n">
        <v>0</v>
      </c>
      <c r="I249" t="n">
        <v>0</v>
      </c>
      <c r="J249" t="n">
        <v>0</v>
      </c>
      <c r="K249" t="n">
        <v>0</v>
      </c>
      <c r="L249" t="n">
        <v>0</v>
      </c>
      <c r="M249" t="n">
        <v>0</v>
      </c>
      <c r="N249" t="n">
        <v>0</v>
      </c>
      <c r="O249" t="n">
        <v>0</v>
      </c>
      <c r="P249" t="n">
        <v>0</v>
      </c>
      <c r="Q249" t="n">
        <v>0</v>
      </c>
      <c r="R249" s="2" t="inlineStr"/>
    </row>
    <row r="250" ht="15" customHeight="1">
      <c r="A250" t="inlineStr">
        <is>
          <t>A 21720-2019</t>
        </is>
      </c>
      <c r="B250" s="1" t="n">
        <v>43581</v>
      </c>
      <c r="C250" s="1" t="n">
        <v>45657</v>
      </c>
      <c r="D250" t="inlineStr">
        <is>
          <t>STOCKHOLMS LÄN</t>
        </is>
      </c>
      <c r="E250" t="inlineStr">
        <is>
          <t>NORRTÄLJE</t>
        </is>
      </c>
      <c r="F250" t="inlineStr">
        <is>
          <t>Kommuner</t>
        </is>
      </c>
      <c r="G250" t="n">
        <v>1.5</v>
      </c>
      <c r="H250" t="n">
        <v>0</v>
      </c>
      <c r="I250" t="n">
        <v>0</v>
      </c>
      <c r="J250" t="n">
        <v>0</v>
      </c>
      <c r="K250" t="n">
        <v>0</v>
      </c>
      <c r="L250" t="n">
        <v>0</v>
      </c>
      <c r="M250" t="n">
        <v>0</v>
      </c>
      <c r="N250" t="n">
        <v>0</v>
      </c>
      <c r="O250" t="n">
        <v>0</v>
      </c>
      <c r="P250" t="n">
        <v>0</v>
      </c>
      <c r="Q250" t="n">
        <v>0</v>
      </c>
      <c r="R250" s="2" t="inlineStr"/>
    </row>
    <row r="251" ht="15" customHeight="1">
      <c r="A251" t="inlineStr">
        <is>
          <t>A 21692-2019</t>
        </is>
      </c>
      <c r="B251" s="1" t="n">
        <v>43581</v>
      </c>
      <c r="C251" s="1" t="n">
        <v>45657</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21811-2019</t>
        </is>
      </c>
      <c r="B252" s="1" t="n">
        <v>43582</v>
      </c>
      <c r="C252" s="1" t="n">
        <v>45657</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22207-2019</t>
        </is>
      </c>
      <c r="B253" s="1" t="n">
        <v>43585</v>
      </c>
      <c r="C253" s="1" t="n">
        <v>45657</v>
      </c>
      <c r="D253" t="inlineStr">
        <is>
          <t>STOCKHOLMS LÄN</t>
        </is>
      </c>
      <c r="E253" t="inlineStr">
        <is>
          <t>NORRTÄLJE</t>
        </is>
      </c>
      <c r="G253" t="n">
        <v>0.8</v>
      </c>
      <c r="H253" t="n">
        <v>0</v>
      </c>
      <c r="I253" t="n">
        <v>0</v>
      </c>
      <c r="J253" t="n">
        <v>0</v>
      </c>
      <c r="K253" t="n">
        <v>0</v>
      </c>
      <c r="L253" t="n">
        <v>0</v>
      </c>
      <c r="M253" t="n">
        <v>0</v>
      </c>
      <c r="N253" t="n">
        <v>0</v>
      </c>
      <c r="O253" t="n">
        <v>0</v>
      </c>
      <c r="P253" t="n">
        <v>0</v>
      </c>
      <c r="Q253" t="n">
        <v>0</v>
      </c>
      <c r="R253" s="2" t="inlineStr"/>
    </row>
    <row r="254" ht="15" customHeight="1">
      <c r="A254" t="inlineStr">
        <is>
          <t>A 22211-2019</t>
        </is>
      </c>
      <c r="B254" s="1" t="n">
        <v>43585</v>
      </c>
      <c r="C254" s="1" t="n">
        <v>45657</v>
      </c>
      <c r="D254" t="inlineStr">
        <is>
          <t>STOCKHOLMS LÄN</t>
        </is>
      </c>
      <c r="E254" t="inlineStr">
        <is>
          <t>NORRTÄLJE</t>
        </is>
      </c>
      <c r="G254" t="n">
        <v>6.8</v>
      </c>
      <c r="H254" t="n">
        <v>0</v>
      </c>
      <c r="I254" t="n">
        <v>0</v>
      </c>
      <c r="J254" t="n">
        <v>0</v>
      </c>
      <c r="K254" t="n">
        <v>0</v>
      </c>
      <c r="L254" t="n">
        <v>0</v>
      </c>
      <c r="M254" t="n">
        <v>0</v>
      </c>
      <c r="N254" t="n">
        <v>0</v>
      </c>
      <c r="O254" t="n">
        <v>0</v>
      </c>
      <c r="P254" t="n">
        <v>0</v>
      </c>
      <c r="Q254" t="n">
        <v>0</v>
      </c>
      <c r="R254" s="2" t="inlineStr"/>
    </row>
    <row r="255" ht="15" customHeight="1">
      <c r="A255" t="inlineStr">
        <is>
          <t>A 22254-2019</t>
        </is>
      </c>
      <c r="B255" s="1" t="n">
        <v>43585</v>
      </c>
      <c r="C255" s="1" t="n">
        <v>45657</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22218-2019</t>
        </is>
      </c>
      <c r="B256" s="1" t="n">
        <v>43585</v>
      </c>
      <c r="C256" s="1" t="n">
        <v>45657</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22331-2019</t>
        </is>
      </c>
      <c r="B257" s="1" t="n">
        <v>43586</v>
      </c>
      <c r="C257" s="1" t="n">
        <v>45657</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22359-2019</t>
        </is>
      </c>
      <c r="B258" s="1" t="n">
        <v>43587</v>
      </c>
      <c r="C258" s="1" t="n">
        <v>45657</v>
      </c>
      <c r="D258" t="inlineStr">
        <is>
          <t>STOCKHOLMS LÄN</t>
        </is>
      </c>
      <c r="E258" t="inlineStr">
        <is>
          <t>NORRTÄLJE</t>
        </is>
      </c>
      <c r="G258" t="n">
        <v>1.1</v>
      </c>
      <c r="H258" t="n">
        <v>0</v>
      </c>
      <c r="I258" t="n">
        <v>0</v>
      </c>
      <c r="J258" t="n">
        <v>0</v>
      </c>
      <c r="K258" t="n">
        <v>0</v>
      </c>
      <c r="L258" t="n">
        <v>0</v>
      </c>
      <c r="M258" t="n">
        <v>0</v>
      </c>
      <c r="N258" t="n">
        <v>0</v>
      </c>
      <c r="O258" t="n">
        <v>0</v>
      </c>
      <c r="P258" t="n">
        <v>0</v>
      </c>
      <c r="Q258" t="n">
        <v>0</v>
      </c>
      <c r="R258" s="2" t="inlineStr"/>
    </row>
    <row r="259" ht="15" customHeight="1">
      <c r="A259" t="inlineStr">
        <is>
          <t>A 22422-2019</t>
        </is>
      </c>
      <c r="B259" s="1" t="n">
        <v>43587</v>
      </c>
      <c r="C259" s="1" t="n">
        <v>45657</v>
      </c>
      <c r="D259" t="inlineStr">
        <is>
          <t>STOCKHOLMS LÄN</t>
        </is>
      </c>
      <c r="E259" t="inlineStr">
        <is>
          <t>NORRTÄLJE</t>
        </is>
      </c>
      <c r="G259" t="n">
        <v>1.5</v>
      </c>
      <c r="H259" t="n">
        <v>0</v>
      </c>
      <c r="I259" t="n">
        <v>0</v>
      </c>
      <c r="J259" t="n">
        <v>0</v>
      </c>
      <c r="K259" t="n">
        <v>0</v>
      </c>
      <c r="L259" t="n">
        <v>0</v>
      </c>
      <c r="M259" t="n">
        <v>0</v>
      </c>
      <c r="N259" t="n">
        <v>0</v>
      </c>
      <c r="O259" t="n">
        <v>0</v>
      </c>
      <c r="P259" t="n">
        <v>0</v>
      </c>
      <c r="Q259" t="n">
        <v>0</v>
      </c>
      <c r="R259" s="2" t="inlineStr"/>
    </row>
    <row r="260" ht="15" customHeight="1">
      <c r="A260" t="inlineStr">
        <is>
          <t>A 22490-2019</t>
        </is>
      </c>
      <c r="B260" s="1" t="n">
        <v>43587</v>
      </c>
      <c r="C260" s="1" t="n">
        <v>45657</v>
      </c>
      <c r="D260" t="inlineStr">
        <is>
          <t>STOCKHOLMS LÄN</t>
        </is>
      </c>
      <c r="E260" t="inlineStr">
        <is>
          <t>NORRTÄLJE</t>
        </is>
      </c>
      <c r="G260" t="n">
        <v>1.4</v>
      </c>
      <c r="H260" t="n">
        <v>0</v>
      </c>
      <c r="I260" t="n">
        <v>0</v>
      </c>
      <c r="J260" t="n">
        <v>0</v>
      </c>
      <c r="K260" t="n">
        <v>0</v>
      </c>
      <c r="L260" t="n">
        <v>0</v>
      </c>
      <c r="M260" t="n">
        <v>0</v>
      </c>
      <c r="N260" t="n">
        <v>0</v>
      </c>
      <c r="O260" t="n">
        <v>0</v>
      </c>
      <c r="P260" t="n">
        <v>0</v>
      </c>
      <c r="Q260" t="n">
        <v>0</v>
      </c>
      <c r="R260" s="2" t="inlineStr"/>
    </row>
    <row r="261" ht="15" customHeight="1">
      <c r="A261" t="inlineStr">
        <is>
          <t>A 22496-2019</t>
        </is>
      </c>
      <c r="B261" s="1" t="n">
        <v>43587</v>
      </c>
      <c r="C261" s="1" t="n">
        <v>45657</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23711-2019</t>
        </is>
      </c>
      <c r="B262" s="1" t="n">
        <v>43594</v>
      </c>
      <c r="C262" s="1" t="n">
        <v>45657</v>
      </c>
      <c r="D262" t="inlineStr">
        <is>
          <t>STOCKHOLMS LÄN</t>
        </is>
      </c>
      <c r="E262" t="inlineStr">
        <is>
          <t>NORRTÄLJE</t>
        </is>
      </c>
      <c r="G262" t="n">
        <v>2.6</v>
      </c>
      <c r="H262" t="n">
        <v>0</v>
      </c>
      <c r="I262" t="n">
        <v>0</v>
      </c>
      <c r="J262" t="n">
        <v>0</v>
      </c>
      <c r="K262" t="n">
        <v>0</v>
      </c>
      <c r="L262" t="n">
        <v>0</v>
      </c>
      <c r="M262" t="n">
        <v>0</v>
      </c>
      <c r="N262" t="n">
        <v>0</v>
      </c>
      <c r="O262" t="n">
        <v>0</v>
      </c>
      <c r="P262" t="n">
        <v>0</v>
      </c>
      <c r="Q262" t="n">
        <v>0</v>
      </c>
      <c r="R262" s="2" t="inlineStr"/>
    </row>
    <row r="263" ht="15" customHeight="1">
      <c r="A263" t="inlineStr">
        <is>
          <t>A 23710-2019</t>
        </is>
      </c>
      <c r="B263" s="1" t="n">
        <v>43594</v>
      </c>
      <c r="C263" s="1" t="n">
        <v>45657</v>
      </c>
      <c r="D263" t="inlineStr">
        <is>
          <t>STOCKHOLMS LÄN</t>
        </is>
      </c>
      <c r="E263" t="inlineStr">
        <is>
          <t>NORRTÄLJE</t>
        </is>
      </c>
      <c r="G263" t="n">
        <v>2.2</v>
      </c>
      <c r="H263" t="n">
        <v>0</v>
      </c>
      <c r="I263" t="n">
        <v>0</v>
      </c>
      <c r="J263" t="n">
        <v>0</v>
      </c>
      <c r="K263" t="n">
        <v>0</v>
      </c>
      <c r="L263" t="n">
        <v>0</v>
      </c>
      <c r="M263" t="n">
        <v>0</v>
      </c>
      <c r="N263" t="n">
        <v>0</v>
      </c>
      <c r="O263" t="n">
        <v>0</v>
      </c>
      <c r="P263" t="n">
        <v>0</v>
      </c>
      <c r="Q263" t="n">
        <v>0</v>
      </c>
      <c r="R263" s="2" t="inlineStr"/>
    </row>
    <row r="264" ht="15" customHeight="1">
      <c r="A264" t="inlineStr">
        <is>
          <t>A 23862-2019</t>
        </is>
      </c>
      <c r="B264" s="1" t="n">
        <v>43595</v>
      </c>
      <c r="C264" s="1" t="n">
        <v>45657</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23878-2019</t>
        </is>
      </c>
      <c r="B265" s="1" t="n">
        <v>43595</v>
      </c>
      <c r="C265" s="1" t="n">
        <v>45657</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23961-2019</t>
        </is>
      </c>
      <c r="B266" s="1" t="n">
        <v>43597</v>
      </c>
      <c r="C266" s="1" t="n">
        <v>45657</v>
      </c>
      <c r="D266" t="inlineStr">
        <is>
          <t>STOCKHOLMS LÄN</t>
        </is>
      </c>
      <c r="E266" t="inlineStr">
        <is>
          <t>NORRTÄLJE</t>
        </is>
      </c>
      <c r="G266" t="n">
        <v>17.6</v>
      </c>
      <c r="H266" t="n">
        <v>0</v>
      </c>
      <c r="I266" t="n">
        <v>0</v>
      </c>
      <c r="J266" t="n">
        <v>0</v>
      </c>
      <c r="K266" t="n">
        <v>0</v>
      </c>
      <c r="L266" t="n">
        <v>0</v>
      </c>
      <c r="M266" t="n">
        <v>0</v>
      </c>
      <c r="N266" t="n">
        <v>0</v>
      </c>
      <c r="O266" t="n">
        <v>0</v>
      </c>
      <c r="P266" t="n">
        <v>0</v>
      </c>
      <c r="Q266" t="n">
        <v>0</v>
      </c>
      <c r="R266" s="2" t="inlineStr"/>
    </row>
    <row r="267" ht="15" customHeight="1">
      <c r="A267" t="inlineStr">
        <is>
          <t>A 23965-2019</t>
        </is>
      </c>
      <c r="B267" s="1" t="n">
        <v>43597</v>
      </c>
      <c r="C267" s="1" t="n">
        <v>45657</v>
      </c>
      <c r="D267" t="inlineStr">
        <is>
          <t>STOCKHOLMS LÄN</t>
        </is>
      </c>
      <c r="E267" t="inlineStr">
        <is>
          <t>NORRTÄLJE</t>
        </is>
      </c>
      <c r="G267" t="n">
        <v>6.1</v>
      </c>
      <c r="H267" t="n">
        <v>0</v>
      </c>
      <c r="I267" t="n">
        <v>0</v>
      </c>
      <c r="J267" t="n">
        <v>0</v>
      </c>
      <c r="K267" t="n">
        <v>0</v>
      </c>
      <c r="L267" t="n">
        <v>0</v>
      </c>
      <c r="M267" t="n">
        <v>0</v>
      </c>
      <c r="N267" t="n">
        <v>0</v>
      </c>
      <c r="O267" t="n">
        <v>0</v>
      </c>
      <c r="P267" t="n">
        <v>0</v>
      </c>
      <c r="Q267" t="n">
        <v>0</v>
      </c>
      <c r="R267" s="2" t="inlineStr"/>
    </row>
    <row r="268" ht="15" customHeight="1">
      <c r="A268" t="inlineStr">
        <is>
          <t>A 23963-2019</t>
        </is>
      </c>
      <c r="B268" s="1" t="n">
        <v>43597</v>
      </c>
      <c r="C268" s="1" t="n">
        <v>45657</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24124-2019</t>
        </is>
      </c>
      <c r="B269" s="1" t="n">
        <v>43598</v>
      </c>
      <c r="C269" s="1" t="n">
        <v>45657</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24058-2019</t>
        </is>
      </c>
      <c r="B270" s="1" t="n">
        <v>43598</v>
      </c>
      <c r="C270" s="1" t="n">
        <v>45657</v>
      </c>
      <c r="D270" t="inlineStr">
        <is>
          <t>STOCKHOLMS LÄN</t>
        </is>
      </c>
      <c r="E270" t="inlineStr">
        <is>
          <t>NORRTÄLJE</t>
        </is>
      </c>
      <c r="G270" t="n">
        <v>2.5</v>
      </c>
      <c r="H270" t="n">
        <v>0</v>
      </c>
      <c r="I270" t="n">
        <v>0</v>
      </c>
      <c r="J270" t="n">
        <v>0</v>
      </c>
      <c r="K270" t="n">
        <v>0</v>
      </c>
      <c r="L270" t="n">
        <v>0</v>
      </c>
      <c r="M270" t="n">
        <v>0</v>
      </c>
      <c r="N270" t="n">
        <v>0</v>
      </c>
      <c r="O270" t="n">
        <v>0</v>
      </c>
      <c r="P270" t="n">
        <v>0</v>
      </c>
      <c r="Q270" t="n">
        <v>0</v>
      </c>
      <c r="R270" s="2" t="inlineStr"/>
    </row>
    <row r="271" ht="15" customHeight="1">
      <c r="A271" t="inlineStr">
        <is>
          <t>A 24562-2019</t>
        </is>
      </c>
      <c r="B271" s="1" t="n">
        <v>43600</v>
      </c>
      <c r="C271" s="1" t="n">
        <v>45657</v>
      </c>
      <c r="D271" t="inlineStr">
        <is>
          <t>STOCKHOLMS LÄN</t>
        </is>
      </c>
      <c r="E271" t="inlineStr">
        <is>
          <t>NORRTÄLJE</t>
        </is>
      </c>
      <c r="G271" t="n">
        <v>1.1</v>
      </c>
      <c r="H271" t="n">
        <v>0</v>
      </c>
      <c r="I271" t="n">
        <v>0</v>
      </c>
      <c r="J271" t="n">
        <v>0</v>
      </c>
      <c r="K271" t="n">
        <v>0</v>
      </c>
      <c r="L271" t="n">
        <v>0</v>
      </c>
      <c r="M271" t="n">
        <v>0</v>
      </c>
      <c r="N271" t="n">
        <v>0</v>
      </c>
      <c r="O271" t="n">
        <v>0</v>
      </c>
      <c r="P271" t="n">
        <v>0</v>
      </c>
      <c r="Q271" t="n">
        <v>0</v>
      </c>
      <c r="R271" s="2" t="inlineStr"/>
    </row>
    <row r="272" ht="15" customHeight="1">
      <c r="A272" t="inlineStr">
        <is>
          <t>A 24721-2019</t>
        </is>
      </c>
      <c r="B272" s="1" t="n">
        <v>43601</v>
      </c>
      <c r="C272" s="1" t="n">
        <v>45657</v>
      </c>
      <c r="D272" t="inlineStr">
        <is>
          <t>STOCKHOLMS LÄN</t>
        </is>
      </c>
      <c r="E272" t="inlineStr">
        <is>
          <t>NORRTÄLJE</t>
        </is>
      </c>
      <c r="G272" t="n">
        <v>1.8</v>
      </c>
      <c r="H272" t="n">
        <v>0</v>
      </c>
      <c r="I272" t="n">
        <v>0</v>
      </c>
      <c r="J272" t="n">
        <v>0</v>
      </c>
      <c r="K272" t="n">
        <v>0</v>
      </c>
      <c r="L272" t="n">
        <v>0</v>
      </c>
      <c r="M272" t="n">
        <v>0</v>
      </c>
      <c r="N272" t="n">
        <v>0</v>
      </c>
      <c r="O272" t="n">
        <v>0</v>
      </c>
      <c r="P272" t="n">
        <v>0</v>
      </c>
      <c r="Q272" t="n">
        <v>0</v>
      </c>
      <c r="R272" s="2" t="inlineStr"/>
    </row>
    <row r="273" ht="15" customHeight="1">
      <c r="A273" t="inlineStr">
        <is>
          <t>A 25284-2019</t>
        </is>
      </c>
      <c r="B273" s="1" t="n">
        <v>43605</v>
      </c>
      <c r="C273" s="1" t="n">
        <v>45657</v>
      </c>
      <c r="D273" t="inlineStr">
        <is>
          <t>STOCKHOLMS LÄN</t>
        </is>
      </c>
      <c r="E273" t="inlineStr">
        <is>
          <t>NORRTÄLJE</t>
        </is>
      </c>
      <c r="G273" t="n">
        <v>3.6</v>
      </c>
      <c r="H273" t="n">
        <v>0</v>
      </c>
      <c r="I273" t="n">
        <v>0</v>
      </c>
      <c r="J273" t="n">
        <v>0</v>
      </c>
      <c r="K273" t="n">
        <v>0</v>
      </c>
      <c r="L273" t="n">
        <v>0</v>
      </c>
      <c r="M273" t="n">
        <v>0</v>
      </c>
      <c r="N273" t="n">
        <v>0</v>
      </c>
      <c r="O273" t="n">
        <v>0</v>
      </c>
      <c r="P273" t="n">
        <v>0</v>
      </c>
      <c r="Q273" t="n">
        <v>0</v>
      </c>
      <c r="R273" s="2" t="inlineStr"/>
    </row>
    <row r="274" ht="15" customHeight="1">
      <c r="A274" t="inlineStr">
        <is>
          <t>A 25535-2019</t>
        </is>
      </c>
      <c r="B274" s="1" t="n">
        <v>43606</v>
      </c>
      <c r="C274" s="1" t="n">
        <v>45657</v>
      </c>
      <c r="D274" t="inlineStr">
        <is>
          <t>STOCKHOLMS LÄN</t>
        </is>
      </c>
      <c r="E274" t="inlineStr">
        <is>
          <t>NORRTÄLJE</t>
        </is>
      </c>
      <c r="G274" t="n">
        <v>1.7</v>
      </c>
      <c r="H274" t="n">
        <v>0</v>
      </c>
      <c r="I274" t="n">
        <v>0</v>
      </c>
      <c r="J274" t="n">
        <v>0</v>
      </c>
      <c r="K274" t="n">
        <v>0</v>
      </c>
      <c r="L274" t="n">
        <v>0</v>
      </c>
      <c r="M274" t="n">
        <v>0</v>
      </c>
      <c r="N274" t="n">
        <v>0</v>
      </c>
      <c r="O274" t="n">
        <v>0</v>
      </c>
      <c r="P274" t="n">
        <v>0</v>
      </c>
      <c r="Q274" t="n">
        <v>0</v>
      </c>
      <c r="R274" s="2" t="inlineStr"/>
    </row>
    <row r="275" ht="15" customHeight="1">
      <c r="A275" t="inlineStr">
        <is>
          <t>A 25316-2019</t>
        </is>
      </c>
      <c r="B275" s="1" t="n">
        <v>43606</v>
      </c>
      <c r="C275" s="1" t="n">
        <v>45657</v>
      </c>
      <c r="D275" t="inlineStr">
        <is>
          <t>STOCKHOLMS LÄN</t>
        </is>
      </c>
      <c r="E275" t="inlineStr">
        <is>
          <t>NORRTÄLJE</t>
        </is>
      </c>
      <c r="G275" t="n">
        <v>1.6</v>
      </c>
      <c r="H275" t="n">
        <v>0</v>
      </c>
      <c r="I275" t="n">
        <v>0</v>
      </c>
      <c r="J275" t="n">
        <v>0</v>
      </c>
      <c r="K275" t="n">
        <v>0</v>
      </c>
      <c r="L275" t="n">
        <v>0</v>
      </c>
      <c r="M275" t="n">
        <v>0</v>
      </c>
      <c r="N275" t="n">
        <v>0</v>
      </c>
      <c r="O275" t="n">
        <v>0</v>
      </c>
      <c r="P275" t="n">
        <v>0</v>
      </c>
      <c r="Q275" t="n">
        <v>0</v>
      </c>
      <c r="R275" s="2" t="inlineStr"/>
    </row>
    <row r="276" ht="15" customHeight="1">
      <c r="A276" t="inlineStr">
        <is>
          <t>A 26374-2019</t>
        </is>
      </c>
      <c r="B276" s="1" t="n">
        <v>43606</v>
      </c>
      <c r="C276" s="1" t="n">
        <v>45657</v>
      </c>
      <c r="D276" t="inlineStr">
        <is>
          <t>STOCKHOLMS LÄN</t>
        </is>
      </c>
      <c r="E276" t="inlineStr">
        <is>
          <t>NORRTÄLJE</t>
        </is>
      </c>
      <c r="G276" t="n">
        <v>11.6</v>
      </c>
      <c r="H276" t="n">
        <v>0</v>
      </c>
      <c r="I276" t="n">
        <v>0</v>
      </c>
      <c r="J276" t="n">
        <v>0</v>
      </c>
      <c r="K276" t="n">
        <v>0</v>
      </c>
      <c r="L276" t="n">
        <v>0</v>
      </c>
      <c r="M276" t="n">
        <v>0</v>
      </c>
      <c r="N276" t="n">
        <v>0</v>
      </c>
      <c r="O276" t="n">
        <v>0</v>
      </c>
      <c r="P276" t="n">
        <v>0</v>
      </c>
      <c r="Q276" t="n">
        <v>0</v>
      </c>
      <c r="R276" s="2" t="inlineStr"/>
    </row>
    <row r="277" ht="15" customHeight="1">
      <c r="A277" t="inlineStr">
        <is>
          <t>A 25315-2019</t>
        </is>
      </c>
      <c r="B277" s="1" t="n">
        <v>43606</v>
      </c>
      <c r="C277" s="1" t="n">
        <v>45657</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25625-2019</t>
        </is>
      </c>
      <c r="B278" s="1" t="n">
        <v>43607</v>
      </c>
      <c r="C278" s="1" t="n">
        <v>45657</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26272-2019</t>
        </is>
      </c>
      <c r="B279" s="1" t="n">
        <v>43611</v>
      </c>
      <c r="C279" s="1" t="n">
        <v>45657</v>
      </c>
      <c r="D279" t="inlineStr">
        <is>
          <t>STOCKHOLMS LÄN</t>
        </is>
      </c>
      <c r="E279" t="inlineStr">
        <is>
          <t>NORRTÄLJE</t>
        </is>
      </c>
      <c r="G279" t="n">
        <v>0.8</v>
      </c>
      <c r="H279" t="n">
        <v>0</v>
      </c>
      <c r="I279" t="n">
        <v>0</v>
      </c>
      <c r="J279" t="n">
        <v>0</v>
      </c>
      <c r="K279" t="n">
        <v>0</v>
      </c>
      <c r="L279" t="n">
        <v>0</v>
      </c>
      <c r="M279" t="n">
        <v>0</v>
      </c>
      <c r="N279" t="n">
        <v>0</v>
      </c>
      <c r="O279" t="n">
        <v>0</v>
      </c>
      <c r="P279" t="n">
        <v>0</v>
      </c>
      <c r="Q279" t="n">
        <v>0</v>
      </c>
      <c r="R279" s="2" t="inlineStr"/>
    </row>
    <row r="280" ht="15" customHeight="1">
      <c r="A280" t="inlineStr">
        <is>
          <t>A 26620-2019</t>
        </is>
      </c>
      <c r="B280" s="1" t="n">
        <v>43612</v>
      </c>
      <c r="C280" s="1" t="n">
        <v>45657</v>
      </c>
      <c r="D280" t="inlineStr">
        <is>
          <t>STOCKHOLMS LÄN</t>
        </is>
      </c>
      <c r="E280" t="inlineStr">
        <is>
          <t>NORRTÄLJE</t>
        </is>
      </c>
      <c r="G280" t="n">
        <v>0.5</v>
      </c>
      <c r="H280" t="n">
        <v>0</v>
      </c>
      <c r="I280" t="n">
        <v>0</v>
      </c>
      <c r="J280" t="n">
        <v>0</v>
      </c>
      <c r="K280" t="n">
        <v>0</v>
      </c>
      <c r="L280" t="n">
        <v>0</v>
      </c>
      <c r="M280" t="n">
        <v>0</v>
      </c>
      <c r="N280" t="n">
        <v>0</v>
      </c>
      <c r="O280" t="n">
        <v>0</v>
      </c>
      <c r="P280" t="n">
        <v>0</v>
      </c>
      <c r="Q280" t="n">
        <v>0</v>
      </c>
      <c r="R280" s="2" t="inlineStr"/>
    </row>
    <row r="281" ht="15" customHeight="1">
      <c r="A281" t="inlineStr">
        <is>
          <t>A 26391-2019</t>
        </is>
      </c>
      <c r="B281" s="1" t="n">
        <v>43612</v>
      </c>
      <c r="C281" s="1" t="n">
        <v>45657</v>
      </c>
      <c r="D281" t="inlineStr">
        <is>
          <t>STOCKHOLMS LÄN</t>
        </is>
      </c>
      <c r="E281" t="inlineStr">
        <is>
          <t>NORRTÄLJE</t>
        </is>
      </c>
      <c r="G281" t="n">
        <v>1.9</v>
      </c>
      <c r="H281" t="n">
        <v>0</v>
      </c>
      <c r="I281" t="n">
        <v>0</v>
      </c>
      <c r="J281" t="n">
        <v>0</v>
      </c>
      <c r="K281" t="n">
        <v>0</v>
      </c>
      <c r="L281" t="n">
        <v>0</v>
      </c>
      <c r="M281" t="n">
        <v>0</v>
      </c>
      <c r="N281" t="n">
        <v>0</v>
      </c>
      <c r="O281" t="n">
        <v>0</v>
      </c>
      <c r="P281" t="n">
        <v>0</v>
      </c>
      <c r="Q281" t="n">
        <v>0</v>
      </c>
      <c r="R281" s="2" t="inlineStr"/>
    </row>
    <row r="282" ht="15" customHeight="1">
      <c r="A282" t="inlineStr">
        <is>
          <t>A 26933-2019</t>
        </is>
      </c>
      <c r="B282" s="1" t="n">
        <v>43613</v>
      </c>
      <c r="C282" s="1" t="n">
        <v>45657</v>
      </c>
      <c r="D282" t="inlineStr">
        <is>
          <t>STOCKHOLMS LÄN</t>
        </is>
      </c>
      <c r="E282" t="inlineStr">
        <is>
          <t>NORRTÄLJE</t>
        </is>
      </c>
      <c r="G282" t="n">
        <v>2.8</v>
      </c>
      <c r="H282" t="n">
        <v>0</v>
      </c>
      <c r="I282" t="n">
        <v>0</v>
      </c>
      <c r="J282" t="n">
        <v>0</v>
      </c>
      <c r="K282" t="n">
        <v>0</v>
      </c>
      <c r="L282" t="n">
        <v>0</v>
      </c>
      <c r="M282" t="n">
        <v>0</v>
      </c>
      <c r="N282" t="n">
        <v>0</v>
      </c>
      <c r="O282" t="n">
        <v>0</v>
      </c>
      <c r="P282" t="n">
        <v>0</v>
      </c>
      <c r="Q282" t="n">
        <v>0</v>
      </c>
      <c r="R282" s="2" t="inlineStr"/>
    </row>
    <row r="283" ht="15" customHeight="1">
      <c r="A283" t="inlineStr">
        <is>
          <t>A 26830-2019</t>
        </is>
      </c>
      <c r="B283" s="1" t="n">
        <v>43613</v>
      </c>
      <c r="C283" s="1" t="n">
        <v>45657</v>
      </c>
      <c r="D283" t="inlineStr">
        <is>
          <t>STOCKHOLMS LÄN</t>
        </is>
      </c>
      <c r="E283" t="inlineStr">
        <is>
          <t>NORRTÄLJE</t>
        </is>
      </c>
      <c r="G283" t="n">
        <v>2.1</v>
      </c>
      <c r="H283" t="n">
        <v>0</v>
      </c>
      <c r="I283" t="n">
        <v>0</v>
      </c>
      <c r="J283" t="n">
        <v>0</v>
      </c>
      <c r="K283" t="n">
        <v>0</v>
      </c>
      <c r="L283" t="n">
        <v>0</v>
      </c>
      <c r="M283" t="n">
        <v>0</v>
      </c>
      <c r="N283" t="n">
        <v>0</v>
      </c>
      <c r="O283" t="n">
        <v>0</v>
      </c>
      <c r="P283" t="n">
        <v>0</v>
      </c>
      <c r="Q283" t="n">
        <v>0</v>
      </c>
      <c r="R283" s="2" t="inlineStr"/>
    </row>
    <row r="284" ht="15" customHeight="1">
      <c r="A284" t="inlineStr">
        <is>
          <t>A 27095-2019</t>
        </is>
      </c>
      <c r="B284" s="1" t="n">
        <v>43614</v>
      </c>
      <c r="C284" s="1" t="n">
        <v>45657</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28157-2019</t>
        </is>
      </c>
      <c r="B285" s="1" t="n">
        <v>43614</v>
      </c>
      <c r="C285" s="1" t="n">
        <v>45657</v>
      </c>
      <c r="D285" t="inlineStr">
        <is>
          <t>STOCKHOLMS LÄN</t>
        </is>
      </c>
      <c r="E285" t="inlineStr">
        <is>
          <t>NORRTÄLJE</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27264-2019</t>
        </is>
      </c>
      <c r="B286" s="1" t="n">
        <v>43615</v>
      </c>
      <c r="C286" s="1" t="n">
        <v>45657</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27971-2019</t>
        </is>
      </c>
      <c r="B287" s="1" t="n">
        <v>43620</v>
      </c>
      <c r="C287" s="1" t="n">
        <v>45657</v>
      </c>
      <c r="D287" t="inlineStr">
        <is>
          <t>STOCKHOLMS LÄN</t>
        </is>
      </c>
      <c r="E287" t="inlineStr">
        <is>
          <t>NORRTÄLJE</t>
        </is>
      </c>
      <c r="G287" t="n">
        <v>1.7</v>
      </c>
      <c r="H287" t="n">
        <v>0</v>
      </c>
      <c r="I287" t="n">
        <v>0</v>
      </c>
      <c r="J287" t="n">
        <v>0</v>
      </c>
      <c r="K287" t="n">
        <v>0</v>
      </c>
      <c r="L287" t="n">
        <v>0</v>
      </c>
      <c r="M287" t="n">
        <v>0</v>
      </c>
      <c r="N287" t="n">
        <v>0</v>
      </c>
      <c r="O287" t="n">
        <v>0</v>
      </c>
      <c r="P287" t="n">
        <v>0</v>
      </c>
      <c r="Q287" t="n">
        <v>0</v>
      </c>
      <c r="R287" s="2" t="inlineStr"/>
    </row>
    <row r="288" ht="15" customHeight="1">
      <c r="A288" t="inlineStr">
        <is>
          <t>A 27967-2019</t>
        </is>
      </c>
      <c r="B288" s="1" t="n">
        <v>43620</v>
      </c>
      <c r="C288" s="1" t="n">
        <v>45657</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28121-2019</t>
        </is>
      </c>
      <c r="B289" s="1" t="n">
        <v>43621</v>
      </c>
      <c r="C289" s="1" t="n">
        <v>45657</v>
      </c>
      <c r="D289" t="inlineStr">
        <is>
          <t>STOCKHOLMS LÄN</t>
        </is>
      </c>
      <c r="E289" t="inlineStr">
        <is>
          <t>NORRTÄLJE</t>
        </is>
      </c>
      <c r="F289" t="inlineStr">
        <is>
          <t>Kyrkan</t>
        </is>
      </c>
      <c r="G289" t="n">
        <v>2.5</v>
      </c>
      <c r="H289" t="n">
        <v>0</v>
      </c>
      <c r="I289" t="n">
        <v>0</v>
      </c>
      <c r="J289" t="n">
        <v>0</v>
      </c>
      <c r="K289" t="n">
        <v>0</v>
      </c>
      <c r="L289" t="n">
        <v>0</v>
      </c>
      <c r="M289" t="n">
        <v>0</v>
      </c>
      <c r="N289" t="n">
        <v>0</v>
      </c>
      <c r="O289" t="n">
        <v>0</v>
      </c>
      <c r="P289" t="n">
        <v>0</v>
      </c>
      <c r="Q289" t="n">
        <v>0</v>
      </c>
      <c r="R289" s="2" t="inlineStr"/>
    </row>
    <row r="290" ht="15" customHeight="1">
      <c r="A290" t="inlineStr">
        <is>
          <t>A 28289-2019</t>
        </is>
      </c>
      <c r="B290" s="1" t="n">
        <v>43623</v>
      </c>
      <c r="C290" s="1" t="n">
        <v>45657</v>
      </c>
      <c r="D290" t="inlineStr">
        <is>
          <t>STOCKHOLMS LÄN</t>
        </is>
      </c>
      <c r="E290" t="inlineStr">
        <is>
          <t>NORRTÄLJE</t>
        </is>
      </c>
      <c r="G290" t="n">
        <v>7.7</v>
      </c>
      <c r="H290" t="n">
        <v>0</v>
      </c>
      <c r="I290" t="n">
        <v>0</v>
      </c>
      <c r="J290" t="n">
        <v>0</v>
      </c>
      <c r="K290" t="n">
        <v>0</v>
      </c>
      <c r="L290" t="n">
        <v>0</v>
      </c>
      <c r="M290" t="n">
        <v>0</v>
      </c>
      <c r="N290" t="n">
        <v>0</v>
      </c>
      <c r="O290" t="n">
        <v>0</v>
      </c>
      <c r="P290" t="n">
        <v>0</v>
      </c>
      <c r="Q290" t="n">
        <v>0</v>
      </c>
      <c r="R290" s="2" t="inlineStr"/>
    </row>
    <row r="291" ht="15" customHeight="1">
      <c r="A291" t="inlineStr">
        <is>
          <t>A 28519-2019</t>
        </is>
      </c>
      <c r="B291" s="1" t="n">
        <v>43626</v>
      </c>
      <c r="C291" s="1" t="n">
        <v>45657</v>
      </c>
      <c r="D291" t="inlineStr">
        <is>
          <t>STOCKHOLMS LÄN</t>
        </is>
      </c>
      <c r="E291" t="inlineStr">
        <is>
          <t>NORRTÄLJE</t>
        </is>
      </c>
      <c r="G291" t="n">
        <v>3</v>
      </c>
      <c r="H291" t="n">
        <v>0</v>
      </c>
      <c r="I291" t="n">
        <v>0</v>
      </c>
      <c r="J291" t="n">
        <v>0</v>
      </c>
      <c r="K291" t="n">
        <v>0</v>
      </c>
      <c r="L291" t="n">
        <v>0</v>
      </c>
      <c r="M291" t="n">
        <v>0</v>
      </c>
      <c r="N291" t="n">
        <v>0</v>
      </c>
      <c r="O291" t="n">
        <v>0</v>
      </c>
      <c r="P291" t="n">
        <v>0</v>
      </c>
      <c r="Q291" t="n">
        <v>0</v>
      </c>
      <c r="R291" s="2" t="inlineStr"/>
    </row>
    <row r="292" ht="15" customHeight="1">
      <c r="A292" t="inlineStr">
        <is>
          <t>A 28495-2019</t>
        </is>
      </c>
      <c r="B292" s="1" t="n">
        <v>43626</v>
      </c>
      <c r="C292" s="1" t="n">
        <v>45657</v>
      </c>
      <c r="D292" t="inlineStr">
        <is>
          <t>STOCKHOLMS LÄN</t>
        </is>
      </c>
      <c r="E292" t="inlineStr">
        <is>
          <t>NORRTÄLJE</t>
        </is>
      </c>
      <c r="G292" t="n">
        <v>14.7</v>
      </c>
      <c r="H292" t="n">
        <v>0</v>
      </c>
      <c r="I292" t="n">
        <v>0</v>
      </c>
      <c r="J292" t="n">
        <v>0</v>
      </c>
      <c r="K292" t="n">
        <v>0</v>
      </c>
      <c r="L292" t="n">
        <v>0</v>
      </c>
      <c r="M292" t="n">
        <v>0</v>
      </c>
      <c r="N292" t="n">
        <v>0</v>
      </c>
      <c r="O292" t="n">
        <v>0</v>
      </c>
      <c r="P292" t="n">
        <v>0</v>
      </c>
      <c r="Q292" t="n">
        <v>0</v>
      </c>
      <c r="R292" s="2" t="inlineStr"/>
    </row>
    <row r="293" ht="15" customHeight="1">
      <c r="A293" t="inlineStr">
        <is>
          <t>A 28394-2019</t>
        </is>
      </c>
      <c r="B293" s="1" t="n">
        <v>43626</v>
      </c>
      <c r="C293" s="1" t="n">
        <v>45657</v>
      </c>
      <c r="D293" t="inlineStr">
        <is>
          <t>STOCKHOLMS LÄN</t>
        </is>
      </c>
      <c r="E293" t="inlineStr">
        <is>
          <t>NORRTÄLJE</t>
        </is>
      </c>
      <c r="G293" t="n">
        <v>2.4</v>
      </c>
      <c r="H293" t="n">
        <v>0</v>
      </c>
      <c r="I293" t="n">
        <v>0</v>
      </c>
      <c r="J293" t="n">
        <v>0</v>
      </c>
      <c r="K293" t="n">
        <v>0</v>
      </c>
      <c r="L293" t="n">
        <v>0</v>
      </c>
      <c r="M293" t="n">
        <v>0</v>
      </c>
      <c r="N293" t="n">
        <v>0</v>
      </c>
      <c r="O293" t="n">
        <v>0</v>
      </c>
      <c r="P293" t="n">
        <v>0</v>
      </c>
      <c r="Q293" t="n">
        <v>0</v>
      </c>
      <c r="R293" s="2" t="inlineStr"/>
    </row>
    <row r="294" ht="15" customHeight="1">
      <c r="A294" t="inlineStr">
        <is>
          <t>A 29260-2019</t>
        </is>
      </c>
      <c r="B294" s="1" t="n">
        <v>43629</v>
      </c>
      <c r="C294" s="1" t="n">
        <v>45657</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29312-2019</t>
        </is>
      </c>
      <c r="B295" s="1" t="n">
        <v>43629</v>
      </c>
      <c r="C295" s="1" t="n">
        <v>45657</v>
      </c>
      <c r="D295" t="inlineStr">
        <is>
          <t>STOCKHOLMS LÄN</t>
        </is>
      </c>
      <c r="E295" t="inlineStr">
        <is>
          <t>NORRTÄLJE</t>
        </is>
      </c>
      <c r="G295" t="n">
        <v>7.1</v>
      </c>
      <c r="H295" t="n">
        <v>0</v>
      </c>
      <c r="I295" t="n">
        <v>0</v>
      </c>
      <c r="J295" t="n">
        <v>0</v>
      </c>
      <c r="K295" t="n">
        <v>0</v>
      </c>
      <c r="L295" t="n">
        <v>0</v>
      </c>
      <c r="M295" t="n">
        <v>0</v>
      </c>
      <c r="N295" t="n">
        <v>0</v>
      </c>
      <c r="O295" t="n">
        <v>0</v>
      </c>
      <c r="P295" t="n">
        <v>0</v>
      </c>
      <c r="Q295" t="n">
        <v>0</v>
      </c>
      <c r="R295" s="2" t="inlineStr"/>
    </row>
    <row r="296" ht="15" customHeight="1">
      <c r="A296" t="inlineStr">
        <is>
          <t>A 29759-2019</t>
        </is>
      </c>
      <c r="B296" s="1" t="n">
        <v>43631</v>
      </c>
      <c r="C296" s="1" t="n">
        <v>45657</v>
      </c>
      <c r="D296" t="inlineStr">
        <is>
          <t>STOCKHOLMS LÄN</t>
        </is>
      </c>
      <c r="E296" t="inlineStr">
        <is>
          <t>NORRTÄLJE</t>
        </is>
      </c>
      <c r="G296" t="n">
        <v>0.8</v>
      </c>
      <c r="H296" t="n">
        <v>0</v>
      </c>
      <c r="I296" t="n">
        <v>0</v>
      </c>
      <c r="J296" t="n">
        <v>0</v>
      </c>
      <c r="K296" t="n">
        <v>0</v>
      </c>
      <c r="L296" t="n">
        <v>0</v>
      </c>
      <c r="M296" t="n">
        <v>0</v>
      </c>
      <c r="N296" t="n">
        <v>0</v>
      </c>
      <c r="O296" t="n">
        <v>0</v>
      </c>
      <c r="P296" t="n">
        <v>0</v>
      </c>
      <c r="Q296" t="n">
        <v>0</v>
      </c>
      <c r="R296" s="2" t="inlineStr"/>
    </row>
    <row r="297" ht="15" customHeight="1">
      <c r="A297" t="inlineStr">
        <is>
          <t>A 30000-2019</t>
        </is>
      </c>
      <c r="B297" s="1" t="n">
        <v>43633</v>
      </c>
      <c r="C297" s="1" t="n">
        <v>45657</v>
      </c>
      <c r="D297" t="inlineStr">
        <is>
          <t>STOCKHOLMS LÄN</t>
        </is>
      </c>
      <c r="E297" t="inlineStr">
        <is>
          <t>NORRTÄLJE</t>
        </is>
      </c>
      <c r="G297" t="n">
        <v>5.4</v>
      </c>
      <c r="H297" t="n">
        <v>0</v>
      </c>
      <c r="I297" t="n">
        <v>0</v>
      </c>
      <c r="J297" t="n">
        <v>0</v>
      </c>
      <c r="K297" t="n">
        <v>0</v>
      </c>
      <c r="L297" t="n">
        <v>0</v>
      </c>
      <c r="M297" t="n">
        <v>0</v>
      </c>
      <c r="N297" t="n">
        <v>0</v>
      </c>
      <c r="O297" t="n">
        <v>0</v>
      </c>
      <c r="P297" t="n">
        <v>0</v>
      </c>
      <c r="Q297" t="n">
        <v>0</v>
      </c>
      <c r="R297" s="2" t="inlineStr"/>
    </row>
    <row r="298" ht="15" customHeight="1">
      <c r="A298" t="inlineStr">
        <is>
          <t>A 30833-2019</t>
        </is>
      </c>
      <c r="B298" s="1" t="n">
        <v>43636</v>
      </c>
      <c r="C298" s="1" t="n">
        <v>45657</v>
      </c>
      <c r="D298" t="inlineStr">
        <is>
          <t>STOCKHOLMS LÄN</t>
        </is>
      </c>
      <c r="E298" t="inlineStr">
        <is>
          <t>NORRTÄLJE</t>
        </is>
      </c>
      <c r="G298" t="n">
        <v>1</v>
      </c>
      <c r="H298" t="n">
        <v>0</v>
      </c>
      <c r="I298" t="n">
        <v>0</v>
      </c>
      <c r="J298" t="n">
        <v>0</v>
      </c>
      <c r="K298" t="n">
        <v>0</v>
      </c>
      <c r="L298" t="n">
        <v>0</v>
      </c>
      <c r="M298" t="n">
        <v>0</v>
      </c>
      <c r="N298" t="n">
        <v>0</v>
      </c>
      <c r="O298" t="n">
        <v>0</v>
      </c>
      <c r="P298" t="n">
        <v>0</v>
      </c>
      <c r="Q298" t="n">
        <v>0</v>
      </c>
      <c r="R298" s="2" t="inlineStr"/>
    </row>
    <row r="299" ht="15" customHeight="1">
      <c r="A299" t="inlineStr">
        <is>
          <t>A 31215-2019</t>
        </is>
      </c>
      <c r="B299" s="1" t="n">
        <v>43640</v>
      </c>
      <c r="C299" s="1" t="n">
        <v>45657</v>
      </c>
      <c r="D299" t="inlineStr">
        <is>
          <t>STOCKHOLMS LÄN</t>
        </is>
      </c>
      <c r="E299" t="inlineStr">
        <is>
          <t>NORRTÄLJE</t>
        </is>
      </c>
      <c r="G299" t="n">
        <v>0.9</v>
      </c>
      <c r="H299" t="n">
        <v>0</v>
      </c>
      <c r="I299" t="n">
        <v>0</v>
      </c>
      <c r="J299" t="n">
        <v>0</v>
      </c>
      <c r="K299" t="n">
        <v>0</v>
      </c>
      <c r="L299" t="n">
        <v>0</v>
      </c>
      <c r="M299" t="n">
        <v>0</v>
      </c>
      <c r="N299" t="n">
        <v>0</v>
      </c>
      <c r="O299" t="n">
        <v>0</v>
      </c>
      <c r="P299" t="n">
        <v>0</v>
      </c>
      <c r="Q299" t="n">
        <v>0</v>
      </c>
      <c r="R299" s="2" t="inlineStr"/>
    </row>
    <row r="300" ht="15" customHeight="1">
      <c r="A300" t="inlineStr">
        <is>
          <t>A 31017-2019</t>
        </is>
      </c>
      <c r="B300" s="1" t="n">
        <v>43640</v>
      </c>
      <c r="C300" s="1" t="n">
        <v>45657</v>
      </c>
      <c r="D300" t="inlineStr">
        <is>
          <t>STOCKHOLMS LÄN</t>
        </is>
      </c>
      <c r="E300" t="inlineStr">
        <is>
          <t>NORRTÄLJE</t>
        </is>
      </c>
      <c r="G300" t="n">
        <v>3.4</v>
      </c>
      <c r="H300" t="n">
        <v>0</v>
      </c>
      <c r="I300" t="n">
        <v>0</v>
      </c>
      <c r="J300" t="n">
        <v>0</v>
      </c>
      <c r="K300" t="n">
        <v>0</v>
      </c>
      <c r="L300" t="n">
        <v>0</v>
      </c>
      <c r="M300" t="n">
        <v>0</v>
      </c>
      <c r="N300" t="n">
        <v>0</v>
      </c>
      <c r="O300" t="n">
        <v>0</v>
      </c>
      <c r="P300" t="n">
        <v>0</v>
      </c>
      <c r="Q300" t="n">
        <v>0</v>
      </c>
      <c r="R300" s="2" t="inlineStr"/>
    </row>
    <row r="301" ht="15" customHeight="1">
      <c r="A301" t="inlineStr">
        <is>
          <t>A 31966-2019</t>
        </is>
      </c>
      <c r="B301" s="1" t="n">
        <v>43643</v>
      </c>
      <c r="C301" s="1" t="n">
        <v>45657</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32725-2019</t>
        </is>
      </c>
      <c r="B302" s="1" t="n">
        <v>43647</v>
      </c>
      <c r="C302" s="1" t="n">
        <v>45657</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32726-2019</t>
        </is>
      </c>
      <c r="B303" s="1" t="n">
        <v>43647</v>
      </c>
      <c r="C303" s="1" t="n">
        <v>45657</v>
      </c>
      <c r="D303" t="inlineStr">
        <is>
          <t>STOCKHOLMS LÄN</t>
        </is>
      </c>
      <c r="E303" t="inlineStr">
        <is>
          <t>NORRTÄLJE</t>
        </is>
      </c>
      <c r="G303" t="n">
        <v>1</v>
      </c>
      <c r="H303" t="n">
        <v>0</v>
      </c>
      <c r="I303" t="n">
        <v>0</v>
      </c>
      <c r="J303" t="n">
        <v>0</v>
      </c>
      <c r="K303" t="n">
        <v>0</v>
      </c>
      <c r="L303" t="n">
        <v>0</v>
      </c>
      <c r="M303" t="n">
        <v>0</v>
      </c>
      <c r="N303" t="n">
        <v>0</v>
      </c>
      <c r="O303" t="n">
        <v>0</v>
      </c>
      <c r="P303" t="n">
        <v>0</v>
      </c>
      <c r="Q303" t="n">
        <v>0</v>
      </c>
      <c r="R303" s="2" t="inlineStr"/>
    </row>
    <row r="304" ht="15" customHeight="1">
      <c r="A304" t="inlineStr">
        <is>
          <t>A 33207-2019</t>
        </is>
      </c>
      <c r="B304" s="1" t="n">
        <v>43649</v>
      </c>
      <c r="C304" s="1" t="n">
        <v>45657</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33955-2019</t>
        </is>
      </c>
      <c r="B305" s="1" t="n">
        <v>43654</v>
      </c>
      <c r="C305" s="1" t="n">
        <v>45657</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33966-2019</t>
        </is>
      </c>
      <c r="B306" s="1" t="n">
        <v>43654</v>
      </c>
      <c r="C306" s="1" t="n">
        <v>45657</v>
      </c>
      <c r="D306" t="inlineStr">
        <is>
          <t>STOCKHOLMS LÄN</t>
        </is>
      </c>
      <c r="E306" t="inlineStr">
        <is>
          <t>NORRTÄLJE</t>
        </is>
      </c>
      <c r="G306" t="n">
        <v>3.2</v>
      </c>
      <c r="H306" t="n">
        <v>0</v>
      </c>
      <c r="I306" t="n">
        <v>0</v>
      </c>
      <c r="J306" t="n">
        <v>0</v>
      </c>
      <c r="K306" t="n">
        <v>0</v>
      </c>
      <c r="L306" t="n">
        <v>0</v>
      </c>
      <c r="M306" t="n">
        <v>0</v>
      </c>
      <c r="N306" t="n">
        <v>0</v>
      </c>
      <c r="O306" t="n">
        <v>0</v>
      </c>
      <c r="P306" t="n">
        <v>0</v>
      </c>
      <c r="Q306" t="n">
        <v>0</v>
      </c>
      <c r="R306" s="2" t="inlineStr"/>
    </row>
    <row r="307" ht="15" customHeight="1">
      <c r="A307" t="inlineStr">
        <is>
          <t>A 35247-2019</t>
        </is>
      </c>
      <c r="B307" s="1" t="n">
        <v>43656</v>
      </c>
      <c r="C307" s="1" t="n">
        <v>45657</v>
      </c>
      <c r="D307" t="inlineStr">
        <is>
          <t>STOCKHOLMS LÄN</t>
        </is>
      </c>
      <c r="E307" t="inlineStr">
        <is>
          <t>NORRTÄLJE</t>
        </is>
      </c>
      <c r="G307" t="n">
        <v>1.8</v>
      </c>
      <c r="H307" t="n">
        <v>0</v>
      </c>
      <c r="I307" t="n">
        <v>0</v>
      </c>
      <c r="J307" t="n">
        <v>0</v>
      </c>
      <c r="K307" t="n">
        <v>0</v>
      </c>
      <c r="L307" t="n">
        <v>0</v>
      </c>
      <c r="M307" t="n">
        <v>0</v>
      </c>
      <c r="N307" t="n">
        <v>0</v>
      </c>
      <c r="O307" t="n">
        <v>0</v>
      </c>
      <c r="P307" t="n">
        <v>0</v>
      </c>
      <c r="Q307" t="n">
        <v>0</v>
      </c>
      <c r="R307" s="2" t="inlineStr"/>
    </row>
    <row r="308" ht="15" customHeight="1">
      <c r="A308" t="inlineStr">
        <is>
          <t>A 35244-2019</t>
        </is>
      </c>
      <c r="B308" s="1" t="n">
        <v>43656</v>
      </c>
      <c r="C308" s="1" t="n">
        <v>45657</v>
      </c>
      <c r="D308" t="inlineStr">
        <is>
          <t>STOCKHOLMS LÄN</t>
        </is>
      </c>
      <c r="E308" t="inlineStr">
        <is>
          <t>NORRTÄLJE</t>
        </is>
      </c>
      <c r="G308" t="n">
        <v>1.9</v>
      </c>
      <c r="H308" t="n">
        <v>0</v>
      </c>
      <c r="I308" t="n">
        <v>0</v>
      </c>
      <c r="J308" t="n">
        <v>0</v>
      </c>
      <c r="K308" t="n">
        <v>0</v>
      </c>
      <c r="L308" t="n">
        <v>0</v>
      </c>
      <c r="M308" t="n">
        <v>0</v>
      </c>
      <c r="N308" t="n">
        <v>0</v>
      </c>
      <c r="O308" t="n">
        <v>0</v>
      </c>
      <c r="P308" t="n">
        <v>0</v>
      </c>
      <c r="Q308" t="n">
        <v>0</v>
      </c>
      <c r="R308" s="2" t="inlineStr"/>
    </row>
    <row r="309" ht="15" customHeight="1">
      <c r="A309" t="inlineStr">
        <is>
          <t>A 35249-2019</t>
        </is>
      </c>
      <c r="B309" s="1" t="n">
        <v>43656</v>
      </c>
      <c r="C309" s="1" t="n">
        <v>45657</v>
      </c>
      <c r="D309" t="inlineStr">
        <is>
          <t>STOCKHOLMS LÄN</t>
        </is>
      </c>
      <c r="E309" t="inlineStr">
        <is>
          <t>NORRTÄLJE</t>
        </is>
      </c>
      <c r="G309" t="n">
        <v>0.8</v>
      </c>
      <c r="H309" t="n">
        <v>0</v>
      </c>
      <c r="I309" t="n">
        <v>0</v>
      </c>
      <c r="J309" t="n">
        <v>0</v>
      </c>
      <c r="K309" t="n">
        <v>0</v>
      </c>
      <c r="L309" t="n">
        <v>0</v>
      </c>
      <c r="M309" t="n">
        <v>0</v>
      </c>
      <c r="N309" t="n">
        <v>0</v>
      </c>
      <c r="O309" t="n">
        <v>0</v>
      </c>
      <c r="P309" t="n">
        <v>0</v>
      </c>
      <c r="Q309" t="n">
        <v>0</v>
      </c>
      <c r="R309" s="2" t="inlineStr"/>
    </row>
    <row r="310" ht="15" customHeight="1">
      <c r="A310" t="inlineStr">
        <is>
          <t>A 35251-2019</t>
        </is>
      </c>
      <c r="B310" s="1" t="n">
        <v>43656</v>
      </c>
      <c r="C310" s="1" t="n">
        <v>45657</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35492-2019</t>
        </is>
      </c>
      <c r="B311" s="1" t="n">
        <v>43663</v>
      </c>
      <c r="C311" s="1" t="n">
        <v>45657</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35770-2019</t>
        </is>
      </c>
      <c r="B312" s="1" t="n">
        <v>43665</v>
      </c>
      <c r="C312" s="1" t="n">
        <v>45657</v>
      </c>
      <c r="D312" t="inlineStr">
        <is>
          <t>STOCKHOLMS LÄN</t>
        </is>
      </c>
      <c r="E312" t="inlineStr">
        <is>
          <t>NORRTÄLJE</t>
        </is>
      </c>
      <c r="G312" t="n">
        <v>6.3</v>
      </c>
      <c r="H312" t="n">
        <v>0</v>
      </c>
      <c r="I312" t="n">
        <v>0</v>
      </c>
      <c r="J312" t="n">
        <v>0</v>
      </c>
      <c r="K312" t="n">
        <v>0</v>
      </c>
      <c r="L312" t="n">
        <v>0</v>
      </c>
      <c r="M312" t="n">
        <v>0</v>
      </c>
      <c r="N312" t="n">
        <v>0</v>
      </c>
      <c r="O312" t="n">
        <v>0</v>
      </c>
      <c r="P312" t="n">
        <v>0</v>
      </c>
      <c r="Q312" t="n">
        <v>0</v>
      </c>
      <c r="R312" s="2" t="inlineStr"/>
    </row>
    <row r="313" ht="15" customHeight="1">
      <c r="A313" t="inlineStr">
        <is>
          <t>A 35766-2019</t>
        </is>
      </c>
      <c r="B313" s="1" t="n">
        <v>43665</v>
      </c>
      <c r="C313" s="1" t="n">
        <v>45657</v>
      </c>
      <c r="D313" t="inlineStr">
        <is>
          <t>STOCKHOLMS LÄN</t>
        </is>
      </c>
      <c r="E313" t="inlineStr">
        <is>
          <t>NORRTÄLJE</t>
        </is>
      </c>
      <c r="G313" t="n">
        <v>2.1</v>
      </c>
      <c r="H313" t="n">
        <v>0</v>
      </c>
      <c r="I313" t="n">
        <v>0</v>
      </c>
      <c r="J313" t="n">
        <v>0</v>
      </c>
      <c r="K313" t="n">
        <v>0</v>
      </c>
      <c r="L313" t="n">
        <v>0</v>
      </c>
      <c r="M313" t="n">
        <v>0</v>
      </c>
      <c r="N313" t="n">
        <v>0</v>
      </c>
      <c r="O313" t="n">
        <v>0</v>
      </c>
      <c r="P313" t="n">
        <v>0</v>
      </c>
      <c r="Q313" t="n">
        <v>0</v>
      </c>
      <c r="R313" s="2" t="inlineStr"/>
    </row>
    <row r="314" ht="15" customHeight="1">
      <c r="A314" t="inlineStr">
        <is>
          <t>A 36418-2019</t>
        </is>
      </c>
      <c r="B314" s="1" t="n">
        <v>43670</v>
      </c>
      <c r="C314" s="1" t="n">
        <v>45657</v>
      </c>
      <c r="D314" t="inlineStr">
        <is>
          <t>STOCKHOLMS LÄN</t>
        </is>
      </c>
      <c r="E314" t="inlineStr">
        <is>
          <t>NORRTÄLJE</t>
        </is>
      </c>
      <c r="G314" t="n">
        <v>16.8</v>
      </c>
      <c r="H314" t="n">
        <v>0</v>
      </c>
      <c r="I314" t="n">
        <v>0</v>
      </c>
      <c r="J314" t="n">
        <v>0</v>
      </c>
      <c r="K314" t="n">
        <v>0</v>
      </c>
      <c r="L314" t="n">
        <v>0</v>
      </c>
      <c r="M314" t="n">
        <v>0</v>
      </c>
      <c r="N314" t="n">
        <v>0</v>
      </c>
      <c r="O314" t="n">
        <v>0</v>
      </c>
      <c r="P314" t="n">
        <v>0</v>
      </c>
      <c r="Q314" t="n">
        <v>0</v>
      </c>
      <c r="R314" s="2" t="inlineStr"/>
    </row>
    <row r="315" ht="15" customHeight="1">
      <c r="A315" t="inlineStr">
        <is>
          <t>A 37401-2019</t>
        </is>
      </c>
      <c r="B315" s="1" t="n">
        <v>43678</v>
      </c>
      <c r="C315" s="1" t="n">
        <v>45657</v>
      </c>
      <c r="D315" t="inlineStr">
        <is>
          <t>STOCKHOLMS LÄN</t>
        </is>
      </c>
      <c r="E315" t="inlineStr">
        <is>
          <t>NORRTÄLJE</t>
        </is>
      </c>
      <c r="G315" t="n">
        <v>1.4</v>
      </c>
      <c r="H315" t="n">
        <v>0</v>
      </c>
      <c r="I315" t="n">
        <v>0</v>
      </c>
      <c r="J315" t="n">
        <v>0</v>
      </c>
      <c r="K315" t="n">
        <v>0</v>
      </c>
      <c r="L315" t="n">
        <v>0</v>
      </c>
      <c r="M315" t="n">
        <v>0</v>
      </c>
      <c r="N315" t="n">
        <v>0</v>
      </c>
      <c r="O315" t="n">
        <v>0</v>
      </c>
      <c r="P315" t="n">
        <v>0</v>
      </c>
      <c r="Q315" t="n">
        <v>0</v>
      </c>
      <c r="R315" s="2" t="inlineStr"/>
    </row>
    <row r="316" ht="15" customHeight="1">
      <c r="A316" t="inlineStr">
        <is>
          <t>A 37662-2019</t>
        </is>
      </c>
      <c r="B316" s="1" t="n">
        <v>43682</v>
      </c>
      <c r="C316" s="1" t="n">
        <v>45657</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38144-2019</t>
        </is>
      </c>
      <c r="B317" s="1" t="n">
        <v>43684</v>
      </c>
      <c r="C317" s="1" t="n">
        <v>45657</v>
      </c>
      <c r="D317" t="inlineStr">
        <is>
          <t>STOCKHOLMS LÄN</t>
        </is>
      </c>
      <c r="E317" t="inlineStr">
        <is>
          <t>NORRTÄLJE</t>
        </is>
      </c>
      <c r="G317" t="n">
        <v>3.6</v>
      </c>
      <c r="H317" t="n">
        <v>0</v>
      </c>
      <c r="I317" t="n">
        <v>0</v>
      </c>
      <c r="J317" t="n">
        <v>0</v>
      </c>
      <c r="K317" t="n">
        <v>0</v>
      </c>
      <c r="L317" t="n">
        <v>0</v>
      </c>
      <c r="M317" t="n">
        <v>0</v>
      </c>
      <c r="N317" t="n">
        <v>0</v>
      </c>
      <c r="O317" t="n">
        <v>0</v>
      </c>
      <c r="P317" t="n">
        <v>0</v>
      </c>
      <c r="Q317" t="n">
        <v>0</v>
      </c>
      <c r="R317" s="2" t="inlineStr"/>
    </row>
    <row r="318" ht="15" customHeight="1">
      <c r="A318" t="inlineStr">
        <is>
          <t>A 38139-2019</t>
        </is>
      </c>
      <c r="B318" s="1" t="n">
        <v>43684</v>
      </c>
      <c r="C318" s="1" t="n">
        <v>45657</v>
      </c>
      <c r="D318" t="inlineStr">
        <is>
          <t>STOCKHOLMS LÄN</t>
        </is>
      </c>
      <c r="E318" t="inlineStr">
        <is>
          <t>NORRTÄLJE</t>
        </is>
      </c>
      <c r="G318" t="n">
        <v>2</v>
      </c>
      <c r="H318" t="n">
        <v>0</v>
      </c>
      <c r="I318" t="n">
        <v>0</v>
      </c>
      <c r="J318" t="n">
        <v>0</v>
      </c>
      <c r="K318" t="n">
        <v>0</v>
      </c>
      <c r="L318" t="n">
        <v>0</v>
      </c>
      <c r="M318" t="n">
        <v>0</v>
      </c>
      <c r="N318" t="n">
        <v>0</v>
      </c>
      <c r="O318" t="n">
        <v>0</v>
      </c>
      <c r="P318" t="n">
        <v>0</v>
      </c>
      <c r="Q318" t="n">
        <v>0</v>
      </c>
      <c r="R318" s="2" t="inlineStr"/>
    </row>
    <row r="319" ht="15" customHeight="1">
      <c r="A319" t="inlineStr">
        <is>
          <t>A 38145-2019</t>
        </is>
      </c>
      <c r="B319" s="1" t="n">
        <v>43684</v>
      </c>
      <c r="C319" s="1" t="n">
        <v>45657</v>
      </c>
      <c r="D319" t="inlineStr">
        <is>
          <t>STOCKHOLMS LÄN</t>
        </is>
      </c>
      <c r="E319" t="inlineStr">
        <is>
          <t>NORRTÄLJE</t>
        </is>
      </c>
      <c r="G319" t="n">
        <v>9.9</v>
      </c>
      <c r="H319" t="n">
        <v>0</v>
      </c>
      <c r="I319" t="n">
        <v>0</v>
      </c>
      <c r="J319" t="n">
        <v>0</v>
      </c>
      <c r="K319" t="n">
        <v>0</v>
      </c>
      <c r="L319" t="n">
        <v>0</v>
      </c>
      <c r="M319" t="n">
        <v>0</v>
      </c>
      <c r="N319" t="n">
        <v>0</v>
      </c>
      <c r="O319" t="n">
        <v>0</v>
      </c>
      <c r="P319" t="n">
        <v>0</v>
      </c>
      <c r="Q319" t="n">
        <v>0</v>
      </c>
      <c r="R319" s="2" t="inlineStr"/>
    </row>
    <row r="320" ht="15" customHeight="1">
      <c r="A320" t="inlineStr">
        <is>
          <t>A 38140-2019</t>
        </is>
      </c>
      <c r="B320" s="1" t="n">
        <v>43684</v>
      </c>
      <c r="C320" s="1" t="n">
        <v>45657</v>
      </c>
      <c r="D320" t="inlineStr">
        <is>
          <t>STOCKHOLMS LÄN</t>
        </is>
      </c>
      <c r="E320" t="inlineStr">
        <is>
          <t>NORRTÄLJE</t>
        </is>
      </c>
      <c r="G320" t="n">
        <v>3.4</v>
      </c>
      <c r="H320" t="n">
        <v>0</v>
      </c>
      <c r="I320" t="n">
        <v>0</v>
      </c>
      <c r="J320" t="n">
        <v>0</v>
      </c>
      <c r="K320" t="n">
        <v>0</v>
      </c>
      <c r="L320" t="n">
        <v>0</v>
      </c>
      <c r="M320" t="n">
        <v>0</v>
      </c>
      <c r="N320" t="n">
        <v>0</v>
      </c>
      <c r="O320" t="n">
        <v>0</v>
      </c>
      <c r="P320" t="n">
        <v>0</v>
      </c>
      <c r="Q320" t="n">
        <v>0</v>
      </c>
      <c r="R320" s="2" t="inlineStr"/>
    </row>
    <row r="321" ht="15" customHeight="1">
      <c r="A321" t="inlineStr">
        <is>
          <t>A 38143-2019</t>
        </is>
      </c>
      <c r="B321" s="1" t="n">
        <v>43684</v>
      </c>
      <c r="C321" s="1" t="n">
        <v>45657</v>
      </c>
      <c r="D321" t="inlineStr">
        <is>
          <t>STOCKHOLMS LÄN</t>
        </is>
      </c>
      <c r="E321" t="inlineStr">
        <is>
          <t>NORRTÄLJE</t>
        </is>
      </c>
      <c r="G321" t="n">
        <v>12.7</v>
      </c>
      <c r="H321" t="n">
        <v>0</v>
      </c>
      <c r="I321" t="n">
        <v>0</v>
      </c>
      <c r="J321" t="n">
        <v>0</v>
      </c>
      <c r="K321" t="n">
        <v>0</v>
      </c>
      <c r="L321" t="n">
        <v>0</v>
      </c>
      <c r="M321" t="n">
        <v>0</v>
      </c>
      <c r="N321" t="n">
        <v>0</v>
      </c>
      <c r="O321" t="n">
        <v>0</v>
      </c>
      <c r="P321" t="n">
        <v>0</v>
      </c>
      <c r="Q321" t="n">
        <v>0</v>
      </c>
      <c r="R321" s="2" t="inlineStr"/>
    </row>
    <row r="322" ht="15" customHeight="1">
      <c r="A322" t="inlineStr">
        <is>
          <t>A 38506-2019</t>
        </is>
      </c>
      <c r="B322" s="1" t="n">
        <v>43685</v>
      </c>
      <c r="C322" s="1" t="n">
        <v>45657</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38605-2019</t>
        </is>
      </c>
      <c r="B323" s="1" t="n">
        <v>43686</v>
      </c>
      <c r="C323" s="1" t="n">
        <v>45657</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38737-2019</t>
        </is>
      </c>
      <c r="B324" s="1" t="n">
        <v>43686</v>
      </c>
      <c r="C324" s="1" t="n">
        <v>45657</v>
      </c>
      <c r="D324" t="inlineStr">
        <is>
          <t>STOCKHOLMS LÄN</t>
        </is>
      </c>
      <c r="E324" t="inlineStr">
        <is>
          <t>NORRTÄLJE</t>
        </is>
      </c>
      <c r="G324" t="n">
        <v>4.7</v>
      </c>
      <c r="H324" t="n">
        <v>0</v>
      </c>
      <c r="I324" t="n">
        <v>0</v>
      </c>
      <c r="J324" t="n">
        <v>0</v>
      </c>
      <c r="K324" t="n">
        <v>0</v>
      </c>
      <c r="L324" t="n">
        <v>0</v>
      </c>
      <c r="M324" t="n">
        <v>0</v>
      </c>
      <c r="N324" t="n">
        <v>0</v>
      </c>
      <c r="O324" t="n">
        <v>0</v>
      </c>
      <c r="P324" t="n">
        <v>0</v>
      </c>
      <c r="Q324" t="n">
        <v>0</v>
      </c>
      <c r="R324" s="2" t="inlineStr"/>
    </row>
    <row r="325" ht="15" customHeight="1">
      <c r="A325" t="inlineStr">
        <is>
          <t>A 40571-2019</t>
        </is>
      </c>
      <c r="B325" s="1" t="n">
        <v>43696</v>
      </c>
      <c r="C325" s="1" t="n">
        <v>45657</v>
      </c>
      <c r="D325" t="inlineStr">
        <is>
          <t>STOCKHOLMS LÄN</t>
        </is>
      </c>
      <c r="E325" t="inlineStr">
        <is>
          <t>NORRTÄLJE</t>
        </is>
      </c>
      <c r="G325" t="n">
        <v>2.8</v>
      </c>
      <c r="H325" t="n">
        <v>0</v>
      </c>
      <c r="I325" t="n">
        <v>0</v>
      </c>
      <c r="J325" t="n">
        <v>0</v>
      </c>
      <c r="K325" t="n">
        <v>0</v>
      </c>
      <c r="L325" t="n">
        <v>0</v>
      </c>
      <c r="M325" t="n">
        <v>0</v>
      </c>
      <c r="N325" t="n">
        <v>0</v>
      </c>
      <c r="O325" t="n">
        <v>0</v>
      </c>
      <c r="P325" t="n">
        <v>0</v>
      </c>
      <c r="Q325" t="n">
        <v>0</v>
      </c>
      <c r="R325" s="2" t="inlineStr"/>
    </row>
    <row r="326" ht="15" customHeight="1">
      <c r="A326" t="inlineStr">
        <is>
          <t>A 42330-2019</t>
        </is>
      </c>
      <c r="B326" s="1" t="n">
        <v>43703</v>
      </c>
      <c r="C326" s="1" t="n">
        <v>45657</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43379-2019</t>
        </is>
      </c>
      <c r="B327" s="1" t="n">
        <v>43703</v>
      </c>
      <c r="C327" s="1" t="n">
        <v>45657</v>
      </c>
      <c r="D327" t="inlineStr">
        <is>
          <t>STOCKHOLMS LÄN</t>
        </is>
      </c>
      <c r="E327" t="inlineStr">
        <is>
          <t>NORRTÄLJE</t>
        </is>
      </c>
      <c r="G327" t="n">
        <v>1.1</v>
      </c>
      <c r="H327" t="n">
        <v>0</v>
      </c>
      <c r="I327" t="n">
        <v>0</v>
      </c>
      <c r="J327" t="n">
        <v>0</v>
      </c>
      <c r="K327" t="n">
        <v>0</v>
      </c>
      <c r="L327" t="n">
        <v>0</v>
      </c>
      <c r="M327" t="n">
        <v>0</v>
      </c>
      <c r="N327" t="n">
        <v>0</v>
      </c>
      <c r="O327" t="n">
        <v>0</v>
      </c>
      <c r="P327" t="n">
        <v>0</v>
      </c>
      <c r="Q327" t="n">
        <v>0</v>
      </c>
      <c r="R327" s="2" t="inlineStr"/>
    </row>
    <row r="328" ht="15" customHeight="1">
      <c r="A328" t="inlineStr">
        <is>
          <t>A 43296-2019</t>
        </is>
      </c>
      <c r="B328" s="1" t="n">
        <v>43706</v>
      </c>
      <c r="C328" s="1" t="n">
        <v>45657</v>
      </c>
      <c r="D328" t="inlineStr">
        <is>
          <t>STOCKHOLMS LÄN</t>
        </is>
      </c>
      <c r="E328" t="inlineStr">
        <is>
          <t>NORRTÄLJE</t>
        </is>
      </c>
      <c r="F328" t="inlineStr">
        <is>
          <t>Kommuner</t>
        </is>
      </c>
      <c r="G328" t="n">
        <v>1.7</v>
      </c>
      <c r="H328" t="n">
        <v>0</v>
      </c>
      <c r="I328" t="n">
        <v>0</v>
      </c>
      <c r="J328" t="n">
        <v>0</v>
      </c>
      <c r="K328" t="n">
        <v>0</v>
      </c>
      <c r="L328" t="n">
        <v>0</v>
      </c>
      <c r="M328" t="n">
        <v>0</v>
      </c>
      <c r="N328" t="n">
        <v>0</v>
      </c>
      <c r="O328" t="n">
        <v>0</v>
      </c>
      <c r="P328" t="n">
        <v>0</v>
      </c>
      <c r="Q328" t="n">
        <v>0</v>
      </c>
      <c r="R328" s="2" t="inlineStr"/>
    </row>
    <row r="329" ht="15" customHeight="1">
      <c r="A329" t="inlineStr">
        <is>
          <t>A 44643-2019</t>
        </is>
      </c>
      <c r="B329" s="1" t="n">
        <v>43712</v>
      </c>
      <c r="C329" s="1" t="n">
        <v>45657</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45463-2019</t>
        </is>
      </c>
      <c r="B330" s="1" t="n">
        <v>43714</v>
      </c>
      <c r="C330" s="1" t="n">
        <v>45657</v>
      </c>
      <c r="D330" t="inlineStr">
        <is>
          <t>STOCKHOLMS LÄN</t>
        </is>
      </c>
      <c r="E330" t="inlineStr">
        <is>
          <t>NORRTÄLJE</t>
        </is>
      </c>
      <c r="F330" t="inlineStr">
        <is>
          <t>Övriga statliga verk och myndigheter</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45477-2019</t>
        </is>
      </c>
      <c r="B331" s="1" t="n">
        <v>43714</v>
      </c>
      <c r="C331" s="1" t="n">
        <v>45657</v>
      </c>
      <c r="D331" t="inlineStr">
        <is>
          <t>STOCKHOLMS LÄN</t>
        </is>
      </c>
      <c r="E331" t="inlineStr">
        <is>
          <t>NORRTÄLJE</t>
        </is>
      </c>
      <c r="F331" t="inlineStr">
        <is>
          <t>Övriga statliga verk och myndigheter</t>
        </is>
      </c>
      <c r="G331" t="n">
        <v>8.9</v>
      </c>
      <c r="H331" t="n">
        <v>0</v>
      </c>
      <c r="I331" t="n">
        <v>0</v>
      </c>
      <c r="J331" t="n">
        <v>0</v>
      </c>
      <c r="K331" t="n">
        <v>0</v>
      </c>
      <c r="L331" t="n">
        <v>0</v>
      </c>
      <c r="M331" t="n">
        <v>0</v>
      </c>
      <c r="N331" t="n">
        <v>0</v>
      </c>
      <c r="O331" t="n">
        <v>0</v>
      </c>
      <c r="P331" t="n">
        <v>0</v>
      </c>
      <c r="Q331" t="n">
        <v>0</v>
      </c>
      <c r="R331" s="2" t="inlineStr"/>
    </row>
    <row r="332" ht="15" customHeight="1">
      <c r="A332" t="inlineStr">
        <is>
          <t>A 46327-2019</t>
        </is>
      </c>
      <c r="B332" s="1" t="n">
        <v>43718</v>
      </c>
      <c r="C332" s="1" t="n">
        <v>45657</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47876-2019</t>
        </is>
      </c>
      <c r="B333" s="1" t="n">
        <v>43725</v>
      </c>
      <c r="C333" s="1" t="n">
        <v>45657</v>
      </c>
      <c r="D333" t="inlineStr">
        <is>
          <t>STOCKHOLMS LÄN</t>
        </is>
      </c>
      <c r="E333" t="inlineStr">
        <is>
          <t>NORRTÄLJE</t>
        </is>
      </c>
      <c r="G333" t="n">
        <v>11.4</v>
      </c>
      <c r="H333" t="n">
        <v>0</v>
      </c>
      <c r="I333" t="n">
        <v>0</v>
      </c>
      <c r="J333" t="n">
        <v>0</v>
      </c>
      <c r="K333" t="n">
        <v>0</v>
      </c>
      <c r="L333" t="n">
        <v>0</v>
      </c>
      <c r="M333" t="n">
        <v>0</v>
      </c>
      <c r="N333" t="n">
        <v>0</v>
      </c>
      <c r="O333" t="n">
        <v>0</v>
      </c>
      <c r="P333" t="n">
        <v>0</v>
      </c>
      <c r="Q333" t="n">
        <v>0</v>
      </c>
      <c r="R333" s="2" t="inlineStr"/>
    </row>
    <row r="334" ht="15" customHeight="1">
      <c r="A334" t="inlineStr">
        <is>
          <t>A 47877-2019</t>
        </is>
      </c>
      <c r="B334" s="1" t="n">
        <v>43725</v>
      </c>
      <c r="C334" s="1" t="n">
        <v>45657</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47903-2019</t>
        </is>
      </c>
      <c r="B335" s="1" t="n">
        <v>43725</v>
      </c>
      <c r="C335" s="1" t="n">
        <v>45657</v>
      </c>
      <c r="D335" t="inlineStr">
        <is>
          <t>STOCKHOLMS LÄN</t>
        </is>
      </c>
      <c r="E335" t="inlineStr">
        <is>
          <t>NORRTÄLJE</t>
        </is>
      </c>
      <c r="G335" t="n">
        <v>2.1</v>
      </c>
      <c r="H335" t="n">
        <v>0</v>
      </c>
      <c r="I335" t="n">
        <v>0</v>
      </c>
      <c r="J335" t="n">
        <v>0</v>
      </c>
      <c r="K335" t="n">
        <v>0</v>
      </c>
      <c r="L335" t="n">
        <v>0</v>
      </c>
      <c r="M335" t="n">
        <v>0</v>
      </c>
      <c r="N335" t="n">
        <v>0</v>
      </c>
      <c r="O335" t="n">
        <v>0</v>
      </c>
      <c r="P335" t="n">
        <v>0</v>
      </c>
      <c r="Q335" t="n">
        <v>0</v>
      </c>
      <c r="R335" s="2" t="inlineStr"/>
    </row>
    <row r="336" ht="15" customHeight="1">
      <c r="A336" t="inlineStr">
        <is>
          <t>A 47901-2019</t>
        </is>
      </c>
      <c r="B336" s="1" t="n">
        <v>43725</v>
      </c>
      <c r="C336" s="1" t="n">
        <v>45657</v>
      </c>
      <c r="D336" t="inlineStr">
        <is>
          <t>STOCKHOLMS LÄN</t>
        </is>
      </c>
      <c r="E336" t="inlineStr">
        <is>
          <t>NORRTÄLJE</t>
        </is>
      </c>
      <c r="G336" t="n">
        <v>3</v>
      </c>
      <c r="H336" t="n">
        <v>0</v>
      </c>
      <c r="I336" t="n">
        <v>0</v>
      </c>
      <c r="J336" t="n">
        <v>0</v>
      </c>
      <c r="K336" t="n">
        <v>0</v>
      </c>
      <c r="L336" t="n">
        <v>0</v>
      </c>
      <c r="M336" t="n">
        <v>0</v>
      </c>
      <c r="N336" t="n">
        <v>0</v>
      </c>
      <c r="O336" t="n">
        <v>0</v>
      </c>
      <c r="P336" t="n">
        <v>0</v>
      </c>
      <c r="Q336" t="n">
        <v>0</v>
      </c>
      <c r="R336" s="2" t="inlineStr"/>
    </row>
    <row r="337" ht="15" customHeight="1">
      <c r="A337" t="inlineStr">
        <is>
          <t>A 47939-2019</t>
        </is>
      </c>
      <c r="B337" s="1" t="n">
        <v>43725</v>
      </c>
      <c r="C337" s="1" t="n">
        <v>45657</v>
      </c>
      <c r="D337" t="inlineStr">
        <is>
          <t>STOCKHOLMS LÄN</t>
        </is>
      </c>
      <c r="E337" t="inlineStr">
        <is>
          <t>NORRTÄLJE</t>
        </is>
      </c>
      <c r="G337" t="n">
        <v>4.5</v>
      </c>
      <c r="H337" t="n">
        <v>0</v>
      </c>
      <c r="I337" t="n">
        <v>0</v>
      </c>
      <c r="J337" t="n">
        <v>0</v>
      </c>
      <c r="K337" t="n">
        <v>0</v>
      </c>
      <c r="L337" t="n">
        <v>0</v>
      </c>
      <c r="M337" t="n">
        <v>0</v>
      </c>
      <c r="N337" t="n">
        <v>0</v>
      </c>
      <c r="O337" t="n">
        <v>0</v>
      </c>
      <c r="P337" t="n">
        <v>0</v>
      </c>
      <c r="Q337" t="n">
        <v>0</v>
      </c>
      <c r="R337" s="2" t="inlineStr"/>
    </row>
    <row r="338" ht="15" customHeight="1">
      <c r="A338" t="inlineStr">
        <is>
          <t>A 47941-2019</t>
        </is>
      </c>
      <c r="B338" s="1" t="n">
        <v>43725</v>
      </c>
      <c r="C338" s="1" t="n">
        <v>45657</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47879-2019</t>
        </is>
      </c>
      <c r="B339" s="1" t="n">
        <v>43725</v>
      </c>
      <c r="C339" s="1" t="n">
        <v>45657</v>
      </c>
      <c r="D339" t="inlineStr">
        <is>
          <t>STOCKHOLMS LÄN</t>
        </is>
      </c>
      <c r="E339" t="inlineStr">
        <is>
          <t>NORRTÄLJE</t>
        </is>
      </c>
      <c r="G339" t="n">
        <v>0.8</v>
      </c>
      <c r="H339" t="n">
        <v>0</v>
      </c>
      <c r="I339" t="n">
        <v>0</v>
      </c>
      <c r="J339" t="n">
        <v>0</v>
      </c>
      <c r="K339" t="n">
        <v>0</v>
      </c>
      <c r="L339" t="n">
        <v>0</v>
      </c>
      <c r="M339" t="n">
        <v>0</v>
      </c>
      <c r="N339" t="n">
        <v>0</v>
      </c>
      <c r="O339" t="n">
        <v>0</v>
      </c>
      <c r="P339" t="n">
        <v>0</v>
      </c>
      <c r="Q339" t="n">
        <v>0</v>
      </c>
      <c r="R339" s="2" t="inlineStr"/>
    </row>
    <row r="340" ht="15" customHeight="1">
      <c r="A340" t="inlineStr">
        <is>
          <t>A 48730-2019</t>
        </is>
      </c>
      <c r="B340" s="1" t="n">
        <v>43728</v>
      </c>
      <c r="C340" s="1" t="n">
        <v>45657</v>
      </c>
      <c r="D340" t="inlineStr">
        <is>
          <t>STOCKHOLMS LÄN</t>
        </is>
      </c>
      <c r="E340" t="inlineStr">
        <is>
          <t>NORRTÄLJE</t>
        </is>
      </c>
      <c r="F340" t="inlineStr">
        <is>
          <t>Övriga statliga verk och myndigheter</t>
        </is>
      </c>
      <c r="G340" t="n">
        <v>1.3</v>
      </c>
      <c r="H340" t="n">
        <v>0</v>
      </c>
      <c r="I340" t="n">
        <v>0</v>
      </c>
      <c r="J340" t="n">
        <v>0</v>
      </c>
      <c r="K340" t="n">
        <v>0</v>
      </c>
      <c r="L340" t="n">
        <v>0</v>
      </c>
      <c r="M340" t="n">
        <v>0</v>
      </c>
      <c r="N340" t="n">
        <v>0</v>
      </c>
      <c r="O340" t="n">
        <v>0</v>
      </c>
      <c r="P340" t="n">
        <v>0</v>
      </c>
      <c r="Q340" t="n">
        <v>0</v>
      </c>
      <c r="R340" s="2" t="inlineStr"/>
    </row>
    <row r="341" ht="15" customHeight="1">
      <c r="A341" t="inlineStr">
        <is>
          <t>A 49252-2019</t>
        </is>
      </c>
      <c r="B341" s="1" t="n">
        <v>43731</v>
      </c>
      <c r="C341" s="1" t="n">
        <v>45657</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51940-2019</t>
        </is>
      </c>
      <c r="B342" s="1" t="n">
        <v>43741</v>
      </c>
      <c r="C342" s="1" t="n">
        <v>45657</v>
      </c>
      <c r="D342" t="inlineStr">
        <is>
          <t>STOCKHOLMS LÄN</t>
        </is>
      </c>
      <c r="E342" t="inlineStr">
        <is>
          <t>NORRTÄLJE</t>
        </is>
      </c>
      <c r="G342" t="n">
        <v>2.7</v>
      </c>
      <c r="H342" t="n">
        <v>0</v>
      </c>
      <c r="I342" t="n">
        <v>0</v>
      </c>
      <c r="J342" t="n">
        <v>0</v>
      </c>
      <c r="K342" t="n">
        <v>0</v>
      </c>
      <c r="L342" t="n">
        <v>0</v>
      </c>
      <c r="M342" t="n">
        <v>0</v>
      </c>
      <c r="N342" t="n">
        <v>0</v>
      </c>
      <c r="O342" t="n">
        <v>0</v>
      </c>
      <c r="P342" t="n">
        <v>0</v>
      </c>
      <c r="Q342" t="n">
        <v>0</v>
      </c>
      <c r="R342" s="2" t="inlineStr"/>
    </row>
    <row r="343" ht="15" customHeight="1">
      <c r="A343" t="inlineStr">
        <is>
          <t>A 51942-2019</t>
        </is>
      </c>
      <c r="B343" s="1" t="n">
        <v>43741</v>
      </c>
      <c r="C343" s="1" t="n">
        <v>45657</v>
      </c>
      <c r="D343" t="inlineStr">
        <is>
          <t>STOCKHOLMS LÄN</t>
        </is>
      </c>
      <c r="E343" t="inlineStr">
        <is>
          <t>NORRTÄLJE</t>
        </is>
      </c>
      <c r="G343" t="n">
        <v>5.6</v>
      </c>
      <c r="H343" t="n">
        <v>0</v>
      </c>
      <c r="I343" t="n">
        <v>0</v>
      </c>
      <c r="J343" t="n">
        <v>0</v>
      </c>
      <c r="K343" t="n">
        <v>0</v>
      </c>
      <c r="L343" t="n">
        <v>0</v>
      </c>
      <c r="M343" t="n">
        <v>0</v>
      </c>
      <c r="N343" t="n">
        <v>0</v>
      </c>
      <c r="O343" t="n">
        <v>0</v>
      </c>
      <c r="P343" t="n">
        <v>0</v>
      </c>
      <c r="Q343" t="n">
        <v>0</v>
      </c>
      <c r="R343" s="2" t="inlineStr"/>
    </row>
    <row r="344" ht="15" customHeight="1">
      <c r="A344" t="inlineStr">
        <is>
          <t>A 55481-2019</t>
        </is>
      </c>
      <c r="B344" s="1" t="n">
        <v>43759</v>
      </c>
      <c r="C344" s="1" t="n">
        <v>45657</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55891-2019</t>
        </is>
      </c>
      <c r="B345" s="1" t="n">
        <v>43761</v>
      </c>
      <c r="C345" s="1" t="n">
        <v>45657</v>
      </c>
      <c r="D345" t="inlineStr">
        <is>
          <t>STOCKHOLMS LÄN</t>
        </is>
      </c>
      <c r="E345" t="inlineStr">
        <is>
          <t>NORRTÄLJE</t>
        </is>
      </c>
      <c r="G345" t="n">
        <v>7.6</v>
      </c>
      <c r="H345" t="n">
        <v>0</v>
      </c>
      <c r="I345" t="n">
        <v>0</v>
      </c>
      <c r="J345" t="n">
        <v>0</v>
      </c>
      <c r="K345" t="n">
        <v>0</v>
      </c>
      <c r="L345" t="n">
        <v>0</v>
      </c>
      <c r="M345" t="n">
        <v>0</v>
      </c>
      <c r="N345" t="n">
        <v>0</v>
      </c>
      <c r="O345" t="n">
        <v>0</v>
      </c>
      <c r="P345" t="n">
        <v>0</v>
      </c>
      <c r="Q345" t="n">
        <v>0</v>
      </c>
      <c r="R345" s="2" t="inlineStr"/>
    </row>
    <row r="346" ht="15" customHeight="1">
      <c r="A346" t="inlineStr">
        <is>
          <t>A 56349-2019</t>
        </is>
      </c>
      <c r="B346" s="1" t="n">
        <v>43762</v>
      </c>
      <c r="C346" s="1" t="n">
        <v>45657</v>
      </c>
      <c r="D346" t="inlineStr">
        <is>
          <t>STOCKHOLMS LÄN</t>
        </is>
      </c>
      <c r="E346" t="inlineStr">
        <is>
          <t>NORRTÄLJE</t>
        </is>
      </c>
      <c r="G346" t="n">
        <v>1.5</v>
      </c>
      <c r="H346" t="n">
        <v>0</v>
      </c>
      <c r="I346" t="n">
        <v>0</v>
      </c>
      <c r="J346" t="n">
        <v>0</v>
      </c>
      <c r="K346" t="n">
        <v>0</v>
      </c>
      <c r="L346" t="n">
        <v>0</v>
      </c>
      <c r="M346" t="n">
        <v>0</v>
      </c>
      <c r="N346" t="n">
        <v>0</v>
      </c>
      <c r="O346" t="n">
        <v>0</v>
      </c>
      <c r="P346" t="n">
        <v>0</v>
      </c>
      <c r="Q346" t="n">
        <v>0</v>
      </c>
      <c r="R346" s="2" t="inlineStr"/>
    </row>
    <row r="347" ht="15" customHeight="1">
      <c r="A347" t="inlineStr">
        <is>
          <t>A 57759-2019</t>
        </is>
      </c>
      <c r="B347" s="1" t="n">
        <v>43763</v>
      </c>
      <c r="C347" s="1" t="n">
        <v>45657</v>
      </c>
      <c r="D347" t="inlineStr">
        <is>
          <t>STOCKHOLMS LÄN</t>
        </is>
      </c>
      <c r="E347" t="inlineStr">
        <is>
          <t>NORRTÄLJE</t>
        </is>
      </c>
      <c r="F347" t="inlineStr">
        <is>
          <t>Övriga Aktiebolag</t>
        </is>
      </c>
      <c r="G347" t="n">
        <v>7.3</v>
      </c>
      <c r="H347" t="n">
        <v>0</v>
      </c>
      <c r="I347" t="n">
        <v>0</v>
      </c>
      <c r="J347" t="n">
        <v>0</v>
      </c>
      <c r="K347" t="n">
        <v>0</v>
      </c>
      <c r="L347" t="n">
        <v>0</v>
      </c>
      <c r="M347" t="n">
        <v>0</v>
      </c>
      <c r="N347" t="n">
        <v>0</v>
      </c>
      <c r="O347" t="n">
        <v>0</v>
      </c>
      <c r="P347" t="n">
        <v>0</v>
      </c>
      <c r="Q347" t="n">
        <v>0</v>
      </c>
      <c r="R347" s="2" t="inlineStr"/>
    </row>
    <row r="348" ht="15" customHeight="1">
      <c r="A348" t="inlineStr">
        <is>
          <t>A 57063-2019</t>
        </is>
      </c>
      <c r="B348" s="1" t="n">
        <v>43766</v>
      </c>
      <c r="C348" s="1" t="n">
        <v>45657</v>
      </c>
      <c r="D348" t="inlineStr">
        <is>
          <t>STOCKHOLMS LÄN</t>
        </is>
      </c>
      <c r="E348" t="inlineStr">
        <is>
          <t>NORRTÄLJE</t>
        </is>
      </c>
      <c r="F348" t="inlineStr">
        <is>
          <t>Kyrkan</t>
        </is>
      </c>
      <c r="G348" t="n">
        <v>1.3</v>
      </c>
      <c r="H348" t="n">
        <v>0</v>
      </c>
      <c r="I348" t="n">
        <v>0</v>
      </c>
      <c r="J348" t="n">
        <v>0</v>
      </c>
      <c r="K348" t="n">
        <v>0</v>
      </c>
      <c r="L348" t="n">
        <v>0</v>
      </c>
      <c r="M348" t="n">
        <v>0</v>
      </c>
      <c r="N348" t="n">
        <v>0</v>
      </c>
      <c r="O348" t="n">
        <v>0</v>
      </c>
      <c r="P348" t="n">
        <v>0</v>
      </c>
      <c r="Q348" t="n">
        <v>0</v>
      </c>
      <c r="R348" s="2" t="inlineStr"/>
    </row>
    <row r="349" ht="15" customHeight="1">
      <c r="A349" t="inlineStr">
        <is>
          <t>A 56950-2019</t>
        </is>
      </c>
      <c r="B349" s="1" t="n">
        <v>43766</v>
      </c>
      <c r="C349" s="1" t="n">
        <v>45657</v>
      </c>
      <c r="D349" t="inlineStr">
        <is>
          <t>STOCKHOLMS LÄN</t>
        </is>
      </c>
      <c r="E349" t="inlineStr">
        <is>
          <t>NORRTÄLJE</t>
        </is>
      </c>
      <c r="G349" t="n">
        <v>1.2</v>
      </c>
      <c r="H349" t="n">
        <v>0</v>
      </c>
      <c r="I349" t="n">
        <v>0</v>
      </c>
      <c r="J349" t="n">
        <v>0</v>
      </c>
      <c r="K349" t="n">
        <v>0</v>
      </c>
      <c r="L349" t="n">
        <v>0</v>
      </c>
      <c r="M349" t="n">
        <v>0</v>
      </c>
      <c r="N349" t="n">
        <v>0</v>
      </c>
      <c r="O349" t="n">
        <v>0</v>
      </c>
      <c r="P349" t="n">
        <v>0</v>
      </c>
      <c r="Q349" t="n">
        <v>0</v>
      </c>
      <c r="R349" s="2" t="inlineStr"/>
    </row>
    <row r="350" ht="15" customHeight="1">
      <c r="A350" t="inlineStr">
        <is>
          <t>A 57605-2019</t>
        </is>
      </c>
      <c r="B350" s="1" t="n">
        <v>43768</v>
      </c>
      <c r="C350" s="1" t="n">
        <v>45657</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58064-2019</t>
        </is>
      </c>
      <c r="B351" s="1" t="n">
        <v>43769</v>
      </c>
      <c r="C351" s="1" t="n">
        <v>45657</v>
      </c>
      <c r="D351" t="inlineStr">
        <is>
          <t>STOCKHOLMS LÄN</t>
        </is>
      </c>
      <c r="E351" t="inlineStr">
        <is>
          <t>NORRTÄLJE</t>
        </is>
      </c>
      <c r="G351" t="n">
        <v>1</v>
      </c>
      <c r="H351" t="n">
        <v>0</v>
      </c>
      <c r="I351" t="n">
        <v>0</v>
      </c>
      <c r="J351" t="n">
        <v>0</v>
      </c>
      <c r="K351" t="n">
        <v>0</v>
      </c>
      <c r="L351" t="n">
        <v>0</v>
      </c>
      <c r="M351" t="n">
        <v>0</v>
      </c>
      <c r="N351" t="n">
        <v>0</v>
      </c>
      <c r="O351" t="n">
        <v>0</v>
      </c>
      <c r="P351" t="n">
        <v>0</v>
      </c>
      <c r="Q351" t="n">
        <v>0</v>
      </c>
      <c r="R351" s="2" t="inlineStr"/>
    </row>
    <row r="352" ht="15" customHeight="1">
      <c r="A352" t="inlineStr">
        <is>
          <t>A 58631-2019</t>
        </is>
      </c>
      <c r="B352" s="1" t="n">
        <v>43773</v>
      </c>
      <c r="C352" s="1" t="n">
        <v>45657</v>
      </c>
      <c r="D352" t="inlineStr">
        <is>
          <t>STOCKHOLMS LÄN</t>
        </is>
      </c>
      <c r="E352" t="inlineStr">
        <is>
          <t>NORRTÄLJE</t>
        </is>
      </c>
      <c r="G352" t="n">
        <v>6</v>
      </c>
      <c r="H352" t="n">
        <v>0</v>
      </c>
      <c r="I352" t="n">
        <v>0</v>
      </c>
      <c r="J352" t="n">
        <v>0</v>
      </c>
      <c r="K352" t="n">
        <v>0</v>
      </c>
      <c r="L352" t="n">
        <v>0</v>
      </c>
      <c r="M352" t="n">
        <v>0</v>
      </c>
      <c r="N352" t="n">
        <v>0</v>
      </c>
      <c r="O352" t="n">
        <v>0</v>
      </c>
      <c r="P352" t="n">
        <v>0</v>
      </c>
      <c r="Q352" t="n">
        <v>0</v>
      </c>
      <c r="R352" s="2" t="inlineStr"/>
    </row>
    <row r="353" ht="15" customHeight="1">
      <c r="A353" t="inlineStr">
        <is>
          <t>A 60214-2019</t>
        </is>
      </c>
      <c r="B353" s="1" t="n">
        <v>43780</v>
      </c>
      <c r="C353" s="1" t="n">
        <v>45657</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60208-2019</t>
        </is>
      </c>
      <c r="B354" s="1" t="n">
        <v>43780</v>
      </c>
      <c r="C354" s="1" t="n">
        <v>45657</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60842-2019</t>
        </is>
      </c>
      <c r="B355" s="1" t="n">
        <v>43781</v>
      </c>
      <c r="C355" s="1" t="n">
        <v>45657</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60844-2019</t>
        </is>
      </c>
      <c r="B356" s="1" t="n">
        <v>43781</v>
      </c>
      <c r="C356" s="1" t="n">
        <v>45657</v>
      </c>
      <c r="D356" t="inlineStr">
        <is>
          <t>STOCKHOLMS LÄN</t>
        </is>
      </c>
      <c r="E356" t="inlineStr">
        <is>
          <t>NORRTÄLJE</t>
        </is>
      </c>
      <c r="G356" t="n">
        <v>0.9</v>
      </c>
      <c r="H356" t="n">
        <v>0</v>
      </c>
      <c r="I356" t="n">
        <v>0</v>
      </c>
      <c r="J356" t="n">
        <v>0</v>
      </c>
      <c r="K356" t="n">
        <v>0</v>
      </c>
      <c r="L356" t="n">
        <v>0</v>
      </c>
      <c r="M356" t="n">
        <v>0</v>
      </c>
      <c r="N356" t="n">
        <v>0</v>
      </c>
      <c r="O356" t="n">
        <v>0</v>
      </c>
      <c r="P356" t="n">
        <v>0</v>
      </c>
      <c r="Q356" t="n">
        <v>0</v>
      </c>
      <c r="R356" s="2" t="inlineStr"/>
    </row>
    <row r="357" ht="15" customHeight="1">
      <c r="A357" t="inlineStr">
        <is>
          <t>A 61657-2019</t>
        </is>
      </c>
      <c r="B357" s="1" t="n">
        <v>43784</v>
      </c>
      <c r="C357" s="1" t="n">
        <v>45657</v>
      </c>
      <c r="D357" t="inlineStr">
        <is>
          <t>STOCKHOLMS LÄN</t>
        </is>
      </c>
      <c r="E357" t="inlineStr">
        <is>
          <t>NORRTÄLJE</t>
        </is>
      </c>
      <c r="G357" t="n">
        <v>5</v>
      </c>
      <c r="H357" t="n">
        <v>0</v>
      </c>
      <c r="I357" t="n">
        <v>0</v>
      </c>
      <c r="J357" t="n">
        <v>0</v>
      </c>
      <c r="K357" t="n">
        <v>0</v>
      </c>
      <c r="L357" t="n">
        <v>0</v>
      </c>
      <c r="M357" t="n">
        <v>0</v>
      </c>
      <c r="N357" t="n">
        <v>0</v>
      </c>
      <c r="O357" t="n">
        <v>0</v>
      </c>
      <c r="P357" t="n">
        <v>0</v>
      </c>
      <c r="Q357" t="n">
        <v>0</v>
      </c>
      <c r="R357" s="2" t="inlineStr"/>
    </row>
    <row r="358" ht="15" customHeight="1">
      <c r="A358" t="inlineStr">
        <is>
          <t>A 62980-2019</t>
        </is>
      </c>
      <c r="B358" s="1" t="n">
        <v>43790</v>
      </c>
      <c r="C358" s="1" t="n">
        <v>45657</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63513-2019</t>
        </is>
      </c>
      <c r="B359" s="1" t="n">
        <v>43794</v>
      </c>
      <c r="C359" s="1" t="n">
        <v>45657</v>
      </c>
      <c r="D359" t="inlineStr">
        <is>
          <t>STOCKHOLMS LÄN</t>
        </is>
      </c>
      <c r="E359" t="inlineStr">
        <is>
          <t>NORRTÄLJE</t>
        </is>
      </c>
      <c r="G359" t="n">
        <v>9</v>
      </c>
      <c r="H359" t="n">
        <v>0</v>
      </c>
      <c r="I359" t="n">
        <v>0</v>
      </c>
      <c r="J359" t="n">
        <v>0</v>
      </c>
      <c r="K359" t="n">
        <v>0</v>
      </c>
      <c r="L359" t="n">
        <v>0</v>
      </c>
      <c r="M359" t="n">
        <v>0</v>
      </c>
      <c r="N359" t="n">
        <v>0</v>
      </c>
      <c r="O359" t="n">
        <v>0</v>
      </c>
      <c r="P359" t="n">
        <v>0</v>
      </c>
      <c r="Q359" t="n">
        <v>0</v>
      </c>
      <c r="R359" s="2" t="inlineStr"/>
    </row>
    <row r="360" ht="15" customHeight="1">
      <c r="A360" t="inlineStr">
        <is>
          <t>A 63529-2019</t>
        </is>
      </c>
      <c r="B360" s="1" t="n">
        <v>43794</v>
      </c>
      <c r="C360" s="1" t="n">
        <v>45657</v>
      </c>
      <c r="D360" t="inlineStr">
        <is>
          <t>STOCKHOLMS LÄN</t>
        </is>
      </c>
      <c r="E360" t="inlineStr">
        <is>
          <t>NORRTÄLJE</t>
        </is>
      </c>
      <c r="G360" t="n">
        <v>0.4</v>
      </c>
      <c r="H360" t="n">
        <v>0</v>
      </c>
      <c r="I360" t="n">
        <v>0</v>
      </c>
      <c r="J360" t="n">
        <v>0</v>
      </c>
      <c r="K360" t="n">
        <v>0</v>
      </c>
      <c r="L360" t="n">
        <v>0</v>
      </c>
      <c r="M360" t="n">
        <v>0</v>
      </c>
      <c r="N360" t="n">
        <v>0</v>
      </c>
      <c r="O360" t="n">
        <v>0</v>
      </c>
      <c r="P360" t="n">
        <v>0</v>
      </c>
      <c r="Q360" t="n">
        <v>0</v>
      </c>
      <c r="R360" s="2" t="inlineStr"/>
    </row>
    <row r="361" ht="15" customHeight="1">
      <c r="A361" t="inlineStr">
        <is>
          <t>A 63495-2019</t>
        </is>
      </c>
      <c r="B361" s="1" t="n">
        <v>43794</v>
      </c>
      <c r="C361" s="1" t="n">
        <v>45657</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63504-2019</t>
        </is>
      </c>
      <c r="B362" s="1" t="n">
        <v>43794</v>
      </c>
      <c r="C362" s="1" t="n">
        <v>45657</v>
      </c>
      <c r="D362" t="inlineStr">
        <is>
          <t>STOCKHOLMS LÄN</t>
        </is>
      </c>
      <c r="E362" t="inlineStr">
        <is>
          <t>NORRTÄLJE</t>
        </is>
      </c>
      <c r="G362" t="n">
        <v>2.3</v>
      </c>
      <c r="H362" t="n">
        <v>0</v>
      </c>
      <c r="I362" t="n">
        <v>0</v>
      </c>
      <c r="J362" t="n">
        <v>0</v>
      </c>
      <c r="K362" t="n">
        <v>0</v>
      </c>
      <c r="L362" t="n">
        <v>0</v>
      </c>
      <c r="M362" t="n">
        <v>0</v>
      </c>
      <c r="N362" t="n">
        <v>0</v>
      </c>
      <c r="O362" t="n">
        <v>0</v>
      </c>
      <c r="P362" t="n">
        <v>0</v>
      </c>
      <c r="Q362" t="n">
        <v>0</v>
      </c>
      <c r="R362" s="2" t="inlineStr"/>
    </row>
    <row r="363" ht="15" customHeight="1">
      <c r="A363" t="inlineStr">
        <is>
          <t>A 63528-2019</t>
        </is>
      </c>
      <c r="B363" s="1" t="n">
        <v>43794</v>
      </c>
      <c r="C363" s="1" t="n">
        <v>45657</v>
      </c>
      <c r="D363" t="inlineStr">
        <is>
          <t>STOCKHOLMS LÄN</t>
        </is>
      </c>
      <c r="E363" t="inlineStr">
        <is>
          <t>NORRTÄLJE</t>
        </is>
      </c>
      <c r="G363" t="n">
        <v>1.4</v>
      </c>
      <c r="H363" t="n">
        <v>0</v>
      </c>
      <c r="I363" t="n">
        <v>0</v>
      </c>
      <c r="J363" t="n">
        <v>0</v>
      </c>
      <c r="K363" t="n">
        <v>0</v>
      </c>
      <c r="L363" t="n">
        <v>0</v>
      </c>
      <c r="M363" t="n">
        <v>0</v>
      </c>
      <c r="N363" t="n">
        <v>0</v>
      </c>
      <c r="O363" t="n">
        <v>0</v>
      </c>
      <c r="P363" t="n">
        <v>0</v>
      </c>
      <c r="Q363" t="n">
        <v>0</v>
      </c>
      <c r="R363" s="2" t="inlineStr"/>
    </row>
    <row r="364" ht="15" customHeight="1">
      <c r="A364" t="inlineStr">
        <is>
          <t>A 63515-2019</t>
        </is>
      </c>
      <c r="B364" s="1" t="n">
        <v>43794</v>
      </c>
      <c r="C364" s="1" t="n">
        <v>45657</v>
      </c>
      <c r="D364" t="inlineStr">
        <is>
          <t>STOCKHOLMS LÄN</t>
        </is>
      </c>
      <c r="E364" t="inlineStr">
        <is>
          <t>NORRTÄLJE</t>
        </is>
      </c>
      <c r="G364" t="n">
        <v>7.1</v>
      </c>
      <c r="H364" t="n">
        <v>0</v>
      </c>
      <c r="I364" t="n">
        <v>0</v>
      </c>
      <c r="J364" t="n">
        <v>0</v>
      </c>
      <c r="K364" t="n">
        <v>0</v>
      </c>
      <c r="L364" t="n">
        <v>0</v>
      </c>
      <c r="M364" t="n">
        <v>0</v>
      </c>
      <c r="N364" t="n">
        <v>0</v>
      </c>
      <c r="O364" t="n">
        <v>0</v>
      </c>
      <c r="P364" t="n">
        <v>0</v>
      </c>
      <c r="Q364" t="n">
        <v>0</v>
      </c>
      <c r="R364" s="2" t="inlineStr"/>
    </row>
    <row r="365" ht="15" customHeight="1">
      <c r="A365" t="inlineStr">
        <is>
          <t>A 64293-2019</t>
        </is>
      </c>
      <c r="B365" s="1" t="n">
        <v>43797</v>
      </c>
      <c r="C365" s="1" t="n">
        <v>45657</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65640-2019</t>
        </is>
      </c>
      <c r="B366" s="1" t="n">
        <v>43804</v>
      </c>
      <c r="C366" s="1" t="n">
        <v>45657</v>
      </c>
      <c r="D366" t="inlineStr">
        <is>
          <t>STOCKHOLMS LÄN</t>
        </is>
      </c>
      <c r="E366" t="inlineStr">
        <is>
          <t>NORRTÄLJE</t>
        </is>
      </c>
      <c r="G366" t="n">
        <v>0.8</v>
      </c>
      <c r="H366" t="n">
        <v>0</v>
      </c>
      <c r="I366" t="n">
        <v>0</v>
      </c>
      <c r="J366" t="n">
        <v>0</v>
      </c>
      <c r="K366" t="n">
        <v>0</v>
      </c>
      <c r="L366" t="n">
        <v>0</v>
      </c>
      <c r="M366" t="n">
        <v>0</v>
      </c>
      <c r="N366" t="n">
        <v>0</v>
      </c>
      <c r="O366" t="n">
        <v>0</v>
      </c>
      <c r="P366" t="n">
        <v>0</v>
      </c>
      <c r="Q366" t="n">
        <v>0</v>
      </c>
      <c r="R366" s="2" t="inlineStr"/>
    </row>
    <row r="367" ht="15" customHeight="1">
      <c r="A367" t="inlineStr">
        <is>
          <t>A 65998-2019</t>
        </is>
      </c>
      <c r="B367" s="1" t="n">
        <v>43805</v>
      </c>
      <c r="C367" s="1" t="n">
        <v>45657</v>
      </c>
      <c r="D367" t="inlineStr">
        <is>
          <t>STOCKHOLMS LÄN</t>
        </is>
      </c>
      <c r="E367" t="inlineStr">
        <is>
          <t>NORRTÄLJE</t>
        </is>
      </c>
      <c r="G367" t="n">
        <v>6.5</v>
      </c>
      <c r="H367" t="n">
        <v>0</v>
      </c>
      <c r="I367" t="n">
        <v>0</v>
      </c>
      <c r="J367" t="n">
        <v>0</v>
      </c>
      <c r="K367" t="n">
        <v>0</v>
      </c>
      <c r="L367" t="n">
        <v>0</v>
      </c>
      <c r="M367" t="n">
        <v>0</v>
      </c>
      <c r="N367" t="n">
        <v>0</v>
      </c>
      <c r="O367" t="n">
        <v>0</v>
      </c>
      <c r="P367" t="n">
        <v>0</v>
      </c>
      <c r="Q367" t="n">
        <v>0</v>
      </c>
      <c r="R367" s="2" t="inlineStr"/>
    </row>
    <row r="368" ht="15" customHeight="1">
      <c r="A368" t="inlineStr">
        <is>
          <t>A 66604-2019</t>
        </is>
      </c>
      <c r="B368" s="1" t="n">
        <v>43809</v>
      </c>
      <c r="C368" s="1" t="n">
        <v>45657</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67158-2019</t>
        </is>
      </c>
      <c r="B369" s="1" t="n">
        <v>43811</v>
      </c>
      <c r="C369" s="1" t="n">
        <v>45657</v>
      </c>
      <c r="D369" t="inlineStr">
        <is>
          <t>STOCKHOLMS LÄN</t>
        </is>
      </c>
      <c r="E369" t="inlineStr">
        <is>
          <t>NORRTÄLJE</t>
        </is>
      </c>
      <c r="G369" t="n">
        <v>4.4</v>
      </c>
      <c r="H369" t="n">
        <v>0</v>
      </c>
      <c r="I369" t="n">
        <v>0</v>
      </c>
      <c r="J369" t="n">
        <v>0</v>
      </c>
      <c r="K369" t="n">
        <v>0</v>
      </c>
      <c r="L369" t="n">
        <v>0</v>
      </c>
      <c r="M369" t="n">
        <v>0</v>
      </c>
      <c r="N369" t="n">
        <v>0</v>
      </c>
      <c r="O369" t="n">
        <v>0</v>
      </c>
      <c r="P369" t="n">
        <v>0</v>
      </c>
      <c r="Q369" t="n">
        <v>0</v>
      </c>
      <c r="R369" s="2" t="inlineStr"/>
    </row>
    <row r="370" ht="15" customHeight="1">
      <c r="A370" t="inlineStr">
        <is>
          <t>A 67324-2019</t>
        </is>
      </c>
      <c r="B370" s="1" t="n">
        <v>43812</v>
      </c>
      <c r="C370" s="1" t="n">
        <v>45657</v>
      </c>
      <c r="D370" t="inlineStr">
        <is>
          <t>STOCKHOLMS LÄN</t>
        </is>
      </c>
      <c r="E370" t="inlineStr">
        <is>
          <t>NORRTÄLJE</t>
        </is>
      </c>
      <c r="G370" t="n">
        <v>7.7</v>
      </c>
      <c r="H370" t="n">
        <v>0</v>
      </c>
      <c r="I370" t="n">
        <v>0</v>
      </c>
      <c r="J370" t="n">
        <v>0</v>
      </c>
      <c r="K370" t="n">
        <v>0</v>
      </c>
      <c r="L370" t="n">
        <v>0</v>
      </c>
      <c r="M370" t="n">
        <v>0</v>
      </c>
      <c r="N370" t="n">
        <v>0</v>
      </c>
      <c r="O370" t="n">
        <v>0</v>
      </c>
      <c r="P370" t="n">
        <v>0</v>
      </c>
      <c r="Q370" t="n">
        <v>0</v>
      </c>
      <c r="R370" s="2" t="inlineStr"/>
    </row>
    <row r="371" ht="15" customHeight="1">
      <c r="A371" t="inlineStr">
        <is>
          <t>A 68865-2019</t>
        </is>
      </c>
      <c r="B371" s="1" t="n">
        <v>43821</v>
      </c>
      <c r="C371" s="1" t="n">
        <v>45657</v>
      </c>
      <c r="D371" t="inlineStr">
        <is>
          <t>STOCKHOLMS LÄN</t>
        </is>
      </c>
      <c r="E371" t="inlineStr">
        <is>
          <t>NORRTÄLJE</t>
        </is>
      </c>
      <c r="G371" t="n">
        <v>1.8</v>
      </c>
      <c r="H371" t="n">
        <v>0</v>
      </c>
      <c r="I371" t="n">
        <v>0</v>
      </c>
      <c r="J371" t="n">
        <v>0</v>
      </c>
      <c r="K371" t="n">
        <v>0</v>
      </c>
      <c r="L371" t="n">
        <v>0</v>
      </c>
      <c r="M371" t="n">
        <v>0</v>
      </c>
      <c r="N371" t="n">
        <v>0</v>
      </c>
      <c r="O371" t="n">
        <v>0</v>
      </c>
      <c r="P371" t="n">
        <v>0</v>
      </c>
      <c r="Q371" t="n">
        <v>0</v>
      </c>
      <c r="R371" s="2" t="inlineStr"/>
    </row>
    <row r="372" ht="15" customHeight="1">
      <c r="A372" t="inlineStr">
        <is>
          <t>A 1099-2020</t>
        </is>
      </c>
      <c r="B372" s="1" t="n">
        <v>43822</v>
      </c>
      <c r="C372" s="1" t="n">
        <v>45657</v>
      </c>
      <c r="D372" t="inlineStr">
        <is>
          <t>STOCKHOLMS LÄN</t>
        </is>
      </c>
      <c r="E372" t="inlineStr">
        <is>
          <t>NORRTÄLJE</t>
        </is>
      </c>
      <c r="G372" t="n">
        <v>2.7</v>
      </c>
      <c r="H372" t="n">
        <v>0</v>
      </c>
      <c r="I372" t="n">
        <v>0</v>
      </c>
      <c r="J372" t="n">
        <v>0</v>
      </c>
      <c r="K372" t="n">
        <v>0</v>
      </c>
      <c r="L372" t="n">
        <v>0</v>
      </c>
      <c r="M372" t="n">
        <v>0</v>
      </c>
      <c r="N372" t="n">
        <v>0</v>
      </c>
      <c r="O372" t="n">
        <v>0</v>
      </c>
      <c r="P372" t="n">
        <v>0</v>
      </c>
      <c r="Q372" t="n">
        <v>0</v>
      </c>
      <c r="R372" s="2" t="inlineStr"/>
    </row>
    <row r="373" ht="15" customHeight="1">
      <c r="A373" t="inlineStr">
        <is>
          <t>A 4475-2020</t>
        </is>
      </c>
      <c r="B373" s="1" t="n">
        <v>43849</v>
      </c>
      <c r="C373" s="1" t="n">
        <v>45657</v>
      </c>
      <c r="D373" t="inlineStr">
        <is>
          <t>STOCKHOLMS LÄN</t>
        </is>
      </c>
      <c r="E373" t="inlineStr">
        <is>
          <t>NORRTÄLJE</t>
        </is>
      </c>
      <c r="G373" t="n">
        <v>1.6</v>
      </c>
      <c r="H373" t="n">
        <v>0</v>
      </c>
      <c r="I373" t="n">
        <v>0</v>
      </c>
      <c r="J373" t="n">
        <v>0</v>
      </c>
      <c r="K373" t="n">
        <v>0</v>
      </c>
      <c r="L373" t="n">
        <v>0</v>
      </c>
      <c r="M373" t="n">
        <v>0</v>
      </c>
      <c r="N373" t="n">
        <v>0</v>
      </c>
      <c r="O373" t="n">
        <v>0</v>
      </c>
      <c r="P373" t="n">
        <v>0</v>
      </c>
      <c r="Q373" t="n">
        <v>0</v>
      </c>
      <c r="R373" s="2" t="inlineStr"/>
    </row>
    <row r="374" ht="15" customHeight="1">
      <c r="A374" t="inlineStr">
        <is>
          <t>A 3882-2020</t>
        </is>
      </c>
      <c r="B374" s="1" t="n">
        <v>43854</v>
      </c>
      <c r="C374" s="1" t="n">
        <v>45657</v>
      </c>
      <c r="D374" t="inlineStr">
        <is>
          <t>STOCKHOLMS LÄN</t>
        </is>
      </c>
      <c r="E374" t="inlineStr">
        <is>
          <t>NORRTÄLJE</t>
        </is>
      </c>
      <c r="G374" t="n">
        <v>5.9</v>
      </c>
      <c r="H374" t="n">
        <v>0</v>
      </c>
      <c r="I374" t="n">
        <v>0</v>
      </c>
      <c r="J374" t="n">
        <v>0</v>
      </c>
      <c r="K374" t="n">
        <v>0</v>
      </c>
      <c r="L374" t="n">
        <v>0</v>
      </c>
      <c r="M374" t="n">
        <v>0</v>
      </c>
      <c r="N374" t="n">
        <v>0</v>
      </c>
      <c r="O374" t="n">
        <v>0</v>
      </c>
      <c r="P374" t="n">
        <v>0</v>
      </c>
      <c r="Q374" t="n">
        <v>0</v>
      </c>
      <c r="R374" s="2" t="inlineStr"/>
    </row>
    <row r="375" ht="15" customHeight="1">
      <c r="A375" t="inlineStr">
        <is>
          <t>A 4094-2020</t>
        </is>
      </c>
      <c r="B375" s="1" t="n">
        <v>43857</v>
      </c>
      <c r="C375" s="1" t="n">
        <v>45657</v>
      </c>
      <c r="D375" t="inlineStr">
        <is>
          <t>STOCKHOLMS LÄN</t>
        </is>
      </c>
      <c r="E375" t="inlineStr">
        <is>
          <t>NORRTÄLJE</t>
        </is>
      </c>
      <c r="G375" t="n">
        <v>2.5</v>
      </c>
      <c r="H375" t="n">
        <v>0</v>
      </c>
      <c r="I375" t="n">
        <v>0</v>
      </c>
      <c r="J375" t="n">
        <v>0</v>
      </c>
      <c r="K375" t="n">
        <v>0</v>
      </c>
      <c r="L375" t="n">
        <v>0</v>
      </c>
      <c r="M375" t="n">
        <v>0</v>
      </c>
      <c r="N375" t="n">
        <v>0</v>
      </c>
      <c r="O375" t="n">
        <v>0</v>
      </c>
      <c r="P375" t="n">
        <v>0</v>
      </c>
      <c r="Q375" t="n">
        <v>0</v>
      </c>
      <c r="R375" s="2" t="inlineStr"/>
    </row>
    <row r="376" ht="15" customHeight="1">
      <c r="A376" t="inlineStr">
        <is>
          <t>A 4950-2020</t>
        </is>
      </c>
      <c r="B376" s="1" t="n">
        <v>43859</v>
      </c>
      <c r="C376" s="1" t="n">
        <v>45657</v>
      </c>
      <c r="D376" t="inlineStr">
        <is>
          <t>STOCKHOLMS LÄN</t>
        </is>
      </c>
      <c r="E376" t="inlineStr">
        <is>
          <t>NORRTÄLJE</t>
        </is>
      </c>
      <c r="G376" t="n">
        <v>0.4</v>
      </c>
      <c r="H376" t="n">
        <v>0</v>
      </c>
      <c r="I376" t="n">
        <v>0</v>
      </c>
      <c r="J376" t="n">
        <v>0</v>
      </c>
      <c r="K376" t="n">
        <v>0</v>
      </c>
      <c r="L376" t="n">
        <v>0</v>
      </c>
      <c r="M376" t="n">
        <v>0</v>
      </c>
      <c r="N376" t="n">
        <v>0</v>
      </c>
      <c r="O376" t="n">
        <v>0</v>
      </c>
      <c r="P376" t="n">
        <v>0</v>
      </c>
      <c r="Q376" t="n">
        <v>0</v>
      </c>
      <c r="R376" s="2" t="inlineStr"/>
    </row>
    <row r="377" ht="15" customHeight="1">
      <c r="A377" t="inlineStr">
        <is>
          <t>A 5084-2020</t>
        </is>
      </c>
      <c r="B377" s="1" t="n">
        <v>43859</v>
      </c>
      <c r="C377" s="1" t="n">
        <v>45657</v>
      </c>
      <c r="D377" t="inlineStr">
        <is>
          <t>STOCKHOLMS LÄN</t>
        </is>
      </c>
      <c r="E377" t="inlineStr">
        <is>
          <t>NORRTÄLJE</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4952-2020</t>
        </is>
      </c>
      <c r="B378" s="1" t="n">
        <v>43859</v>
      </c>
      <c r="C378" s="1" t="n">
        <v>45657</v>
      </c>
      <c r="D378" t="inlineStr">
        <is>
          <t>STOCKHOLMS LÄN</t>
        </is>
      </c>
      <c r="E378" t="inlineStr">
        <is>
          <t>NORRTÄLJE</t>
        </is>
      </c>
      <c r="G378" t="n">
        <v>0.3</v>
      </c>
      <c r="H378" t="n">
        <v>0</v>
      </c>
      <c r="I378" t="n">
        <v>0</v>
      </c>
      <c r="J378" t="n">
        <v>0</v>
      </c>
      <c r="K378" t="n">
        <v>0</v>
      </c>
      <c r="L378" t="n">
        <v>0</v>
      </c>
      <c r="M378" t="n">
        <v>0</v>
      </c>
      <c r="N378" t="n">
        <v>0</v>
      </c>
      <c r="O378" t="n">
        <v>0</v>
      </c>
      <c r="P378" t="n">
        <v>0</v>
      </c>
      <c r="Q378" t="n">
        <v>0</v>
      </c>
      <c r="R378" s="2" t="inlineStr"/>
    </row>
    <row r="379" ht="15" customHeight="1">
      <c r="A379" t="inlineStr">
        <is>
          <t>A 5735-2020</t>
        </is>
      </c>
      <c r="B379" s="1" t="n">
        <v>43863</v>
      </c>
      <c r="C379" s="1" t="n">
        <v>45657</v>
      </c>
      <c r="D379" t="inlineStr">
        <is>
          <t>STOCKHOLMS LÄN</t>
        </is>
      </c>
      <c r="E379" t="inlineStr">
        <is>
          <t>NORRTÄLJE</t>
        </is>
      </c>
      <c r="G379" t="n">
        <v>0.5</v>
      </c>
      <c r="H379" t="n">
        <v>0</v>
      </c>
      <c r="I379" t="n">
        <v>0</v>
      </c>
      <c r="J379" t="n">
        <v>0</v>
      </c>
      <c r="K379" t="n">
        <v>0</v>
      </c>
      <c r="L379" t="n">
        <v>0</v>
      </c>
      <c r="M379" t="n">
        <v>0</v>
      </c>
      <c r="N379" t="n">
        <v>0</v>
      </c>
      <c r="O379" t="n">
        <v>0</v>
      </c>
      <c r="P379" t="n">
        <v>0</v>
      </c>
      <c r="Q379" t="n">
        <v>0</v>
      </c>
      <c r="R379" s="2" t="inlineStr"/>
    </row>
    <row r="380" ht="15" customHeight="1">
      <c r="A380" t="inlineStr">
        <is>
          <t>A 5733-2020</t>
        </is>
      </c>
      <c r="B380" s="1" t="n">
        <v>43863</v>
      </c>
      <c r="C380" s="1" t="n">
        <v>45657</v>
      </c>
      <c r="D380" t="inlineStr">
        <is>
          <t>STOCKHOLMS LÄN</t>
        </is>
      </c>
      <c r="E380" t="inlineStr">
        <is>
          <t>NORRTÄLJE</t>
        </is>
      </c>
      <c r="G380" t="n">
        <v>1.5</v>
      </c>
      <c r="H380" t="n">
        <v>0</v>
      </c>
      <c r="I380" t="n">
        <v>0</v>
      </c>
      <c r="J380" t="n">
        <v>0</v>
      </c>
      <c r="K380" t="n">
        <v>0</v>
      </c>
      <c r="L380" t="n">
        <v>0</v>
      </c>
      <c r="M380" t="n">
        <v>0</v>
      </c>
      <c r="N380" t="n">
        <v>0</v>
      </c>
      <c r="O380" t="n">
        <v>0</v>
      </c>
      <c r="P380" t="n">
        <v>0</v>
      </c>
      <c r="Q380" t="n">
        <v>0</v>
      </c>
      <c r="R380" s="2" t="inlineStr"/>
    </row>
    <row r="381" ht="15" customHeight="1">
      <c r="A381" t="inlineStr">
        <is>
          <t>A 5739-2020</t>
        </is>
      </c>
      <c r="B381" s="1" t="n">
        <v>43863</v>
      </c>
      <c r="C381" s="1" t="n">
        <v>45657</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7471-2020</t>
        </is>
      </c>
      <c r="B382" s="1" t="n">
        <v>43871</v>
      </c>
      <c r="C382" s="1" t="n">
        <v>45657</v>
      </c>
      <c r="D382" t="inlineStr">
        <is>
          <t>STOCKHOLMS LÄN</t>
        </is>
      </c>
      <c r="E382" t="inlineStr">
        <is>
          <t>NORRTÄLJE</t>
        </is>
      </c>
      <c r="G382" t="n">
        <v>7.8</v>
      </c>
      <c r="H382" t="n">
        <v>0</v>
      </c>
      <c r="I382" t="n">
        <v>0</v>
      </c>
      <c r="J382" t="n">
        <v>0</v>
      </c>
      <c r="K382" t="n">
        <v>0</v>
      </c>
      <c r="L382" t="n">
        <v>0</v>
      </c>
      <c r="M382" t="n">
        <v>0</v>
      </c>
      <c r="N382" t="n">
        <v>0</v>
      </c>
      <c r="O382" t="n">
        <v>0</v>
      </c>
      <c r="P382" t="n">
        <v>0</v>
      </c>
      <c r="Q382" t="n">
        <v>0</v>
      </c>
      <c r="R382" s="2" t="inlineStr"/>
    </row>
    <row r="383" ht="15" customHeight="1">
      <c r="A383" t="inlineStr">
        <is>
          <t>A 9845-2020</t>
        </is>
      </c>
      <c r="B383" s="1" t="n">
        <v>43881</v>
      </c>
      <c r="C383" s="1" t="n">
        <v>45657</v>
      </c>
      <c r="D383" t="inlineStr">
        <is>
          <t>STOCKHOLMS LÄN</t>
        </is>
      </c>
      <c r="E383" t="inlineStr">
        <is>
          <t>NORRTÄLJE</t>
        </is>
      </c>
      <c r="G383" t="n">
        <v>0.4</v>
      </c>
      <c r="H383" t="n">
        <v>0</v>
      </c>
      <c r="I383" t="n">
        <v>0</v>
      </c>
      <c r="J383" t="n">
        <v>0</v>
      </c>
      <c r="K383" t="n">
        <v>0</v>
      </c>
      <c r="L383" t="n">
        <v>0</v>
      </c>
      <c r="M383" t="n">
        <v>0</v>
      </c>
      <c r="N383" t="n">
        <v>0</v>
      </c>
      <c r="O383" t="n">
        <v>0</v>
      </c>
      <c r="P383" t="n">
        <v>0</v>
      </c>
      <c r="Q383" t="n">
        <v>0</v>
      </c>
      <c r="R383" s="2" t="inlineStr"/>
    </row>
    <row r="384" ht="15" customHeight="1">
      <c r="A384" t="inlineStr">
        <is>
          <t>A 10618-2020</t>
        </is>
      </c>
      <c r="B384" s="1" t="n">
        <v>43887</v>
      </c>
      <c r="C384" s="1" t="n">
        <v>45657</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11184-2020</t>
        </is>
      </c>
      <c r="B385" s="1" t="n">
        <v>43892</v>
      </c>
      <c r="C385" s="1" t="n">
        <v>45657</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11576-2020</t>
        </is>
      </c>
      <c r="B386" s="1" t="n">
        <v>43893</v>
      </c>
      <c r="C386" s="1" t="n">
        <v>45657</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12113-2020</t>
        </is>
      </c>
      <c r="B387" s="1" t="n">
        <v>43895</v>
      </c>
      <c r="C387" s="1" t="n">
        <v>45657</v>
      </c>
      <c r="D387" t="inlineStr">
        <is>
          <t>STOCKHOLMS LÄN</t>
        </is>
      </c>
      <c r="E387" t="inlineStr">
        <is>
          <t>NORRTÄLJE</t>
        </is>
      </c>
      <c r="G387" t="n">
        <v>2.6</v>
      </c>
      <c r="H387" t="n">
        <v>0</v>
      </c>
      <c r="I387" t="n">
        <v>0</v>
      </c>
      <c r="J387" t="n">
        <v>0</v>
      </c>
      <c r="K387" t="n">
        <v>0</v>
      </c>
      <c r="L387" t="n">
        <v>0</v>
      </c>
      <c r="M387" t="n">
        <v>0</v>
      </c>
      <c r="N387" t="n">
        <v>0</v>
      </c>
      <c r="O387" t="n">
        <v>0</v>
      </c>
      <c r="P387" t="n">
        <v>0</v>
      </c>
      <c r="Q387" t="n">
        <v>0</v>
      </c>
      <c r="R387" s="2" t="inlineStr"/>
    </row>
    <row r="388" ht="15" customHeight="1">
      <c r="A388" t="inlineStr">
        <is>
          <t>A 12970-2020</t>
        </is>
      </c>
      <c r="B388" s="1" t="n">
        <v>43900</v>
      </c>
      <c r="C388" s="1" t="n">
        <v>45657</v>
      </c>
      <c r="D388" t="inlineStr">
        <is>
          <t>STOCKHOLMS LÄN</t>
        </is>
      </c>
      <c r="E388" t="inlineStr">
        <is>
          <t>NORRTÄLJE</t>
        </is>
      </c>
      <c r="F388" t="inlineStr">
        <is>
          <t>Kommuner</t>
        </is>
      </c>
      <c r="G388" t="n">
        <v>3</v>
      </c>
      <c r="H388" t="n">
        <v>0</v>
      </c>
      <c r="I388" t="n">
        <v>0</v>
      </c>
      <c r="J388" t="n">
        <v>0</v>
      </c>
      <c r="K388" t="n">
        <v>0</v>
      </c>
      <c r="L388" t="n">
        <v>0</v>
      </c>
      <c r="M388" t="n">
        <v>0</v>
      </c>
      <c r="N388" t="n">
        <v>0</v>
      </c>
      <c r="O388" t="n">
        <v>0</v>
      </c>
      <c r="P388" t="n">
        <v>0</v>
      </c>
      <c r="Q388" t="n">
        <v>0</v>
      </c>
      <c r="R388" s="2" t="inlineStr"/>
    </row>
    <row r="389" ht="15" customHeight="1">
      <c r="A389" t="inlineStr">
        <is>
          <t>A 13230-2020</t>
        </is>
      </c>
      <c r="B389" s="1" t="n">
        <v>43901</v>
      </c>
      <c r="C389" s="1" t="n">
        <v>45657</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13287-2020</t>
        </is>
      </c>
      <c r="B390" s="1" t="n">
        <v>43901</v>
      </c>
      <c r="C390" s="1" t="n">
        <v>45657</v>
      </c>
      <c r="D390" t="inlineStr">
        <is>
          <t>STOCKHOLMS LÄN</t>
        </is>
      </c>
      <c r="E390" t="inlineStr">
        <is>
          <t>NORRTÄLJE</t>
        </is>
      </c>
      <c r="F390" t="inlineStr">
        <is>
          <t>Kommuner</t>
        </is>
      </c>
      <c r="G390" t="n">
        <v>3.2</v>
      </c>
      <c r="H390" t="n">
        <v>0</v>
      </c>
      <c r="I390" t="n">
        <v>0</v>
      </c>
      <c r="J390" t="n">
        <v>0</v>
      </c>
      <c r="K390" t="n">
        <v>0</v>
      </c>
      <c r="L390" t="n">
        <v>0</v>
      </c>
      <c r="M390" t="n">
        <v>0</v>
      </c>
      <c r="N390" t="n">
        <v>0</v>
      </c>
      <c r="O390" t="n">
        <v>0</v>
      </c>
      <c r="P390" t="n">
        <v>0</v>
      </c>
      <c r="Q390" t="n">
        <v>0</v>
      </c>
      <c r="R390" s="2" t="inlineStr"/>
    </row>
    <row r="391" ht="15" customHeight="1">
      <c r="A391" t="inlineStr">
        <is>
          <t>A 13281-2020</t>
        </is>
      </c>
      <c r="B391" s="1" t="n">
        <v>43901</v>
      </c>
      <c r="C391" s="1" t="n">
        <v>45657</v>
      </c>
      <c r="D391" t="inlineStr">
        <is>
          <t>STOCKHOLMS LÄN</t>
        </is>
      </c>
      <c r="E391" t="inlineStr">
        <is>
          <t>NORRTÄLJE</t>
        </is>
      </c>
      <c r="G391" t="n">
        <v>0.7</v>
      </c>
      <c r="H391" t="n">
        <v>0</v>
      </c>
      <c r="I391" t="n">
        <v>0</v>
      </c>
      <c r="J391" t="n">
        <v>0</v>
      </c>
      <c r="K391" t="n">
        <v>0</v>
      </c>
      <c r="L391" t="n">
        <v>0</v>
      </c>
      <c r="M391" t="n">
        <v>0</v>
      </c>
      <c r="N391" t="n">
        <v>0</v>
      </c>
      <c r="O391" t="n">
        <v>0</v>
      </c>
      <c r="P391" t="n">
        <v>0</v>
      </c>
      <c r="Q391" t="n">
        <v>0</v>
      </c>
      <c r="R391" s="2" t="inlineStr"/>
    </row>
    <row r="392" ht="15" customHeight="1">
      <c r="A392" t="inlineStr">
        <is>
          <t>A 13501-2020</t>
        </is>
      </c>
      <c r="B392" s="1" t="n">
        <v>43902</v>
      </c>
      <c r="C392" s="1" t="n">
        <v>45657</v>
      </c>
      <c r="D392" t="inlineStr">
        <is>
          <t>STOCKHOLMS LÄN</t>
        </is>
      </c>
      <c r="E392" t="inlineStr">
        <is>
          <t>NORRTÄLJE</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13506-2020</t>
        </is>
      </c>
      <c r="B393" s="1" t="n">
        <v>43902</v>
      </c>
      <c r="C393" s="1" t="n">
        <v>45657</v>
      </c>
      <c r="D393" t="inlineStr">
        <is>
          <t>STOCKHOLMS LÄN</t>
        </is>
      </c>
      <c r="E393" t="inlineStr">
        <is>
          <t>NORRTÄLJE</t>
        </is>
      </c>
      <c r="G393" t="n">
        <v>5.7</v>
      </c>
      <c r="H393" t="n">
        <v>0</v>
      </c>
      <c r="I393" t="n">
        <v>0</v>
      </c>
      <c r="J393" t="n">
        <v>0</v>
      </c>
      <c r="K393" t="n">
        <v>0</v>
      </c>
      <c r="L393" t="n">
        <v>0</v>
      </c>
      <c r="M393" t="n">
        <v>0</v>
      </c>
      <c r="N393" t="n">
        <v>0</v>
      </c>
      <c r="O393" t="n">
        <v>0</v>
      </c>
      <c r="P393" t="n">
        <v>0</v>
      </c>
      <c r="Q393" t="n">
        <v>0</v>
      </c>
      <c r="R393" s="2" t="inlineStr"/>
    </row>
    <row r="394" ht="15" customHeight="1">
      <c r="A394" t="inlineStr">
        <is>
          <t>A 14525-2020</t>
        </is>
      </c>
      <c r="B394" s="1" t="n">
        <v>43908</v>
      </c>
      <c r="C394" s="1" t="n">
        <v>45657</v>
      </c>
      <c r="D394" t="inlineStr">
        <is>
          <t>STOCKHOLMS LÄN</t>
        </is>
      </c>
      <c r="E394" t="inlineStr">
        <is>
          <t>NORRTÄLJE</t>
        </is>
      </c>
      <c r="G394" t="n">
        <v>10.2</v>
      </c>
      <c r="H394" t="n">
        <v>0</v>
      </c>
      <c r="I394" t="n">
        <v>0</v>
      </c>
      <c r="J394" t="n">
        <v>0</v>
      </c>
      <c r="K394" t="n">
        <v>0</v>
      </c>
      <c r="L394" t="n">
        <v>0</v>
      </c>
      <c r="M394" t="n">
        <v>0</v>
      </c>
      <c r="N394" t="n">
        <v>0</v>
      </c>
      <c r="O394" t="n">
        <v>0</v>
      </c>
      <c r="P394" t="n">
        <v>0</v>
      </c>
      <c r="Q394" t="n">
        <v>0</v>
      </c>
      <c r="R394" s="2" t="inlineStr"/>
    </row>
    <row r="395" ht="15" customHeight="1">
      <c r="A395" t="inlineStr">
        <is>
          <t>A 14831-2020</t>
        </is>
      </c>
      <c r="B395" s="1" t="n">
        <v>43909</v>
      </c>
      <c r="C395" s="1" t="n">
        <v>45657</v>
      </c>
      <c r="D395" t="inlineStr">
        <is>
          <t>STOCKHOLMS LÄN</t>
        </is>
      </c>
      <c r="E395" t="inlineStr">
        <is>
          <t>NORRTÄLJE</t>
        </is>
      </c>
      <c r="G395" t="n">
        <v>11.4</v>
      </c>
      <c r="H395" t="n">
        <v>0</v>
      </c>
      <c r="I395" t="n">
        <v>0</v>
      </c>
      <c r="J395" t="n">
        <v>0</v>
      </c>
      <c r="K395" t="n">
        <v>0</v>
      </c>
      <c r="L395" t="n">
        <v>0</v>
      </c>
      <c r="M395" t="n">
        <v>0</v>
      </c>
      <c r="N395" t="n">
        <v>0</v>
      </c>
      <c r="O395" t="n">
        <v>0</v>
      </c>
      <c r="P395" t="n">
        <v>0</v>
      </c>
      <c r="Q395" t="n">
        <v>0</v>
      </c>
      <c r="R395" s="2" t="inlineStr"/>
    </row>
    <row r="396" ht="15" customHeight="1">
      <c r="A396" t="inlineStr">
        <is>
          <t>A 15663-2020</t>
        </is>
      </c>
      <c r="B396" s="1" t="n">
        <v>43915</v>
      </c>
      <c r="C396" s="1" t="n">
        <v>45657</v>
      </c>
      <c r="D396" t="inlineStr">
        <is>
          <t>STOCKHOLMS LÄN</t>
        </is>
      </c>
      <c r="E396" t="inlineStr">
        <is>
          <t>NORRTÄLJE</t>
        </is>
      </c>
      <c r="G396" t="n">
        <v>11.1</v>
      </c>
      <c r="H396" t="n">
        <v>0</v>
      </c>
      <c r="I396" t="n">
        <v>0</v>
      </c>
      <c r="J396" t="n">
        <v>0</v>
      </c>
      <c r="K396" t="n">
        <v>0</v>
      </c>
      <c r="L396" t="n">
        <v>0</v>
      </c>
      <c r="M396" t="n">
        <v>0</v>
      </c>
      <c r="N396" t="n">
        <v>0</v>
      </c>
      <c r="O396" t="n">
        <v>0</v>
      </c>
      <c r="P396" t="n">
        <v>0</v>
      </c>
      <c r="Q396" t="n">
        <v>0</v>
      </c>
      <c r="R396" s="2" t="inlineStr"/>
    </row>
    <row r="397" ht="15" customHeight="1">
      <c r="A397" t="inlineStr">
        <is>
          <t>A 16273-2020</t>
        </is>
      </c>
      <c r="B397" s="1" t="n">
        <v>43917</v>
      </c>
      <c r="C397" s="1" t="n">
        <v>45657</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17965-2020</t>
        </is>
      </c>
      <c r="B398" s="1" t="n">
        <v>43925</v>
      </c>
      <c r="C398" s="1" t="n">
        <v>45657</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19258-2020</t>
        </is>
      </c>
      <c r="B399" s="1" t="n">
        <v>43937</v>
      </c>
      <c r="C399" s="1" t="n">
        <v>45657</v>
      </c>
      <c r="D399" t="inlineStr">
        <is>
          <t>STOCKHOLMS LÄN</t>
        </is>
      </c>
      <c r="E399" t="inlineStr">
        <is>
          <t>NORRTÄLJE</t>
        </is>
      </c>
      <c r="F399" t="inlineStr">
        <is>
          <t>Övriga statliga verk och myndigheter</t>
        </is>
      </c>
      <c r="G399" t="n">
        <v>2.9</v>
      </c>
      <c r="H399" t="n">
        <v>0</v>
      </c>
      <c r="I399" t="n">
        <v>0</v>
      </c>
      <c r="J399" t="n">
        <v>0</v>
      </c>
      <c r="K399" t="n">
        <v>0</v>
      </c>
      <c r="L399" t="n">
        <v>0</v>
      </c>
      <c r="M399" t="n">
        <v>0</v>
      </c>
      <c r="N399" t="n">
        <v>0</v>
      </c>
      <c r="O399" t="n">
        <v>0</v>
      </c>
      <c r="P399" t="n">
        <v>0</v>
      </c>
      <c r="Q399" t="n">
        <v>0</v>
      </c>
      <c r="R399" s="2" t="inlineStr"/>
    </row>
    <row r="400" ht="15" customHeight="1">
      <c r="A400" t="inlineStr">
        <is>
          <t>A 20257-2020</t>
        </is>
      </c>
      <c r="B400" s="1" t="n">
        <v>43944</v>
      </c>
      <c r="C400" s="1" t="n">
        <v>45657</v>
      </c>
      <c r="D400" t="inlineStr">
        <is>
          <t>STOCKHOLMS LÄN</t>
        </is>
      </c>
      <c r="E400" t="inlineStr">
        <is>
          <t>NORRTÄLJE</t>
        </is>
      </c>
      <c r="G400" t="n">
        <v>80.09999999999999</v>
      </c>
      <c r="H400" t="n">
        <v>0</v>
      </c>
      <c r="I400" t="n">
        <v>0</v>
      </c>
      <c r="J400" t="n">
        <v>0</v>
      </c>
      <c r="K400" t="n">
        <v>0</v>
      </c>
      <c r="L400" t="n">
        <v>0</v>
      </c>
      <c r="M400" t="n">
        <v>0</v>
      </c>
      <c r="N400" t="n">
        <v>0</v>
      </c>
      <c r="O400" t="n">
        <v>0</v>
      </c>
      <c r="P400" t="n">
        <v>0</v>
      </c>
      <c r="Q400" t="n">
        <v>0</v>
      </c>
      <c r="R400" s="2" t="inlineStr"/>
    </row>
    <row r="401" ht="15" customHeight="1">
      <c r="A401" t="inlineStr">
        <is>
          <t>A 21849-2020</t>
        </is>
      </c>
      <c r="B401" s="1" t="n">
        <v>43958</v>
      </c>
      <c r="C401" s="1" t="n">
        <v>45657</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21875-2020</t>
        </is>
      </c>
      <c r="B402" s="1" t="n">
        <v>43958</v>
      </c>
      <c r="C402" s="1" t="n">
        <v>45657</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23751-2020</t>
        </is>
      </c>
      <c r="B403" s="1" t="n">
        <v>43970</v>
      </c>
      <c r="C403" s="1" t="n">
        <v>45657</v>
      </c>
      <c r="D403" t="inlineStr">
        <is>
          <t>STOCKHOLMS LÄN</t>
        </is>
      </c>
      <c r="E403" t="inlineStr">
        <is>
          <t>NORRTÄLJE</t>
        </is>
      </c>
      <c r="G403" t="n">
        <v>5.6</v>
      </c>
      <c r="H403" t="n">
        <v>0</v>
      </c>
      <c r="I403" t="n">
        <v>0</v>
      </c>
      <c r="J403" t="n">
        <v>0</v>
      </c>
      <c r="K403" t="n">
        <v>0</v>
      </c>
      <c r="L403" t="n">
        <v>0</v>
      </c>
      <c r="M403" t="n">
        <v>0</v>
      </c>
      <c r="N403" t="n">
        <v>0</v>
      </c>
      <c r="O403" t="n">
        <v>0</v>
      </c>
      <c r="P403" t="n">
        <v>0</v>
      </c>
      <c r="Q403" t="n">
        <v>0</v>
      </c>
      <c r="R403" s="2" t="inlineStr"/>
    </row>
    <row r="404" ht="15" customHeight="1">
      <c r="A404" t="inlineStr">
        <is>
          <t>A 24136-2020</t>
        </is>
      </c>
      <c r="B404" s="1" t="n">
        <v>43973</v>
      </c>
      <c r="C404" s="1" t="n">
        <v>45657</v>
      </c>
      <c r="D404" t="inlineStr">
        <is>
          <t>STOCKHOLMS LÄN</t>
        </is>
      </c>
      <c r="E404" t="inlineStr">
        <is>
          <t>NORRTÄLJE</t>
        </is>
      </c>
      <c r="G404" t="n">
        <v>4.1</v>
      </c>
      <c r="H404" t="n">
        <v>0</v>
      </c>
      <c r="I404" t="n">
        <v>0</v>
      </c>
      <c r="J404" t="n">
        <v>0</v>
      </c>
      <c r="K404" t="n">
        <v>0</v>
      </c>
      <c r="L404" t="n">
        <v>0</v>
      </c>
      <c r="M404" t="n">
        <v>0</v>
      </c>
      <c r="N404" t="n">
        <v>0</v>
      </c>
      <c r="O404" t="n">
        <v>0</v>
      </c>
      <c r="P404" t="n">
        <v>0</v>
      </c>
      <c r="Q404" t="n">
        <v>0</v>
      </c>
      <c r="R404" s="2" t="inlineStr"/>
    </row>
    <row r="405" ht="15" customHeight="1">
      <c r="A405" t="inlineStr">
        <is>
          <t>A 25584-2020</t>
        </is>
      </c>
      <c r="B405" s="1" t="n">
        <v>43983</v>
      </c>
      <c r="C405" s="1" t="n">
        <v>45657</v>
      </c>
      <c r="D405" t="inlineStr">
        <is>
          <t>STOCKHOLMS LÄN</t>
        </is>
      </c>
      <c r="E405" t="inlineStr">
        <is>
          <t>NORRTÄLJE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25589-2020</t>
        </is>
      </c>
      <c r="B406" s="1" t="n">
        <v>43983</v>
      </c>
      <c r="C406" s="1" t="n">
        <v>45657</v>
      </c>
      <c r="D406" t="inlineStr">
        <is>
          <t>STOCKHOLMS LÄN</t>
        </is>
      </c>
      <c r="E406" t="inlineStr">
        <is>
          <t>NORRTÄLJE</t>
        </is>
      </c>
      <c r="G406" t="n">
        <v>1.1</v>
      </c>
      <c r="H406" t="n">
        <v>0</v>
      </c>
      <c r="I406" t="n">
        <v>0</v>
      </c>
      <c r="J406" t="n">
        <v>0</v>
      </c>
      <c r="K406" t="n">
        <v>0</v>
      </c>
      <c r="L406" t="n">
        <v>0</v>
      </c>
      <c r="M406" t="n">
        <v>0</v>
      </c>
      <c r="N406" t="n">
        <v>0</v>
      </c>
      <c r="O406" t="n">
        <v>0</v>
      </c>
      <c r="P406" t="n">
        <v>0</v>
      </c>
      <c r="Q406" t="n">
        <v>0</v>
      </c>
      <c r="R406" s="2" t="inlineStr"/>
    </row>
    <row r="407" ht="15" customHeight="1">
      <c r="A407" t="inlineStr">
        <is>
          <t>A 25897-2020</t>
        </is>
      </c>
      <c r="B407" s="1" t="n">
        <v>43984</v>
      </c>
      <c r="C407" s="1" t="n">
        <v>45657</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30600-2020</t>
        </is>
      </c>
      <c r="B408" s="1" t="n">
        <v>44008</v>
      </c>
      <c r="C408" s="1" t="n">
        <v>45657</v>
      </c>
      <c r="D408" t="inlineStr">
        <is>
          <t>STOCKHOLMS LÄN</t>
        </is>
      </c>
      <c r="E408" t="inlineStr">
        <is>
          <t>NORRTÄLJE</t>
        </is>
      </c>
      <c r="G408" t="n">
        <v>3.3</v>
      </c>
      <c r="H408" t="n">
        <v>0</v>
      </c>
      <c r="I408" t="n">
        <v>0</v>
      </c>
      <c r="J408" t="n">
        <v>0</v>
      </c>
      <c r="K408" t="n">
        <v>0</v>
      </c>
      <c r="L408" t="n">
        <v>0</v>
      </c>
      <c r="M408" t="n">
        <v>0</v>
      </c>
      <c r="N408" t="n">
        <v>0</v>
      </c>
      <c r="O408" t="n">
        <v>0</v>
      </c>
      <c r="P408" t="n">
        <v>0</v>
      </c>
      <c r="Q408" t="n">
        <v>0</v>
      </c>
      <c r="R408" s="2" t="inlineStr"/>
    </row>
    <row r="409" ht="15" customHeight="1">
      <c r="A409" t="inlineStr">
        <is>
          <t>A 31783-2020</t>
        </is>
      </c>
      <c r="B409" s="1" t="n">
        <v>44014</v>
      </c>
      <c r="C409" s="1" t="n">
        <v>45657</v>
      </c>
      <c r="D409" t="inlineStr">
        <is>
          <t>STOCKHOLMS LÄN</t>
        </is>
      </c>
      <c r="E409" t="inlineStr">
        <is>
          <t>NORRTÄLJE</t>
        </is>
      </c>
      <c r="G409" t="n">
        <v>4.8</v>
      </c>
      <c r="H409" t="n">
        <v>0</v>
      </c>
      <c r="I409" t="n">
        <v>0</v>
      </c>
      <c r="J409" t="n">
        <v>0</v>
      </c>
      <c r="K409" t="n">
        <v>0</v>
      </c>
      <c r="L409" t="n">
        <v>0</v>
      </c>
      <c r="M409" t="n">
        <v>0</v>
      </c>
      <c r="N409" t="n">
        <v>0</v>
      </c>
      <c r="O409" t="n">
        <v>0</v>
      </c>
      <c r="P409" t="n">
        <v>0</v>
      </c>
      <c r="Q409" t="n">
        <v>0</v>
      </c>
      <c r="R409" s="2" t="inlineStr"/>
    </row>
    <row r="410" ht="15" customHeight="1">
      <c r="A410" t="inlineStr">
        <is>
          <t>A 33749-2020</t>
        </is>
      </c>
      <c r="B410" s="1" t="n">
        <v>44026</v>
      </c>
      <c r="C410" s="1" t="n">
        <v>45657</v>
      </c>
      <c r="D410" t="inlineStr">
        <is>
          <t>STOCKHOLMS LÄN</t>
        </is>
      </c>
      <c r="E410" t="inlineStr">
        <is>
          <t>NORRTÄLJE</t>
        </is>
      </c>
      <c r="F410" t="inlineStr">
        <is>
          <t>Holmen skog AB</t>
        </is>
      </c>
      <c r="G410" t="n">
        <v>0.5</v>
      </c>
      <c r="H410" t="n">
        <v>0</v>
      </c>
      <c r="I410" t="n">
        <v>0</v>
      </c>
      <c r="J410" t="n">
        <v>0</v>
      </c>
      <c r="K410" t="n">
        <v>0</v>
      </c>
      <c r="L410" t="n">
        <v>0</v>
      </c>
      <c r="M410" t="n">
        <v>0</v>
      </c>
      <c r="N410" t="n">
        <v>0</v>
      </c>
      <c r="O410" t="n">
        <v>0</v>
      </c>
      <c r="P410" t="n">
        <v>0</v>
      </c>
      <c r="Q410" t="n">
        <v>0</v>
      </c>
      <c r="R410" s="2" t="inlineStr"/>
    </row>
    <row r="411" ht="15" customHeight="1">
      <c r="A411" t="inlineStr">
        <is>
          <t>A 34651-2020</t>
        </is>
      </c>
      <c r="B411" s="1" t="n">
        <v>44034</v>
      </c>
      <c r="C411" s="1" t="n">
        <v>45657</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34650-2020</t>
        </is>
      </c>
      <c r="B412" s="1" t="n">
        <v>44034</v>
      </c>
      <c r="C412" s="1" t="n">
        <v>45657</v>
      </c>
      <c r="D412" t="inlineStr">
        <is>
          <t>STOCKHOLMS LÄN</t>
        </is>
      </c>
      <c r="E412" t="inlineStr">
        <is>
          <t>NORRTÄLJE</t>
        </is>
      </c>
      <c r="G412" t="n">
        <v>0.4</v>
      </c>
      <c r="H412" t="n">
        <v>0</v>
      </c>
      <c r="I412" t="n">
        <v>0</v>
      </c>
      <c r="J412" t="n">
        <v>0</v>
      </c>
      <c r="K412" t="n">
        <v>0</v>
      </c>
      <c r="L412" t="n">
        <v>0</v>
      </c>
      <c r="M412" t="n">
        <v>0</v>
      </c>
      <c r="N412" t="n">
        <v>0</v>
      </c>
      <c r="O412" t="n">
        <v>0</v>
      </c>
      <c r="P412" t="n">
        <v>0</v>
      </c>
      <c r="Q412" t="n">
        <v>0</v>
      </c>
      <c r="R412" s="2" t="inlineStr"/>
    </row>
    <row r="413" ht="15" customHeight="1">
      <c r="A413" t="inlineStr">
        <is>
          <t>A 36314-2020</t>
        </is>
      </c>
      <c r="B413" s="1" t="n">
        <v>44049</v>
      </c>
      <c r="C413" s="1" t="n">
        <v>45657</v>
      </c>
      <c r="D413" t="inlineStr">
        <is>
          <t>STOCKHOLMS LÄN</t>
        </is>
      </c>
      <c r="E413" t="inlineStr">
        <is>
          <t>NORRTÄLJE</t>
        </is>
      </c>
      <c r="G413" t="n">
        <v>5</v>
      </c>
      <c r="H413" t="n">
        <v>0</v>
      </c>
      <c r="I413" t="n">
        <v>0</v>
      </c>
      <c r="J413" t="n">
        <v>0</v>
      </c>
      <c r="K413" t="n">
        <v>0</v>
      </c>
      <c r="L413" t="n">
        <v>0</v>
      </c>
      <c r="M413" t="n">
        <v>0</v>
      </c>
      <c r="N413" t="n">
        <v>0</v>
      </c>
      <c r="O413" t="n">
        <v>0</v>
      </c>
      <c r="P413" t="n">
        <v>0</v>
      </c>
      <c r="Q413" t="n">
        <v>0</v>
      </c>
      <c r="R413" s="2" t="inlineStr"/>
    </row>
    <row r="414" ht="15" customHeight="1">
      <c r="A414" t="inlineStr">
        <is>
          <t>A 36359-2020</t>
        </is>
      </c>
      <c r="B414" s="1" t="n">
        <v>44049</v>
      </c>
      <c r="C414" s="1" t="n">
        <v>45657</v>
      </c>
      <c r="D414" t="inlineStr">
        <is>
          <t>STOCKHOLMS LÄN</t>
        </is>
      </c>
      <c r="E414" t="inlineStr">
        <is>
          <t>NORRTÄLJE</t>
        </is>
      </c>
      <c r="G414" t="n">
        <v>6.5</v>
      </c>
      <c r="H414" t="n">
        <v>0</v>
      </c>
      <c r="I414" t="n">
        <v>0</v>
      </c>
      <c r="J414" t="n">
        <v>0</v>
      </c>
      <c r="K414" t="n">
        <v>0</v>
      </c>
      <c r="L414" t="n">
        <v>0</v>
      </c>
      <c r="M414" t="n">
        <v>0</v>
      </c>
      <c r="N414" t="n">
        <v>0</v>
      </c>
      <c r="O414" t="n">
        <v>0</v>
      </c>
      <c r="P414" t="n">
        <v>0</v>
      </c>
      <c r="Q414" t="n">
        <v>0</v>
      </c>
      <c r="R414" s="2" t="inlineStr"/>
    </row>
    <row r="415" ht="15" customHeight="1">
      <c r="A415" t="inlineStr">
        <is>
          <t>A 40837-2020</t>
        </is>
      </c>
      <c r="B415" s="1" t="n">
        <v>44067</v>
      </c>
      <c r="C415" s="1" t="n">
        <v>45657</v>
      </c>
      <c r="D415" t="inlineStr">
        <is>
          <t>STOCKHOLMS LÄN</t>
        </is>
      </c>
      <c r="E415" t="inlineStr">
        <is>
          <t>NORRTÄLJE</t>
        </is>
      </c>
      <c r="G415" t="n">
        <v>20.6</v>
      </c>
      <c r="H415" t="n">
        <v>0</v>
      </c>
      <c r="I415" t="n">
        <v>0</v>
      </c>
      <c r="J415" t="n">
        <v>0</v>
      </c>
      <c r="K415" t="n">
        <v>0</v>
      </c>
      <c r="L415" t="n">
        <v>0</v>
      </c>
      <c r="M415" t="n">
        <v>0</v>
      </c>
      <c r="N415" t="n">
        <v>0</v>
      </c>
      <c r="O415" t="n">
        <v>0</v>
      </c>
      <c r="P415" t="n">
        <v>0</v>
      </c>
      <c r="Q415" t="n">
        <v>0</v>
      </c>
      <c r="R415" s="2" t="inlineStr"/>
    </row>
    <row r="416" ht="15" customHeight="1">
      <c r="A416" t="inlineStr">
        <is>
          <t>A 40661-2020</t>
        </is>
      </c>
      <c r="B416" s="1" t="n">
        <v>44069</v>
      </c>
      <c r="C416" s="1" t="n">
        <v>45657</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42247-2020</t>
        </is>
      </c>
      <c r="B417" s="1" t="n">
        <v>44074</v>
      </c>
      <c r="C417" s="1" t="n">
        <v>45657</v>
      </c>
      <c r="D417" t="inlineStr">
        <is>
          <t>STOCKHOLMS LÄN</t>
        </is>
      </c>
      <c r="E417" t="inlineStr">
        <is>
          <t>NORRTÄLJE</t>
        </is>
      </c>
      <c r="G417" t="n">
        <v>1.4</v>
      </c>
      <c r="H417" t="n">
        <v>0</v>
      </c>
      <c r="I417" t="n">
        <v>0</v>
      </c>
      <c r="J417" t="n">
        <v>0</v>
      </c>
      <c r="K417" t="n">
        <v>0</v>
      </c>
      <c r="L417" t="n">
        <v>0</v>
      </c>
      <c r="M417" t="n">
        <v>0</v>
      </c>
      <c r="N417" t="n">
        <v>0</v>
      </c>
      <c r="O417" t="n">
        <v>0</v>
      </c>
      <c r="P417" t="n">
        <v>0</v>
      </c>
      <c r="Q417" t="n">
        <v>0</v>
      </c>
      <c r="R417" s="2" t="inlineStr"/>
    </row>
    <row r="418" ht="15" customHeight="1">
      <c r="A418" t="inlineStr">
        <is>
          <t>A 42256-2020</t>
        </is>
      </c>
      <c r="B418" s="1" t="n">
        <v>44074</v>
      </c>
      <c r="C418" s="1" t="n">
        <v>45657</v>
      </c>
      <c r="D418" t="inlineStr">
        <is>
          <t>STOCKHOLMS LÄN</t>
        </is>
      </c>
      <c r="E418" t="inlineStr">
        <is>
          <t>NORRTÄLJE</t>
        </is>
      </c>
      <c r="F418" t="inlineStr">
        <is>
          <t>Övriga Aktiebolag</t>
        </is>
      </c>
      <c r="G418" t="n">
        <v>0.8</v>
      </c>
      <c r="H418" t="n">
        <v>0</v>
      </c>
      <c r="I418" t="n">
        <v>0</v>
      </c>
      <c r="J418" t="n">
        <v>0</v>
      </c>
      <c r="K418" t="n">
        <v>0</v>
      </c>
      <c r="L418" t="n">
        <v>0</v>
      </c>
      <c r="M418" t="n">
        <v>0</v>
      </c>
      <c r="N418" t="n">
        <v>0</v>
      </c>
      <c r="O418" t="n">
        <v>0</v>
      </c>
      <c r="P418" t="n">
        <v>0</v>
      </c>
      <c r="Q418" t="n">
        <v>0</v>
      </c>
      <c r="R418" s="2" t="inlineStr"/>
    </row>
    <row r="419" ht="15" customHeight="1">
      <c r="A419" t="inlineStr">
        <is>
          <t>A 41694-2020</t>
        </is>
      </c>
      <c r="B419" s="1" t="n">
        <v>44074</v>
      </c>
      <c r="C419" s="1" t="n">
        <v>45657</v>
      </c>
      <c r="D419" t="inlineStr">
        <is>
          <t>STOCKHOLMS LÄN</t>
        </is>
      </c>
      <c r="E419" t="inlineStr">
        <is>
          <t>NORRTÄLJE</t>
        </is>
      </c>
      <c r="G419" t="n">
        <v>3</v>
      </c>
      <c r="H419" t="n">
        <v>0</v>
      </c>
      <c r="I419" t="n">
        <v>0</v>
      </c>
      <c r="J419" t="n">
        <v>0</v>
      </c>
      <c r="K419" t="n">
        <v>0</v>
      </c>
      <c r="L419" t="n">
        <v>0</v>
      </c>
      <c r="M419" t="n">
        <v>0</v>
      </c>
      <c r="N419" t="n">
        <v>0</v>
      </c>
      <c r="O419" t="n">
        <v>0</v>
      </c>
      <c r="P419" t="n">
        <v>0</v>
      </c>
      <c r="Q419" t="n">
        <v>0</v>
      </c>
      <c r="R419" s="2" t="inlineStr"/>
    </row>
    <row r="420" ht="15" customHeight="1">
      <c r="A420" t="inlineStr">
        <is>
          <t>A 42365-2020</t>
        </is>
      </c>
      <c r="B420" s="1" t="n">
        <v>44076</v>
      </c>
      <c r="C420" s="1" t="n">
        <v>45657</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42361-2020</t>
        </is>
      </c>
      <c r="B421" s="1" t="n">
        <v>44076</v>
      </c>
      <c r="C421" s="1" t="n">
        <v>45657</v>
      </c>
      <c r="D421" t="inlineStr">
        <is>
          <t>STOCKHOLMS LÄN</t>
        </is>
      </c>
      <c r="E421" t="inlineStr">
        <is>
          <t>NORRTÄLJE</t>
        </is>
      </c>
      <c r="G421" t="n">
        <v>2.1</v>
      </c>
      <c r="H421" t="n">
        <v>0</v>
      </c>
      <c r="I421" t="n">
        <v>0</v>
      </c>
      <c r="J421" t="n">
        <v>0</v>
      </c>
      <c r="K421" t="n">
        <v>0</v>
      </c>
      <c r="L421" t="n">
        <v>0</v>
      </c>
      <c r="M421" t="n">
        <v>0</v>
      </c>
      <c r="N421" t="n">
        <v>0</v>
      </c>
      <c r="O421" t="n">
        <v>0</v>
      </c>
      <c r="P421" t="n">
        <v>0</v>
      </c>
      <c r="Q421" t="n">
        <v>0</v>
      </c>
      <c r="R421" s="2" t="inlineStr"/>
    </row>
    <row r="422" ht="15" customHeight="1">
      <c r="A422" t="inlineStr">
        <is>
          <t>A 42455-2020</t>
        </is>
      </c>
      <c r="B422" s="1" t="n">
        <v>44076</v>
      </c>
      <c r="C422" s="1" t="n">
        <v>45657</v>
      </c>
      <c r="D422" t="inlineStr">
        <is>
          <t>STOCKHOLMS LÄN</t>
        </is>
      </c>
      <c r="E422" t="inlineStr">
        <is>
          <t>NORRTÄLJE</t>
        </is>
      </c>
      <c r="G422" t="n">
        <v>1.9</v>
      </c>
      <c r="H422" t="n">
        <v>0</v>
      </c>
      <c r="I422" t="n">
        <v>0</v>
      </c>
      <c r="J422" t="n">
        <v>0</v>
      </c>
      <c r="K422" t="n">
        <v>0</v>
      </c>
      <c r="L422" t="n">
        <v>0</v>
      </c>
      <c r="M422" t="n">
        <v>0</v>
      </c>
      <c r="N422" t="n">
        <v>0</v>
      </c>
      <c r="O422" t="n">
        <v>0</v>
      </c>
      <c r="P422" t="n">
        <v>0</v>
      </c>
      <c r="Q422" t="n">
        <v>0</v>
      </c>
      <c r="R422" s="2" t="inlineStr"/>
    </row>
    <row r="423" ht="15" customHeight="1">
      <c r="A423" t="inlineStr">
        <is>
          <t>A 43751-2020</t>
        </is>
      </c>
      <c r="B423" s="1" t="n">
        <v>44082</v>
      </c>
      <c r="C423" s="1" t="n">
        <v>45657</v>
      </c>
      <c r="D423" t="inlineStr">
        <is>
          <t>STOCKHOLMS LÄN</t>
        </is>
      </c>
      <c r="E423" t="inlineStr">
        <is>
          <t>NORRTÄLJE</t>
        </is>
      </c>
      <c r="G423" t="n">
        <v>8</v>
      </c>
      <c r="H423" t="n">
        <v>0</v>
      </c>
      <c r="I423" t="n">
        <v>0</v>
      </c>
      <c r="J423" t="n">
        <v>0</v>
      </c>
      <c r="K423" t="n">
        <v>0</v>
      </c>
      <c r="L423" t="n">
        <v>0</v>
      </c>
      <c r="M423" t="n">
        <v>0</v>
      </c>
      <c r="N423" t="n">
        <v>0</v>
      </c>
      <c r="O423" t="n">
        <v>0</v>
      </c>
      <c r="P423" t="n">
        <v>0</v>
      </c>
      <c r="Q423" t="n">
        <v>0</v>
      </c>
      <c r="R423" s="2" t="inlineStr"/>
    </row>
    <row r="424" ht="15" customHeight="1">
      <c r="A424" t="inlineStr">
        <is>
          <t>A 44096-2020</t>
        </is>
      </c>
      <c r="B424" s="1" t="n">
        <v>44083</v>
      </c>
      <c r="C424" s="1" t="n">
        <v>45657</v>
      </c>
      <c r="D424" t="inlineStr">
        <is>
          <t>STOCKHOLMS LÄN</t>
        </is>
      </c>
      <c r="E424" t="inlineStr">
        <is>
          <t>NORRTÄLJE</t>
        </is>
      </c>
      <c r="G424" t="n">
        <v>2.6</v>
      </c>
      <c r="H424" t="n">
        <v>0</v>
      </c>
      <c r="I424" t="n">
        <v>0</v>
      </c>
      <c r="J424" t="n">
        <v>0</v>
      </c>
      <c r="K424" t="n">
        <v>0</v>
      </c>
      <c r="L424" t="n">
        <v>0</v>
      </c>
      <c r="M424" t="n">
        <v>0</v>
      </c>
      <c r="N424" t="n">
        <v>0</v>
      </c>
      <c r="O424" t="n">
        <v>0</v>
      </c>
      <c r="P424" t="n">
        <v>0</v>
      </c>
      <c r="Q424" t="n">
        <v>0</v>
      </c>
      <c r="R424" s="2" t="inlineStr"/>
    </row>
    <row r="425" ht="15" customHeight="1">
      <c r="A425" t="inlineStr">
        <is>
          <t>A 44071-2020</t>
        </is>
      </c>
      <c r="B425" s="1" t="n">
        <v>44083</v>
      </c>
      <c r="C425" s="1" t="n">
        <v>45657</v>
      </c>
      <c r="D425" t="inlineStr">
        <is>
          <t>STOCKHOLMS LÄN</t>
        </is>
      </c>
      <c r="E425" t="inlineStr">
        <is>
          <t>NORRTÄLJE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44183-2020</t>
        </is>
      </c>
      <c r="B426" s="1" t="n">
        <v>44083</v>
      </c>
      <c r="C426" s="1" t="n">
        <v>45657</v>
      </c>
      <c r="D426" t="inlineStr">
        <is>
          <t>STOCKHOLMS LÄN</t>
        </is>
      </c>
      <c r="E426" t="inlineStr">
        <is>
          <t>NORRTÄLJE</t>
        </is>
      </c>
      <c r="G426" t="n">
        <v>4.3</v>
      </c>
      <c r="H426" t="n">
        <v>0</v>
      </c>
      <c r="I426" t="n">
        <v>0</v>
      </c>
      <c r="J426" t="n">
        <v>0</v>
      </c>
      <c r="K426" t="n">
        <v>0</v>
      </c>
      <c r="L426" t="n">
        <v>0</v>
      </c>
      <c r="M426" t="n">
        <v>0</v>
      </c>
      <c r="N426" t="n">
        <v>0</v>
      </c>
      <c r="O426" t="n">
        <v>0</v>
      </c>
      <c r="P426" t="n">
        <v>0</v>
      </c>
      <c r="Q426" t="n">
        <v>0</v>
      </c>
      <c r="R426" s="2" t="inlineStr"/>
    </row>
    <row r="427" ht="15" customHeight="1">
      <c r="A427" t="inlineStr">
        <is>
          <t>A 44792-2020</t>
        </is>
      </c>
      <c r="B427" s="1" t="n">
        <v>44085</v>
      </c>
      <c r="C427" s="1" t="n">
        <v>45657</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45988-2020</t>
        </is>
      </c>
      <c r="B428" s="1" t="n">
        <v>44091</v>
      </c>
      <c r="C428" s="1" t="n">
        <v>45657</v>
      </c>
      <c r="D428" t="inlineStr">
        <is>
          <t>STOCKHOLMS LÄN</t>
        </is>
      </c>
      <c r="E428" t="inlineStr">
        <is>
          <t>NORRTÄLJE</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46556-2020</t>
        </is>
      </c>
      <c r="B429" s="1" t="n">
        <v>44095</v>
      </c>
      <c r="C429" s="1" t="n">
        <v>45657</v>
      </c>
      <c r="D429" t="inlineStr">
        <is>
          <t>STOCKHOLMS LÄN</t>
        </is>
      </c>
      <c r="E429" t="inlineStr">
        <is>
          <t>NORRTÄLJE</t>
        </is>
      </c>
      <c r="F429" t="inlineStr">
        <is>
          <t>Holmen skog AB</t>
        </is>
      </c>
      <c r="G429" t="n">
        <v>2.1</v>
      </c>
      <c r="H429" t="n">
        <v>0</v>
      </c>
      <c r="I429" t="n">
        <v>0</v>
      </c>
      <c r="J429" t="n">
        <v>0</v>
      </c>
      <c r="K429" t="n">
        <v>0</v>
      </c>
      <c r="L429" t="n">
        <v>0</v>
      </c>
      <c r="M429" t="n">
        <v>0</v>
      </c>
      <c r="N429" t="n">
        <v>0</v>
      </c>
      <c r="O429" t="n">
        <v>0</v>
      </c>
      <c r="P429" t="n">
        <v>0</v>
      </c>
      <c r="Q429" t="n">
        <v>0</v>
      </c>
      <c r="R429" s="2" t="inlineStr"/>
    </row>
    <row r="430" ht="15" customHeight="1">
      <c r="A430" t="inlineStr">
        <is>
          <t>A 47291-2020</t>
        </is>
      </c>
      <c r="B430" s="1" t="n">
        <v>44097</v>
      </c>
      <c r="C430" s="1" t="n">
        <v>45657</v>
      </c>
      <c r="D430" t="inlineStr">
        <is>
          <t>STOCKHOLMS LÄN</t>
        </is>
      </c>
      <c r="E430" t="inlineStr">
        <is>
          <t>NORRTÄLJE</t>
        </is>
      </c>
      <c r="F430" t="inlineStr">
        <is>
          <t>Holmen skog AB</t>
        </is>
      </c>
      <c r="G430" t="n">
        <v>0.8</v>
      </c>
      <c r="H430" t="n">
        <v>0</v>
      </c>
      <c r="I430" t="n">
        <v>0</v>
      </c>
      <c r="J430" t="n">
        <v>0</v>
      </c>
      <c r="K430" t="n">
        <v>0</v>
      </c>
      <c r="L430" t="n">
        <v>0</v>
      </c>
      <c r="M430" t="n">
        <v>0</v>
      </c>
      <c r="N430" t="n">
        <v>0</v>
      </c>
      <c r="O430" t="n">
        <v>0</v>
      </c>
      <c r="P430" t="n">
        <v>0</v>
      </c>
      <c r="Q430" t="n">
        <v>0</v>
      </c>
      <c r="R430" s="2" t="inlineStr"/>
    </row>
    <row r="431" ht="15" customHeight="1">
      <c r="A431" t="inlineStr">
        <is>
          <t>A 48392-2020</t>
        </is>
      </c>
      <c r="B431" s="1" t="n">
        <v>44097</v>
      </c>
      <c r="C431" s="1" t="n">
        <v>45657</v>
      </c>
      <c r="D431" t="inlineStr">
        <is>
          <t>STOCKHOLMS LÄN</t>
        </is>
      </c>
      <c r="E431" t="inlineStr">
        <is>
          <t>NORRTÄLJE</t>
        </is>
      </c>
      <c r="G431" t="n">
        <v>12.5</v>
      </c>
      <c r="H431" t="n">
        <v>0</v>
      </c>
      <c r="I431" t="n">
        <v>0</v>
      </c>
      <c r="J431" t="n">
        <v>0</v>
      </c>
      <c r="K431" t="n">
        <v>0</v>
      </c>
      <c r="L431" t="n">
        <v>0</v>
      </c>
      <c r="M431" t="n">
        <v>0</v>
      </c>
      <c r="N431" t="n">
        <v>0</v>
      </c>
      <c r="O431" t="n">
        <v>0</v>
      </c>
      <c r="P431" t="n">
        <v>0</v>
      </c>
      <c r="Q431" t="n">
        <v>0</v>
      </c>
      <c r="R431" s="2" t="inlineStr"/>
    </row>
    <row r="432" ht="15" customHeight="1">
      <c r="A432" t="inlineStr">
        <is>
          <t>A 47869-2020</t>
        </is>
      </c>
      <c r="B432" s="1" t="n">
        <v>44098</v>
      </c>
      <c r="C432" s="1" t="n">
        <v>45657</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47868-2020</t>
        </is>
      </c>
      <c r="B433" s="1" t="n">
        <v>44098</v>
      </c>
      <c r="C433" s="1" t="n">
        <v>45657</v>
      </c>
      <c r="D433" t="inlineStr">
        <is>
          <t>STOCKHOLMS LÄN</t>
        </is>
      </c>
      <c r="E433" t="inlineStr">
        <is>
          <t>NORRTÄLJE</t>
        </is>
      </c>
      <c r="G433" t="n">
        <v>4.7</v>
      </c>
      <c r="H433" t="n">
        <v>0</v>
      </c>
      <c r="I433" t="n">
        <v>0</v>
      </c>
      <c r="J433" t="n">
        <v>0</v>
      </c>
      <c r="K433" t="n">
        <v>0</v>
      </c>
      <c r="L433" t="n">
        <v>0</v>
      </c>
      <c r="M433" t="n">
        <v>0</v>
      </c>
      <c r="N433" t="n">
        <v>0</v>
      </c>
      <c r="O433" t="n">
        <v>0</v>
      </c>
      <c r="P433" t="n">
        <v>0</v>
      </c>
      <c r="Q433" t="n">
        <v>0</v>
      </c>
      <c r="R433" s="2" t="inlineStr"/>
    </row>
    <row r="434" ht="15" customHeight="1">
      <c r="A434" t="inlineStr">
        <is>
          <t>A 48066-2020</t>
        </is>
      </c>
      <c r="B434" s="1" t="n">
        <v>44100</v>
      </c>
      <c r="C434" s="1" t="n">
        <v>45657</v>
      </c>
      <c r="D434" t="inlineStr">
        <is>
          <t>STOCKHOLMS LÄN</t>
        </is>
      </c>
      <c r="E434" t="inlineStr">
        <is>
          <t>NORRTÄLJE</t>
        </is>
      </c>
      <c r="G434" t="n">
        <v>3.7</v>
      </c>
      <c r="H434" t="n">
        <v>0</v>
      </c>
      <c r="I434" t="n">
        <v>0</v>
      </c>
      <c r="J434" t="n">
        <v>0</v>
      </c>
      <c r="K434" t="n">
        <v>0</v>
      </c>
      <c r="L434" t="n">
        <v>0</v>
      </c>
      <c r="M434" t="n">
        <v>0</v>
      </c>
      <c r="N434" t="n">
        <v>0</v>
      </c>
      <c r="O434" t="n">
        <v>0</v>
      </c>
      <c r="P434" t="n">
        <v>0</v>
      </c>
      <c r="Q434" t="n">
        <v>0</v>
      </c>
      <c r="R434" s="2" t="inlineStr"/>
    </row>
    <row r="435" ht="15" customHeight="1">
      <c r="A435" t="inlineStr">
        <is>
          <t>A 48071-2020</t>
        </is>
      </c>
      <c r="B435" s="1" t="n">
        <v>44100</v>
      </c>
      <c r="C435" s="1" t="n">
        <v>45657</v>
      </c>
      <c r="D435" t="inlineStr">
        <is>
          <t>STOCKHOLMS LÄN</t>
        </is>
      </c>
      <c r="E435" t="inlineStr">
        <is>
          <t>NORRTÄLJE</t>
        </is>
      </c>
      <c r="G435" t="n">
        <v>6.8</v>
      </c>
      <c r="H435" t="n">
        <v>0</v>
      </c>
      <c r="I435" t="n">
        <v>0</v>
      </c>
      <c r="J435" t="n">
        <v>0</v>
      </c>
      <c r="K435" t="n">
        <v>0</v>
      </c>
      <c r="L435" t="n">
        <v>0</v>
      </c>
      <c r="M435" t="n">
        <v>0</v>
      </c>
      <c r="N435" t="n">
        <v>0</v>
      </c>
      <c r="O435" t="n">
        <v>0</v>
      </c>
      <c r="P435" t="n">
        <v>0</v>
      </c>
      <c r="Q435" t="n">
        <v>0</v>
      </c>
      <c r="R435" s="2" t="inlineStr"/>
    </row>
    <row r="436" ht="15" customHeight="1">
      <c r="A436" t="inlineStr">
        <is>
          <t>A 48496-2020</t>
        </is>
      </c>
      <c r="B436" s="1" t="n">
        <v>44103</v>
      </c>
      <c r="C436" s="1" t="n">
        <v>45657</v>
      </c>
      <c r="D436" t="inlineStr">
        <is>
          <t>STOCKHOLMS LÄN</t>
        </is>
      </c>
      <c r="E436" t="inlineStr">
        <is>
          <t>NORRTÄLJE</t>
        </is>
      </c>
      <c r="F436" t="inlineStr">
        <is>
          <t>Holmen skog AB</t>
        </is>
      </c>
      <c r="G436" t="n">
        <v>1.5</v>
      </c>
      <c r="H436" t="n">
        <v>0</v>
      </c>
      <c r="I436" t="n">
        <v>0</v>
      </c>
      <c r="J436" t="n">
        <v>0</v>
      </c>
      <c r="K436" t="n">
        <v>0</v>
      </c>
      <c r="L436" t="n">
        <v>0</v>
      </c>
      <c r="M436" t="n">
        <v>0</v>
      </c>
      <c r="N436" t="n">
        <v>0</v>
      </c>
      <c r="O436" t="n">
        <v>0</v>
      </c>
      <c r="P436" t="n">
        <v>0</v>
      </c>
      <c r="Q436" t="n">
        <v>0</v>
      </c>
      <c r="R436" s="2" t="inlineStr"/>
    </row>
    <row r="437" ht="15" customHeight="1">
      <c r="A437" t="inlineStr">
        <is>
          <t>A 48522-2020</t>
        </is>
      </c>
      <c r="B437" s="1" t="n">
        <v>44103</v>
      </c>
      <c r="C437" s="1" t="n">
        <v>45657</v>
      </c>
      <c r="D437" t="inlineStr">
        <is>
          <t>STOCKHOLMS LÄN</t>
        </is>
      </c>
      <c r="E437" t="inlineStr">
        <is>
          <t>NORRTÄLJE</t>
        </is>
      </c>
      <c r="F437" t="inlineStr">
        <is>
          <t>Holmen skog AB</t>
        </is>
      </c>
      <c r="G437" t="n">
        <v>1.3</v>
      </c>
      <c r="H437" t="n">
        <v>0</v>
      </c>
      <c r="I437" t="n">
        <v>0</v>
      </c>
      <c r="J437" t="n">
        <v>0</v>
      </c>
      <c r="K437" t="n">
        <v>0</v>
      </c>
      <c r="L437" t="n">
        <v>0</v>
      </c>
      <c r="M437" t="n">
        <v>0</v>
      </c>
      <c r="N437" t="n">
        <v>0</v>
      </c>
      <c r="O437" t="n">
        <v>0</v>
      </c>
      <c r="P437" t="n">
        <v>0</v>
      </c>
      <c r="Q437" t="n">
        <v>0</v>
      </c>
      <c r="R437" s="2" t="inlineStr"/>
    </row>
    <row r="438" ht="15" customHeight="1">
      <c r="A438" t="inlineStr">
        <is>
          <t>A 49334-2020</t>
        </is>
      </c>
      <c r="B438" s="1" t="n">
        <v>44105</v>
      </c>
      <c r="C438" s="1" t="n">
        <v>45657</v>
      </c>
      <c r="D438" t="inlineStr">
        <is>
          <t>STOCKHOLMS LÄN</t>
        </is>
      </c>
      <c r="E438" t="inlineStr">
        <is>
          <t>NORRTÄLJE</t>
        </is>
      </c>
      <c r="G438" t="n">
        <v>1.5</v>
      </c>
      <c r="H438" t="n">
        <v>0</v>
      </c>
      <c r="I438" t="n">
        <v>0</v>
      </c>
      <c r="J438" t="n">
        <v>0</v>
      </c>
      <c r="K438" t="n">
        <v>0</v>
      </c>
      <c r="L438" t="n">
        <v>0</v>
      </c>
      <c r="M438" t="n">
        <v>0</v>
      </c>
      <c r="N438" t="n">
        <v>0</v>
      </c>
      <c r="O438" t="n">
        <v>0</v>
      </c>
      <c r="P438" t="n">
        <v>0</v>
      </c>
      <c r="Q438" t="n">
        <v>0</v>
      </c>
      <c r="R438" s="2" t="inlineStr"/>
    </row>
    <row r="439" ht="15" customHeight="1">
      <c r="A439" t="inlineStr">
        <is>
          <t>A 49327-2020</t>
        </is>
      </c>
      <c r="B439" s="1" t="n">
        <v>44105</v>
      </c>
      <c r="C439" s="1" t="n">
        <v>45657</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49898-2020</t>
        </is>
      </c>
      <c r="B440" s="1" t="n">
        <v>44108</v>
      </c>
      <c r="C440" s="1" t="n">
        <v>45657</v>
      </c>
      <c r="D440" t="inlineStr">
        <is>
          <t>STOCKHOLMS LÄN</t>
        </is>
      </c>
      <c r="E440" t="inlineStr">
        <is>
          <t>NORRTÄLJE</t>
        </is>
      </c>
      <c r="G440" t="n">
        <v>1.2</v>
      </c>
      <c r="H440" t="n">
        <v>0</v>
      </c>
      <c r="I440" t="n">
        <v>0</v>
      </c>
      <c r="J440" t="n">
        <v>0</v>
      </c>
      <c r="K440" t="n">
        <v>0</v>
      </c>
      <c r="L440" t="n">
        <v>0</v>
      </c>
      <c r="M440" t="n">
        <v>0</v>
      </c>
      <c r="N440" t="n">
        <v>0</v>
      </c>
      <c r="O440" t="n">
        <v>0</v>
      </c>
      <c r="P440" t="n">
        <v>0</v>
      </c>
      <c r="Q440" t="n">
        <v>0</v>
      </c>
      <c r="R440" s="2" t="inlineStr"/>
    </row>
    <row r="441" ht="15" customHeight="1">
      <c r="A441" t="inlineStr">
        <is>
          <t>A 50497-2020</t>
        </is>
      </c>
      <c r="B441" s="1" t="n">
        <v>44110</v>
      </c>
      <c r="C441" s="1" t="n">
        <v>45657</v>
      </c>
      <c r="D441" t="inlineStr">
        <is>
          <t>STOCKHOLMS LÄN</t>
        </is>
      </c>
      <c r="E441" t="inlineStr">
        <is>
          <t>NORRTÄLJE</t>
        </is>
      </c>
      <c r="F441" t="inlineStr">
        <is>
          <t>Holmen skog AB</t>
        </is>
      </c>
      <c r="G441" t="n">
        <v>4.3</v>
      </c>
      <c r="H441" t="n">
        <v>0</v>
      </c>
      <c r="I441" t="n">
        <v>0</v>
      </c>
      <c r="J441" t="n">
        <v>0</v>
      </c>
      <c r="K441" t="n">
        <v>0</v>
      </c>
      <c r="L441" t="n">
        <v>0</v>
      </c>
      <c r="M441" t="n">
        <v>0</v>
      </c>
      <c r="N441" t="n">
        <v>0</v>
      </c>
      <c r="O441" t="n">
        <v>0</v>
      </c>
      <c r="P441" t="n">
        <v>0</v>
      </c>
      <c r="Q441" t="n">
        <v>0</v>
      </c>
      <c r="R441" s="2" t="inlineStr"/>
    </row>
    <row r="442" ht="15" customHeight="1">
      <c r="A442" t="inlineStr">
        <is>
          <t>A 50738-2020</t>
        </is>
      </c>
      <c r="B442" s="1" t="n">
        <v>44111</v>
      </c>
      <c r="C442" s="1" t="n">
        <v>45657</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50746-2020</t>
        </is>
      </c>
      <c r="B443" s="1" t="n">
        <v>44111</v>
      </c>
      <c r="C443" s="1" t="n">
        <v>45657</v>
      </c>
      <c r="D443" t="inlineStr">
        <is>
          <t>STOCKHOLMS LÄN</t>
        </is>
      </c>
      <c r="E443" t="inlineStr">
        <is>
          <t>NORRTÄLJE</t>
        </is>
      </c>
      <c r="G443" t="n">
        <v>4.9</v>
      </c>
      <c r="H443" t="n">
        <v>0</v>
      </c>
      <c r="I443" t="n">
        <v>0</v>
      </c>
      <c r="J443" t="n">
        <v>0</v>
      </c>
      <c r="K443" t="n">
        <v>0</v>
      </c>
      <c r="L443" t="n">
        <v>0</v>
      </c>
      <c r="M443" t="n">
        <v>0</v>
      </c>
      <c r="N443" t="n">
        <v>0</v>
      </c>
      <c r="O443" t="n">
        <v>0</v>
      </c>
      <c r="P443" t="n">
        <v>0</v>
      </c>
      <c r="Q443" t="n">
        <v>0</v>
      </c>
      <c r="R443" s="2" t="inlineStr"/>
    </row>
    <row r="444" ht="15" customHeight="1">
      <c r="A444" t="inlineStr">
        <is>
          <t>A 50742-2020</t>
        </is>
      </c>
      <c r="B444" s="1" t="n">
        <v>44111</v>
      </c>
      <c r="C444" s="1" t="n">
        <v>45657</v>
      </c>
      <c r="D444" t="inlineStr">
        <is>
          <t>STOCKHOLMS LÄN</t>
        </is>
      </c>
      <c r="E444" t="inlineStr">
        <is>
          <t>NORRTÄLJE</t>
        </is>
      </c>
      <c r="G444" t="n">
        <v>0.4</v>
      </c>
      <c r="H444" t="n">
        <v>0</v>
      </c>
      <c r="I444" t="n">
        <v>0</v>
      </c>
      <c r="J444" t="n">
        <v>0</v>
      </c>
      <c r="K444" t="n">
        <v>0</v>
      </c>
      <c r="L444" t="n">
        <v>0</v>
      </c>
      <c r="M444" t="n">
        <v>0</v>
      </c>
      <c r="N444" t="n">
        <v>0</v>
      </c>
      <c r="O444" t="n">
        <v>0</v>
      </c>
      <c r="P444" t="n">
        <v>0</v>
      </c>
      <c r="Q444" t="n">
        <v>0</v>
      </c>
      <c r="R444" s="2" t="inlineStr"/>
    </row>
    <row r="445" ht="15" customHeight="1">
      <c r="A445" t="inlineStr">
        <is>
          <t>A 51720-2020</t>
        </is>
      </c>
      <c r="B445" s="1" t="n">
        <v>44113</v>
      </c>
      <c r="C445" s="1" t="n">
        <v>45657</v>
      </c>
      <c r="D445" t="inlineStr">
        <is>
          <t>STOCKHOLMS LÄN</t>
        </is>
      </c>
      <c r="E445" t="inlineStr">
        <is>
          <t>NORRTÄLJE</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51787-2020</t>
        </is>
      </c>
      <c r="B446" s="1" t="n">
        <v>44116</v>
      </c>
      <c r="C446" s="1" t="n">
        <v>45657</v>
      </c>
      <c r="D446" t="inlineStr">
        <is>
          <t>STOCKHOLMS LÄN</t>
        </is>
      </c>
      <c r="E446" t="inlineStr">
        <is>
          <t>NORRTÄLJE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51798-2020</t>
        </is>
      </c>
      <c r="B447" s="1" t="n">
        <v>44116</v>
      </c>
      <c r="C447" s="1" t="n">
        <v>45657</v>
      </c>
      <c r="D447" t="inlineStr">
        <is>
          <t>STOCKHOLMS LÄN</t>
        </is>
      </c>
      <c r="E447" t="inlineStr">
        <is>
          <t>NORRTÄLJE</t>
        </is>
      </c>
      <c r="G447" t="n">
        <v>4.3</v>
      </c>
      <c r="H447" t="n">
        <v>0</v>
      </c>
      <c r="I447" t="n">
        <v>0</v>
      </c>
      <c r="J447" t="n">
        <v>0</v>
      </c>
      <c r="K447" t="n">
        <v>0</v>
      </c>
      <c r="L447" t="n">
        <v>0</v>
      </c>
      <c r="M447" t="n">
        <v>0</v>
      </c>
      <c r="N447" t="n">
        <v>0</v>
      </c>
      <c r="O447" t="n">
        <v>0</v>
      </c>
      <c r="P447" t="n">
        <v>0</v>
      </c>
      <c r="Q447" t="n">
        <v>0</v>
      </c>
      <c r="R447" s="2" t="inlineStr"/>
    </row>
    <row r="448" ht="15" customHeight="1">
      <c r="A448" t="inlineStr">
        <is>
          <t>A 53768-2020</t>
        </is>
      </c>
      <c r="B448" s="1" t="n">
        <v>44123</v>
      </c>
      <c r="C448" s="1" t="n">
        <v>45657</v>
      </c>
      <c r="D448" t="inlineStr">
        <is>
          <t>STOCKHOLMS LÄN</t>
        </is>
      </c>
      <c r="E448" t="inlineStr">
        <is>
          <t>NORRTÄLJE</t>
        </is>
      </c>
      <c r="F448" t="inlineStr">
        <is>
          <t>Kommuner</t>
        </is>
      </c>
      <c r="G448" t="n">
        <v>2.1</v>
      </c>
      <c r="H448" t="n">
        <v>0</v>
      </c>
      <c r="I448" t="n">
        <v>0</v>
      </c>
      <c r="J448" t="n">
        <v>0</v>
      </c>
      <c r="K448" t="n">
        <v>0</v>
      </c>
      <c r="L448" t="n">
        <v>0</v>
      </c>
      <c r="M448" t="n">
        <v>0</v>
      </c>
      <c r="N448" t="n">
        <v>0</v>
      </c>
      <c r="O448" t="n">
        <v>0</v>
      </c>
      <c r="P448" t="n">
        <v>0</v>
      </c>
      <c r="Q448" t="n">
        <v>0</v>
      </c>
      <c r="R448" s="2" t="inlineStr"/>
    </row>
    <row r="449" ht="15" customHeight="1">
      <c r="A449" t="inlineStr">
        <is>
          <t>A 53652-2020</t>
        </is>
      </c>
      <c r="B449" s="1" t="n">
        <v>44124</v>
      </c>
      <c r="C449" s="1" t="n">
        <v>45657</v>
      </c>
      <c r="D449" t="inlineStr">
        <is>
          <t>STOCKHOLMS LÄN</t>
        </is>
      </c>
      <c r="E449" t="inlineStr">
        <is>
          <t>NORRTÄLJE</t>
        </is>
      </c>
      <c r="G449" t="n">
        <v>2</v>
      </c>
      <c r="H449" t="n">
        <v>0</v>
      </c>
      <c r="I449" t="n">
        <v>0</v>
      </c>
      <c r="J449" t="n">
        <v>0</v>
      </c>
      <c r="K449" t="n">
        <v>0</v>
      </c>
      <c r="L449" t="n">
        <v>0</v>
      </c>
      <c r="M449" t="n">
        <v>0</v>
      </c>
      <c r="N449" t="n">
        <v>0</v>
      </c>
      <c r="O449" t="n">
        <v>0</v>
      </c>
      <c r="P449" t="n">
        <v>0</v>
      </c>
      <c r="Q449" t="n">
        <v>0</v>
      </c>
      <c r="R449" s="2" t="inlineStr"/>
    </row>
    <row r="450" ht="15" customHeight="1">
      <c r="A450" t="inlineStr">
        <is>
          <t>A 53690-2020</t>
        </is>
      </c>
      <c r="B450" s="1" t="n">
        <v>44124</v>
      </c>
      <c r="C450" s="1" t="n">
        <v>45657</v>
      </c>
      <c r="D450" t="inlineStr">
        <is>
          <t>STOCKHOLMS LÄN</t>
        </is>
      </c>
      <c r="E450" t="inlineStr">
        <is>
          <t>NORRTÄLJE</t>
        </is>
      </c>
      <c r="G450" t="n">
        <v>0.5</v>
      </c>
      <c r="H450" t="n">
        <v>0</v>
      </c>
      <c r="I450" t="n">
        <v>0</v>
      </c>
      <c r="J450" t="n">
        <v>0</v>
      </c>
      <c r="K450" t="n">
        <v>0</v>
      </c>
      <c r="L450" t="n">
        <v>0</v>
      </c>
      <c r="M450" t="n">
        <v>0</v>
      </c>
      <c r="N450" t="n">
        <v>0</v>
      </c>
      <c r="O450" t="n">
        <v>0</v>
      </c>
      <c r="P450" t="n">
        <v>0</v>
      </c>
      <c r="Q450" t="n">
        <v>0</v>
      </c>
      <c r="R450" s="2" t="inlineStr"/>
    </row>
    <row r="451" ht="15" customHeight="1">
      <c r="A451" t="inlineStr">
        <is>
          <t>A 53607-2020</t>
        </is>
      </c>
      <c r="B451" s="1" t="n">
        <v>44124</v>
      </c>
      <c r="C451" s="1" t="n">
        <v>45657</v>
      </c>
      <c r="D451" t="inlineStr">
        <is>
          <t>STOCKHOLMS LÄN</t>
        </is>
      </c>
      <c r="E451" t="inlineStr">
        <is>
          <t>NORRTÄLJE</t>
        </is>
      </c>
      <c r="F451" t="inlineStr">
        <is>
          <t>Holmen skog AB</t>
        </is>
      </c>
      <c r="G451" t="n">
        <v>1.9</v>
      </c>
      <c r="H451" t="n">
        <v>0</v>
      </c>
      <c r="I451" t="n">
        <v>0</v>
      </c>
      <c r="J451" t="n">
        <v>0</v>
      </c>
      <c r="K451" t="n">
        <v>0</v>
      </c>
      <c r="L451" t="n">
        <v>0</v>
      </c>
      <c r="M451" t="n">
        <v>0</v>
      </c>
      <c r="N451" t="n">
        <v>0</v>
      </c>
      <c r="O451" t="n">
        <v>0</v>
      </c>
      <c r="P451" t="n">
        <v>0</v>
      </c>
      <c r="Q451" t="n">
        <v>0</v>
      </c>
      <c r="R451" s="2" t="inlineStr"/>
    </row>
    <row r="452" ht="15" customHeight="1">
      <c r="A452" t="inlineStr">
        <is>
          <t>A 55089-2020</t>
        </is>
      </c>
      <c r="B452" s="1" t="n">
        <v>44130</v>
      </c>
      <c r="C452" s="1" t="n">
        <v>45657</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55895-2020</t>
        </is>
      </c>
      <c r="B453" s="1" t="n">
        <v>44132</v>
      </c>
      <c r="C453" s="1" t="n">
        <v>45657</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55890-2020</t>
        </is>
      </c>
      <c r="B454" s="1" t="n">
        <v>44132</v>
      </c>
      <c r="C454" s="1" t="n">
        <v>45657</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55982-2020</t>
        </is>
      </c>
      <c r="B455" s="1" t="n">
        <v>44132</v>
      </c>
      <c r="C455" s="1" t="n">
        <v>45657</v>
      </c>
      <c r="D455" t="inlineStr">
        <is>
          <t>STOCKHOLMS LÄN</t>
        </is>
      </c>
      <c r="E455" t="inlineStr">
        <is>
          <t>NORRTÄLJE</t>
        </is>
      </c>
      <c r="G455" t="n">
        <v>11.3</v>
      </c>
      <c r="H455" t="n">
        <v>0</v>
      </c>
      <c r="I455" t="n">
        <v>0</v>
      </c>
      <c r="J455" t="n">
        <v>0</v>
      </c>
      <c r="K455" t="n">
        <v>0</v>
      </c>
      <c r="L455" t="n">
        <v>0</v>
      </c>
      <c r="M455" t="n">
        <v>0</v>
      </c>
      <c r="N455" t="n">
        <v>0</v>
      </c>
      <c r="O455" t="n">
        <v>0</v>
      </c>
      <c r="P455" t="n">
        <v>0</v>
      </c>
      <c r="Q455" t="n">
        <v>0</v>
      </c>
      <c r="R455" s="2" t="inlineStr"/>
    </row>
    <row r="456" ht="15" customHeight="1">
      <c r="A456" t="inlineStr">
        <is>
          <t>A 56166-2020</t>
        </is>
      </c>
      <c r="B456" s="1" t="n">
        <v>44133</v>
      </c>
      <c r="C456" s="1" t="n">
        <v>45657</v>
      </c>
      <c r="D456" t="inlineStr">
        <is>
          <t>STOCKHOLMS LÄN</t>
        </is>
      </c>
      <c r="E456" t="inlineStr">
        <is>
          <t>NORRTÄLJE</t>
        </is>
      </c>
      <c r="G456" t="n">
        <v>4.4</v>
      </c>
      <c r="H456" t="n">
        <v>0</v>
      </c>
      <c r="I456" t="n">
        <v>0</v>
      </c>
      <c r="J456" t="n">
        <v>0</v>
      </c>
      <c r="K456" t="n">
        <v>0</v>
      </c>
      <c r="L456" t="n">
        <v>0</v>
      </c>
      <c r="M456" t="n">
        <v>0</v>
      </c>
      <c r="N456" t="n">
        <v>0</v>
      </c>
      <c r="O456" t="n">
        <v>0</v>
      </c>
      <c r="P456" t="n">
        <v>0</v>
      </c>
      <c r="Q456" t="n">
        <v>0</v>
      </c>
      <c r="R456" s="2" t="inlineStr"/>
    </row>
    <row r="457" ht="15" customHeight="1">
      <c r="A457" t="inlineStr">
        <is>
          <t>A 56323-2020</t>
        </is>
      </c>
      <c r="B457" s="1" t="n">
        <v>44134</v>
      </c>
      <c r="C457" s="1" t="n">
        <v>45657</v>
      </c>
      <c r="D457" t="inlineStr">
        <is>
          <t>STOCKHOLMS LÄN</t>
        </is>
      </c>
      <c r="E457" t="inlineStr">
        <is>
          <t>NORRTÄLJE</t>
        </is>
      </c>
      <c r="G457" t="n">
        <v>2.4</v>
      </c>
      <c r="H457" t="n">
        <v>0</v>
      </c>
      <c r="I457" t="n">
        <v>0</v>
      </c>
      <c r="J457" t="n">
        <v>0</v>
      </c>
      <c r="K457" t="n">
        <v>0</v>
      </c>
      <c r="L457" t="n">
        <v>0</v>
      </c>
      <c r="M457" t="n">
        <v>0</v>
      </c>
      <c r="N457" t="n">
        <v>0</v>
      </c>
      <c r="O457" t="n">
        <v>0</v>
      </c>
      <c r="P457" t="n">
        <v>0</v>
      </c>
      <c r="Q457" t="n">
        <v>0</v>
      </c>
      <c r="R457" s="2" t="inlineStr"/>
    </row>
    <row r="458" ht="15" customHeight="1">
      <c r="A458" t="inlineStr">
        <is>
          <t>A 57216-2020</t>
        </is>
      </c>
      <c r="B458" s="1" t="n">
        <v>44139</v>
      </c>
      <c r="C458" s="1" t="n">
        <v>45657</v>
      </c>
      <c r="D458" t="inlineStr">
        <is>
          <t>STOCKHOLMS LÄN</t>
        </is>
      </c>
      <c r="E458" t="inlineStr">
        <is>
          <t>NORRTÄLJE</t>
        </is>
      </c>
      <c r="G458" t="n">
        <v>0.8</v>
      </c>
      <c r="H458" t="n">
        <v>0</v>
      </c>
      <c r="I458" t="n">
        <v>0</v>
      </c>
      <c r="J458" t="n">
        <v>0</v>
      </c>
      <c r="K458" t="n">
        <v>0</v>
      </c>
      <c r="L458" t="n">
        <v>0</v>
      </c>
      <c r="M458" t="n">
        <v>0</v>
      </c>
      <c r="N458" t="n">
        <v>0</v>
      </c>
      <c r="O458" t="n">
        <v>0</v>
      </c>
      <c r="P458" t="n">
        <v>0</v>
      </c>
      <c r="Q458" t="n">
        <v>0</v>
      </c>
      <c r="R458" s="2" t="inlineStr"/>
    </row>
    <row r="459" ht="15" customHeight="1">
      <c r="A459" t="inlineStr">
        <is>
          <t>A 57957-2020</t>
        </is>
      </c>
      <c r="B459" s="1" t="n">
        <v>44143</v>
      </c>
      <c r="C459" s="1" t="n">
        <v>45657</v>
      </c>
      <c r="D459" t="inlineStr">
        <is>
          <t>STOCKHOLMS LÄN</t>
        </is>
      </c>
      <c r="E459" t="inlineStr">
        <is>
          <t>NORRTÄLJE</t>
        </is>
      </c>
      <c r="G459" t="n">
        <v>0.6</v>
      </c>
      <c r="H459" t="n">
        <v>0</v>
      </c>
      <c r="I459" t="n">
        <v>0</v>
      </c>
      <c r="J459" t="n">
        <v>0</v>
      </c>
      <c r="K459" t="n">
        <v>0</v>
      </c>
      <c r="L459" t="n">
        <v>0</v>
      </c>
      <c r="M459" t="n">
        <v>0</v>
      </c>
      <c r="N459" t="n">
        <v>0</v>
      </c>
      <c r="O459" t="n">
        <v>0</v>
      </c>
      <c r="P459" t="n">
        <v>0</v>
      </c>
      <c r="Q459" t="n">
        <v>0</v>
      </c>
      <c r="R459" s="2" t="inlineStr"/>
    </row>
    <row r="460" ht="15" customHeight="1">
      <c r="A460" t="inlineStr">
        <is>
          <t>A 57987-2020</t>
        </is>
      </c>
      <c r="B460" s="1" t="n">
        <v>44143</v>
      </c>
      <c r="C460" s="1" t="n">
        <v>45657</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58493-2020</t>
        </is>
      </c>
      <c r="B461" s="1" t="n">
        <v>44145</v>
      </c>
      <c r="C461" s="1" t="n">
        <v>45657</v>
      </c>
      <c r="D461" t="inlineStr">
        <is>
          <t>STOCKHOLMS LÄN</t>
        </is>
      </c>
      <c r="E461" t="inlineStr">
        <is>
          <t>NORRTÄLJE</t>
        </is>
      </c>
      <c r="G461" t="n">
        <v>2.8</v>
      </c>
      <c r="H461" t="n">
        <v>0</v>
      </c>
      <c r="I461" t="n">
        <v>0</v>
      </c>
      <c r="J461" t="n">
        <v>0</v>
      </c>
      <c r="K461" t="n">
        <v>0</v>
      </c>
      <c r="L461" t="n">
        <v>0</v>
      </c>
      <c r="M461" t="n">
        <v>0</v>
      </c>
      <c r="N461" t="n">
        <v>0</v>
      </c>
      <c r="O461" t="n">
        <v>0</v>
      </c>
      <c r="P461" t="n">
        <v>0</v>
      </c>
      <c r="Q461" t="n">
        <v>0</v>
      </c>
      <c r="R461" s="2" t="inlineStr"/>
    </row>
    <row r="462" ht="15" customHeight="1">
      <c r="A462" t="inlineStr">
        <is>
          <t>A 58661-2020</t>
        </is>
      </c>
      <c r="B462" s="1" t="n">
        <v>44145</v>
      </c>
      <c r="C462" s="1" t="n">
        <v>45657</v>
      </c>
      <c r="D462" t="inlineStr">
        <is>
          <t>STOCKHOLMS LÄN</t>
        </is>
      </c>
      <c r="E462" t="inlineStr">
        <is>
          <t>NORRTÄLJE</t>
        </is>
      </c>
      <c r="G462" t="n">
        <v>1.1</v>
      </c>
      <c r="H462" t="n">
        <v>0</v>
      </c>
      <c r="I462" t="n">
        <v>0</v>
      </c>
      <c r="J462" t="n">
        <v>0</v>
      </c>
      <c r="K462" t="n">
        <v>0</v>
      </c>
      <c r="L462" t="n">
        <v>0</v>
      </c>
      <c r="M462" t="n">
        <v>0</v>
      </c>
      <c r="N462" t="n">
        <v>0</v>
      </c>
      <c r="O462" t="n">
        <v>0</v>
      </c>
      <c r="P462" t="n">
        <v>0</v>
      </c>
      <c r="Q462" t="n">
        <v>0</v>
      </c>
      <c r="R462" s="2" t="inlineStr"/>
    </row>
    <row r="463" ht="15" customHeight="1">
      <c r="A463" t="inlineStr">
        <is>
          <t>A 58665-2020</t>
        </is>
      </c>
      <c r="B463" s="1" t="n">
        <v>44145</v>
      </c>
      <c r="C463" s="1" t="n">
        <v>45657</v>
      </c>
      <c r="D463" t="inlineStr">
        <is>
          <t>STOCKHOLMS LÄN</t>
        </is>
      </c>
      <c r="E463" t="inlineStr">
        <is>
          <t>NORRTÄLJE</t>
        </is>
      </c>
      <c r="G463" t="n">
        <v>5.2</v>
      </c>
      <c r="H463" t="n">
        <v>0</v>
      </c>
      <c r="I463" t="n">
        <v>0</v>
      </c>
      <c r="J463" t="n">
        <v>0</v>
      </c>
      <c r="K463" t="n">
        <v>0</v>
      </c>
      <c r="L463" t="n">
        <v>0</v>
      </c>
      <c r="M463" t="n">
        <v>0</v>
      </c>
      <c r="N463" t="n">
        <v>0</v>
      </c>
      <c r="O463" t="n">
        <v>0</v>
      </c>
      <c r="P463" t="n">
        <v>0</v>
      </c>
      <c r="Q463" t="n">
        <v>0</v>
      </c>
      <c r="R463" s="2" t="inlineStr"/>
    </row>
    <row r="464" ht="15" customHeight="1">
      <c r="A464" t="inlineStr">
        <is>
          <t>A 58888-2020</t>
        </is>
      </c>
      <c r="B464" s="1" t="n">
        <v>44146</v>
      </c>
      <c r="C464" s="1" t="n">
        <v>45657</v>
      </c>
      <c r="D464" t="inlineStr">
        <is>
          <t>STOCKHOLMS LÄN</t>
        </is>
      </c>
      <c r="E464" t="inlineStr">
        <is>
          <t>NORRTÄLJE</t>
        </is>
      </c>
      <c r="G464" t="n">
        <v>1.9</v>
      </c>
      <c r="H464" t="n">
        <v>0</v>
      </c>
      <c r="I464" t="n">
        <v>0</v>
      </c>
      <c r="J464" t="n">
        <v>0</v>
      </c>
      <c r="K464" t="n">
        <v>0</v>
      </c>
      <c r="L464" t="n">
        <v>0</v>
      </c>
      <c r="M464" t="n">
        <v>0</v>
      </c>
      <c r="N464" t="n">
        <v>0</v>
      </c>
      <c r="O464" t="n">
        <v>0</v>
      </c>
      <c r="P464" t="n">
        <v>0</v>
      </c>
      <c r="Q464" t="n">
        <v>0</v>
      </c>
      <c r="R464" s="2" t="inlineStr"/>
    </row>
    <row r="465" ht="15" customHeight="1">
      <c r="A465" t="inlineStr">
        <is>
          <t>A 60321-2020</t>
        </is>
      </c>
      <c r="B465" s="1" t="n">
        <v>44152</v>
      </c>
      <c r="C465" s="1" t="n">
        <v>45657</v>
      </c>
      <c r="D465" t="inlineStr">
        <is>
          <t>STOCKHOLMS LÄN</t>
        </is>
      </c>
      <c r="E465" t="inlineStr">
        <is>
          <t>NORRTÄLJE</t>
        </is>
      </c>
      <c r="F465" t="inlineStr">
        <is>
          <t>Holmen skog AB</t>
        </is>
      </c>
      <c r="G465" t="n">
        <v>3.4</v>
      </c>
      <c r="H465" t="n">
        <v>0</v>
      </c>
      <c r="I465" t="n">
        <v>0</v>
      </c>
      <c r="J465" t="n">
        <v>0</v>
      </c>
      <c r="K465" t="n">
        <v>0</v>
      </c>
      <c r="L465" t="n">
        <v>0</v>
      </c>
      <c r="M465" t="n">
        <v>0</v>
      </c>
      <c r="N465" t="n">
        <v>0</v>
      </c>
      <c r="O465" t="n">
        <v>0</v>
      </c>
      <c r="P465" t="n">
        <v>0</v>
      </c>
      <c r="Q465" t="n">
        <v>0</v>
      </c>
      <c r="R465" s="2" t="inlineStr"/>
    </row>
    <row r="466" ht="15" customHeight="1">
      <c r="A466" t="inlineStr">
        <is>
          <t>A 60542-2020</t>
        </is>
      </c>
      <c r="B466" s="1" t="n">
        <v>44153</v>
      </c>
      <c r="C466" s="1" t="n">
        <v>45657</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60977-2020</t>
        </is>
      </c>
      <c r="B467" s="1" t="n">
        <v>44154</v>
      </c>
      <c r="C467" s="1" t="n">
        <v>45657</v>
      </c>
      <c r="D467" t="inlineStr">
        <is>
          <t>STOCKHOLMS LÄN</t>
        </is>
      </c>
      <c r="E467" t="inlineStr">
        <is>
          <t>NORRTÄLJE</t>
        </is>
      </c>
      <c r="F467" t="inlineStr">
        <is>
          <t>Holmen skog AB</t>
        </is>
      </c>
      <c r="G467" t="n">
        <v>0.8</v>
      </c>
      <c r="H467" t="n">
        <v>0</v>
      </c>
      <c r="I467" t="n">
        <v>0</v>
      </c>
      <c r="J467" t="n">
        <v>0</v>
      </c>
      <c r="K467" t="n">
        <v>0</v>
      </c>
      <c r="L467" t="n">
        <v>0</v>
      </c>
      <c r="M467" t="n">
        <v>0</v>
      </c>
      <c r="N467" t="n">
        <v>0</v>
      </c>
      <c r="O467" t="n">
        <v>0</v>
      </c>
      <c r="P467" t="n">
        <v>0</v>
      </c>
      <c r="Q467" t="n">
        <v>0</v>
      </c>
      <c r="R467" s="2" t="inlineStr"/>
    </row>
    <row r="468" ht="15" customHeight="1">
      <c r="A468" t="inlineStr">
        <is>
          <t>A 60891-2020</t>
        </is>
      </c>
      <c r="B468" s="1" t="n">
        <v>44154</v>
      </c>
      <c r="C468" s="1" t="n">
        <v>45657</v>
      </c>
      <c r="D468" t="inlineStr">
        <is>
          <t>STOCKHOLMS LÄN</t>
        </is>
      </c>
      <c r="E468" t="inlineStr">
        <is>
          <t>NORRTÄLJE</t>
        </is>
      </c>
      <c r="G468" t="n">
        <v>1.8</v>
      </c>
      <c r="H468" t="n">
        <v>0</v>
      </c>
      <c r="I468" t="n">
        <v>0</v>
      </c>
      <c r="J468" t="n">
        <v>0</v>
      </c>
      <c r="K468" t="n">
        <v>0</v>
      </c>
      <c r="L468" t="n">
        <v>0</v>
      </c>
      <c r="M468" t="n">
        <v>0</v>
      </c>
      <c r="N468" t="n">
        <v>0</v>
      </c>
      <c r="O468" t="n">
        <v>0</v>
      </c>
      <c r="P468" t="n">
        <v>0</v>
      </c>
      <c r="Q468" t="n">
        <v>0</v>
      </c>
      <c r="R468" s="2" t="inlineStr"/>
    </row>
    <row r="469" ht="15" customHeight="1">
      <c r="A469" t="inlineStr">
        <is>
          <t>A 60961-2020</t>
        </is>
      </c>
      <c r="B469" s="1" t="n">
        <v>44154</v>
      </c>
      <c r="C469" s="1" t="n">
        <v>45657</v>
      </c>
      <c r="D469" t="inlineStr">
        <is>
          <t>STOCKHOLMS LÄN</t>
        </is>
      </c>
      <c r="E469" t="inlineStr">
        <is>
          <t>NORRTÄLJE</t>
        </is>
      </c>
      <c r="F469" t="inlineStr">
        <is>
          <t>Holmen skog AB</t>
        </is>
      </c>
      <c r="G469" t="n">
        <v>0.9</v>
      </c>
      <c r="H469" t="n">
        <v>0</v>
      </c>
      <c r="I469" t="n">
        <v>0</v>
      </c>
      <c r="J469" t="n">
        <v>0</v>
      </c>
      <c r="K469" t="n">
        <v>0</v>
      </c>
      <c r="L469" t="n">
        <v>0</v>
      </c>
      <c r="M469" t="n">
        <v>0</v>
      </c>
      <c r="N469" t="n">
        <v>0</v>
      </c>
      <c r="O469" t="n">
        <v>0</v>
      </c>
      <c r="P469" t="n">
        <v>0</v>
      </c>
      <c r="Q469" t="n">
        <v>0</v>
      </c>
      <c r="R469" s="2" t="inlineStr"/>
    </row>
    <row r="470" ht="15" customHeight="1">
      <c r="A470" t="inlineStr">
        <is>
          <t>A 61195-2020</t>
        </is>
      </c>
      <c r="B470" s="1" t="n">
        <v>44155</v>
      </c>
      <c r="C470" s="1" t="n">
        <v>45657</v>
      </c>
      <c r="D470" t="inlineStr">
        <is>
          <t>STOCKHOLMS LÄN</t>
        </is>
      </c>
      <c r="E470" t="inlineStr">
        <is>
          <t>NORRTÄLJE</t>
        </is>
      </c>
      <c r="G470" t="n">
        <v>7.8</v>
      </c>
      <c r="H470" t="n">
        <v>0</v>
      </c>
      <c r="I470" t="n">
        <v>0</v>
      </c>
      <c r="J470" t="n">
        <v>0</v>
      </c>
      <c r="K470" t="n">
        <v>0</v>
      </c>
      <c r="L470" t="n">
        <v>0</v>
      </c>
      <c r="M470" t="n">
        <v>0</v>
      </c>
      <c r="N470" t="n">
        <v>0</v>
      </c>
      <c r="O470" t="n">
        <v>0</v>
      </c>
      <c r="P470" t="n">
        <v>0</v>
      </c>
      <c r="Q470" t="n">
        <v>0</v>
      </c>
      <c r="R470" s="2" t="inlineStr"/>
    </row>
    <row r="471" ht="15" customHeight="1">
      <c r="A471" t="inlineStr">
        <is>
          <t>A 61221-2020</t>
        </is>
      </c>
      <c r="B471" s="1" t="n">
        <v>44155</v>
      </c>
      <c r="C471" s="1" t="n">
        <v>45657</v>
      </c>
      <c r="D471" t="inlineStr">
        <is>
          <t>STOCKHOLMS LÄN</t>
        </is>
      </c>
      <c r="E471" t="inlineStr">
        <is>
          <t>NORRTÄLJE</t>
        </is>
      </c>
      <c r="G471" t="n">
        <v>2.8</v>
      </c>
      <c r="H471" t="n">
        <v>0</v>
      </c>
      <c r="I471" t="n">
        <v>0</v>
      </c>
      <c r="J471" t="n">
        <v>0</v>
      </c>
      <c r="K471" t="n">
        <v>0</v>
      </c>
      <c r="L471" t="n">
        <v>0</v>
      </c>
      <c r="M471" t="n">
        <v>0</v>
      </c>
      <c r="N471" t="n">
        <v>0</v>
      </c>
      <c r="O471" t="n">
        <v>0</v>
      </c>
      <c r="P471" t="n">
        <v>0</v>
      </c>
      <c r="Q471" t="n">
        <v>0</v>
      </c>
      <c r="R471" s="2" t="inlineStr"/>
    </row>
    <row r="472" ht="15" customHeight="1">
      <c r="A472" t="inlineStr">
        <is>
          <t>A 61363-2020</t>
        </is>
      </c>
      <c r="B472" s="1" t="n">
        <v>44155</v>
      </c>
      <c r="C472" s="1" t="n">
        <v>45657</v>
      </c>
      <c r="D472" t="inlineStr">
        <is>
          <t>STOCKHOLMS LÄN</t>
        </is>
      </c>
      <c r="E472" t="inlineStr">
        <is>
          <t>NORRTÄLJE</t>
        </is>
      </c>
      <c r="G472" t="n">
        <v>2.3</v>
      </c>
      <c r="H472" t="n">
        <v>0</v>
      </c>
      <c r="I472" t="n">
        <v>0</v>
      </c>
      <c r="J472" t="n">
        <v>0</v>
      </c>
      <c r="K472" t="n">
        <v>0</v>
      </c>
      <c r="L472" t="n">
        <v>0</v>
      </c>
      <c r="M472" t="n">
        <v>0</v>
      </c>
      <c r="N472" t="n">
        <v>0</v>
      </c>
      <c r="O472" t="n">
        <v>0</v>
      </c>
      <c r="P472" t="n">
        <v>0</v>
      </c>
      <c r="Q472" t="n">
        <v>0</v>
      </c>
      <c r="R472" s="2" t="inlineStr"/>
    </row>
    <row r="473" ht="15" customHeight="1">
      <c r="A473" t="inlineStr">
        <is>
          <t>A 61469-2020</t>
        </is>
      </c>
      <c r="B473" s="1" t="n">
        <v>44155</v>
      </c>
      <c r="C473" s="1" t="n">
        <v>45657</v>
      </c>
      <c r="D473" t="inlineStr">
        <is>
          <t>STOCKHOLMS LÄN</t>
        </is>
      </c>
      <c r="E473" t="inlineStr">
        <is>
          <t>NORRTÄLJE</t>
        </is>
      </c>
      <c r="F473" t="inlineStr">
        <is>
          <t>Övriga Aktiebolag</t>
        </is>
      </c>
      <c r="G473" t="n">
        <v>2.6</v>
      </c>
      <c r="H473" t="n">
        <v>0</v>
      </c>
      <c r="I473" t="n">
        <v>0</v>
      </c>
      <c r="J473" t="n">
        <v>0</v>
      </c>
      <c r="K473" t="n">
        <v>0</v>
      </c>
      <c r="L473" t="n">
        <v>0</v>
      </c>
      <c r="M473" t="n">
        <v>0</v>
      </c>
      <c r="N473" t="n">
        <v>0</v>
      </c>
      <c r="O473" t="n">
        <v>0</v>
      </c>
      <c r="P473" t="n">
        <v>0</v>
      </c>
      <c r="Q473" t="n">
        <v>0</v>
      </c>
      <c r="R473" s="2" t="inlineStr"/>
    </row>
    <row r="474" ht="15" customHeight="1">
      <c r="A474" t="inlineStr">
        <is>
          <t>A 61192-2020</t>
        </is>
      </c>
      <c r="B474" s="1" t="n">
        <v>44155</v>
      </c>
      <c r="C474" s="1" t="n">
        <v>45657</v>
      </c>
      <c r="D474" t="inlineStr">
        <is>
          <t>STOCKHOLMS LÄN</t>
        </is>
      </c>
      <c r="E474" t="inlineStr">
        <is>
          <t>NORRTÄLJE</t>
        </is>
      </c>
      <c r="G474" t="n">
        <v>2.1</v>
      </c>
      <c r="H474" t="n">
        <v>0</v>
      </c>
      <c r="I474" t="n">
        <v>0</v>
      </c>
      <c r="J474" t="n">
        <v>0</v>
      </c>
      <c r="K474" t="n">
        <v>0</v>
      </c>
      <c r="L474" t="n">
        <v>0</v>
      </c>
      <c r="M474" t="n">
        <v>0</v>
      </c>
      <c r="N474" t="n">
        <v>0</v>
      </c>
      <c r="O474" t="n">
        <v>0</v>
      </c>
      <c r="P474" t="n">
        <v>0</v>
      </c>
      <c r="Q474" t="n">
        <v>0</v>
      </c>
      <c r="R474" s="2" t="inlineStr"/>
    </row>
    <row r="475" ht="15" customHeight="1">
      <c r="A475" t="inlineStr">
        <is>
          <t>A 62460-2020</t>
        </is>
      </c>
      <c r="B475" s="1" t="n">
        <v>44160</v>
      </c>
      <c r="C475" s="1" t="n">
        <v>45657</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62854-2020</t>
        </is>
      </c>
      <c r="B476" s="1" t="n">
        <v>44161</v>
      </c>
      <c r="C476" s="1" t="n">
        <v>45657</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63824-2020</t>
        </is>
      </c>
      <c r="B477" s="1" t="n">
        <v>44162</v>
      </c>
      <c r="C477" s="1" t="n">
        <v>45657</v>
      </c>
      <c r="D477" t="inlineStr">
        <is>
          <t>STOCKHOLMS LÄN</t>
        </is>
      </c>
      <c r="E477" t="inlineStr">
        <is>
          <t>NORRTÄLJE</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66372-2020</t>
        </is>
      </c>
      <c r="B478" s="1" t="n">
        <v>44176</v>
      </c>
      <c r="C478" s="1" t="n">
        <v>45657</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66907-2020</t>
        </is>
      </c>
      <c r="B479" s="1" t="n">
        <v>44176</v>
      </c>
      <c r="C479" s="1" t="n">
        <v>45657</v>
      </c>
      <c r="D479" t="inlineStr">
        <is>
          <t>STOCKHOLMS LÄN</t>
        </is>
      </c>
      <c r="E479" t="inlineStr">
        <is>
          <t>NORRTÄLJE</t>
        </is>
      </c>
      <c r="G479" t="n">
        <v>1.7</v>
      </c>
      <c r="H479" t="n">
        <v>0</v>
      </c>
      <c r="I479" t="n">
        <v>0</v>
      </c>
      <c r="J479" t="n">
        <v>0</v>
      </c>
      <c r="K479" t="n">
        <v>0</v>
      </c>
      <c r="L479" t="n">
        <v>0</v>
      </c>
      <c r="M479" t="n">
        <v>0</v>
      </c>
      <c r="N479" t="n">
        <v>0</v>
      </c>
      <c r="O479" t="n">
        <v>0</v>
      </c>
      <c r="P479" t="n">
        <v>0</v>
      </c>
      <c r="Q479" t="n">
        <v>0</v>
      </c>
      <c r="R479" s="2" t="inlineStr"/>
    </row>
    <row r="480" ht="15" customHeight="1">
      <c r="A480" t="inlineStr">
        <is>
          <t>A 67393-2020</t>
        </is>
      </c>
      <c r="B480" s="1" t="n">
        <v>44181</v>
      </c>
      <c r="C480" s="1" t="n">
        <v>45657</v>
      </c>
      <c r="D480" t="inlineStr">
        <is>
          <t>STOCKHOLMS LÄN</t>
        </is>
      </c>
      <c r="E480" t="inlineStr">
        <is>
          <t>NORRTÄLJE</t>
        </is>
      </c>
      <c r="G480" t="n">
        <v>5.5</v>
      </c>
      <c r="H480" t="n">
        <v>0</v>
      </c>
      <c r="I480" t="n">
        <v>0</v>
      </c>
      <c r="J480" t="n">
        <v>0</v>
      </c>
      <c r="K480" t="n">
        <v>0</v>
      </c>
      <c r="L480" t="n">
        <v>0</v>
      </c>
      <c r="M480" t="n">
        <v>0</v>
      </c>
      <c r="N480" t="n">
        <v>0</v>
      </c>
      <c r="O480" t="n">
        <v>0</v>
      </c>
      <c r="P480" t="n">
        <v>0</v>
      </c>
      <c r="Q480" t="n">
        <v>0</v>
      </c>
      <c r="R480" s="2" t="inlineStr"/>
    </row>
    <row r="481" ht="15" customHeight="1">
      <c r="A481" t="inlineStr">
        <is>
          <t>A 68081-2020</t>
        </is>
      </c>
      <c r="B481" s="1" t="n">
        <v>44183</v>
      </c>
      <c r="C481" s="1" t="n">
        <v>45657</v>
      </c>
      <c r="D481" t="inlineStr">
        <is>
          <t>STOCKHOLMS LÄN</t>
        </is>
      </c>
      <c r="E481" t="inlineStr">
        <is>
          <t>NORRTÄLJE</t>
        </is>
      </c>
      <c r="G481" t="n">
        <v>2.1</v>
      </c>
      <c r="H481" t="n">
        <v>0</v>
      </c>
      <c r="I481" t="n">
        <v>0</v>
      </c>
      <c r="J481" t="n">
        <v>0</v>
      </c>
      <c r="K481" t="n">
        <v>0</v>
      </c>
      <c r="L481" t="n">
        <v>0</v>
      </c>
      <c r="M481" t="n">
        <v>0</v>
      </c>
      <c r="N481" t="n">
        <v>0</v>
      </c>
      <c r="O481" t="n">
        <v>0</v>
      </c>
      <c r="P481" t="n">
        <v>0</v>
      </c>
      <c r="Q481" t="n">
        <v>0</v>
      </c>
      <c r="R481" s="2" t="inlineStr"/>
    </row>
    <row r="482" ht="15" customHeight="1">
      <c r="A482" t="inlineStr">
        <is>
          <t>A 367-2021</t>
        </is>
      </c>
      <c r="B482" s="1" t="n">
        <v>44201</v>
      </c>
      <c r="C482" s="1" t="n">
        <v>45657</v>
      </c>
      <c r="D482" t="inlineStr">
        <is>
          <t>STOCKHOLMS LÄN</t>
        </is>
      </c>
      <c r="E482" t="inlineStr">
        <is>
          <t>NORRTÄLJE</t>
        </is>
      </c>
      <c r="G482" t="n">
        <v>0.1</v>
      </c>
      <c r="H482" t="n">
        <v>0</v>
      </c>
      <c r="I482" t="n">
        <v>0</v>
      </c>
      <c r="J482" t="n">
        <v>0</v>
      </c>
      <c r="K482" t="n">
        <v>0</v>
      </c>
      <c r="L482" t="n">
        <v>0</v>
      </c>
      <c r="M482" t="n">
        <v>0</v>
      </c>
      <c r="N482" t="n">
        <v>0</v>
      </c>
      <c r="O482" t="n">
        <v>0</v>
      </c>
      <c r="P482" t="n">
        <v>0</v>
      </c>
      <c r="Q482" t="n">
        <v>0</v>
      </c>
      <c r="R482" s="2" t="inlineStr"/>
    </row>
    <row r="483" ht="15" customHeight="1">
      <c r="A483" t="inlineStr">
        <is>
          <t>A 348-2021</t>
        </is>
      </c>
      <c r="B483" s="1" t="n">
        <v>44201</v>
      </c>
      <c r="C483" s="1" t="n">
        <v>45657</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1637-2021</t>
        </is>
      </c>
      <c r="B484" s="1" t="n">
        <v>44209</v>
      </c>
      <c r="C484" s="1" t="n">
        <v>45657</v>
      </c>
      <c r="D484" t="inlineStr">
        <is>
          <t>STOCKHOLMS LÄN</t>
        </is>
      </c>
      <c r="E484" t="inlineStr">
        <is>
          <t>NORRTÄLJE</t>
        </is>
      </c>
      <c r="G484" t="n">
        <v>1.6</v>
      </c>
      <c r="H484" t="n">
        <v>0</v>
      </c>
      <c r="I484" t="n">
        <v>0</v>
      </c>
      <c r="J484" t="n">
        <v>0</v>
      </c>
      <c r="K484" t="n">
        <v>0</v>
      </c>
      <c r="L484" t="n">
        <v>0</v>
      </c>
      <c r="M484" t="n">
        <v>0</v>
      </c>
      <c r="N484" t="n">
        <v>0</v>
      </c>
      <c r="O484" t="n">
        <v>0</v>
      </c>
      <c r="P484" t="n">
        <v>0</v>
      </c>
      <c r="Q484" t="n">
        <v>0</v>
      </c>
      <c r="R484" s="2" t="inlineStr"/>
    </row>
    <row r="485" ht="15" customHeight="1">
      <c r="A485" t="inlineStr">
        <is>
          <t>A 1970-2021</t>
        </is>
      </c>
      <c r="B485" s="1" t="n">
        <v>44210</v>
      </c>
      <c r="C485" s="1" t="n">
        <v>45657</v>
      </c>
      <c r="D485" t="inlineStr">
        <is>
          <t>STOCKHOLMS LÄN</t>
        </is>
      </c>
      <c r="E485" t="inlineStr">
        <is>
          <t>NORRTÄLJE</t>
        </is>
      </c>
      <c r="G485" t="n">
        <v>3.1</v>
      </c>
      <c r="H485" t="n">
        <v>0</v>
      </c>
      <c r="I485" t="n">
        <v>0</v>
      </c>
      <c r="J485" t="n">
        <v>0</v>
      </c>
      <c r="K485" t="n">
        <v>0</v>
      </c>
      <c r="L485" t="n">
        <v>0</v>
      </c>
      <c r="M485" t="n">
        <v>0</v>
      </c>
      <c r="N485" t="n">
        <v>0</v>
      </c>
      <c r="O485" t="n">
        <v>0</v>
      </c>
      <c r="P485" t="n">
        <v>0</v>
      </c>
      <c r="Q485" t="n">
        <v>0</v>
      </c>
      <c r="R485" s="2" t="inlineStr"/>
    </row>
    <row r="486" ht="15" customHeight="1">
      <c r="A486" t="inlineStr">
        <is>
          <t>A 2447-2021</t>
        </is>
      </c>
      <c r="B486" s="1" t="n">
        <v>44214</v>
      </c>
      <c r="C486" s="1" t="n">
        <v>45657</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2976-2021</t>
        </is>
      </c>
      <c r="B487" s="1" t="n">
        <v>44216</v>
      </c>
      <c r="C487" s="1" t="n">
        <v>45657</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3143-2021</t>
        </is>
      </c>
      <c r="B488" s="1" t="n">
        <v>44217</v>
      </c>
      <c r="C488" s="1" t="n">
        <v>45657</v>
      </c>
      <c r="D488" t="inlineStr">
        <is>
          <t>STOCKHOLMS LÄN</t>
        </is>
      </c>
      <c r="E488" t="inlineStr">
        <is>
          <t>NORRTÄLJE</t>
        </is>
      </c>
      <c r="G488" t="n">
        <v>1.2</v>
      </c>
      <c r="H488" t="n">
        <v>0</v>
      </c>
      <c r="I488" t="n">
        <v>0</v>
      </c>
      <c r="J488" t="n">
        <v>0</v>
      </c>
      <c r="K488" t="n">
        <v>0</v>
      </c>
      <c r="L488" t="n">
        <v>0</v>
      </c>
      <c r="M488" t="n">
        <v>0</v>
      </c>
      <c r="N488" t="n">
        <v>0</v>
      </c>
      <c r="O488" t="n">
        <v>0</v>
      </c>
      <c r="P488" t="n">
        <v>0</v>
      </c>
      <c r="Q488" t="n">
        <v>0</v>
      </c>
      <c r="R488" s="2" t="inlineStr"/>
    </row>
    <row r="489" ht="15" customHeight="1">
      <c r="A489" t="inlineStr">
        <is>
          <t>A 3386-2021</t>
        </is>
      </c>
      <c r="B489" s="1" t="n">
        <v>44218</v>
      </c>
      <c r="C489" s="1" t="n">
        <v>45657</v>
      </c>
      <c r="D489" t="inlineStr">
        <is>
          <t>STOCKHOLMS LÄN</t>
        </is>
      </c>
      <c r="E489" t="inlineStr">
        <is>
          <t>NORRTÄLJE</t>
        </is>
      </c>
      <c r="G489" t="n">
        <v>8</v>
      </c>
      <c r="H489" t="n">
        <v>0</v>
      </c>
      <c r="I489" t="n">
        <v>0</v>
      </c>
      <c r="J489" t="n">
        <v>0</v>
      </c>
      <c r="K489" t="n">
        <v>0</v>
      </c>
      <c r="L489" t="n">
        <v>0</v>
      </c>
      <c r="M489" t="n">
        <v>0</v>
      </c>
      <c r="N489" t="n">
        <v>0</v>
      </c>
      <c r="O489" t="n">
        <v>0</v>
      </c>
      <c r="P489" t="n">
        <v>0</v>
      </c>
      <c r="Q489" t="n">
        <v>0</v>
      </c>
      <c r="R489" s="2" t="inlineStr"/>
    </row>
    <row r="490" ht="15" customHeight="1">
      <c r="A490" t="inlineStr">
        <is>
          <t>A 4634-2021</t>
        </is>
      </c>
      <c r="B490" s="1" t="n">
        <v>44224</v>
      </c>
      <c r="C490" s="1" t="n">
        <v>45657</v>
      </c>
      <c r="D490" t="inlineStr">
        <is>
          <t>STOCKHOLMS LÄN</t>
        </is>
      </c>
      <c r="E490" t="inlineStr">
        <is>
          <t>NORRTÄLJE</t>
        </is>
      </c>
      <c r="G490" t="n">
        <v>3.7</v>
      </c>
      <c r="H490" t="n">
        <v>0</v>
      </c>
      <c r="I490" t="n">
        <v>0</v>
      </c>
      <c r="J490" t="n">
        <v>0</v>
      </c>
      <c r="K490" t="n">
        <v>0</v>
      </c>
      <c r="L490" t="n">
        <v>0</v>
      </c>
      <c r="M490" t="n">
        <v>0</v>
      </c>
      <c r="N490" t="n">
        <v>0</v>
      </c>
      <c r="O490" t="n">
        <v>0</v>
      </c>
      <c r="P490" t="n">
        <v>0</v>
      </c>
      <c r="Q490" t="n">
        <v>0</v>
      </c>
      <c r="R490" s="2" t="inlineStr"/>
    </row>
    <row r="491" ht="15" customHeight="1">
      <c r="A491" t="inlineStr">
        <is>
          <t>A 4632-2021</t>
        </is>
      </c>
      <c r="B491" s="1" t="n">
        <v>44224</v>
      </c>
      <c r="C491" s="1" t="n">
        <v>45657</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5037-2021</t>
        </is>
      </c>
      <c r="B492" s="1" t="n">
        <v>44228</v>
      </c>
      <c r="C492" s="1" t="n">
        <v>45657</v>
      </c>
      <c r="D492" t="inlineStr">
        <is>
          <t>STOCKHOLMS LÄN</t>
        </is>
      </c>
      <c r="E492" t="inlineStr">
        <is>
          <t>NORRTÄLJE</t>
        </is>
      </c>
      <c r="F492" t="inlineStr">
        <is>
          <t>Holmen skog AB</t>
        </is>
      </c>
      <c r="G492" t="n">
        <v>3.8</v>
      </c>
      <c r="H492" t="n">
        <v>0</v>
      </c>
      <c r="I492" t="n">
        <v>0</v>
      </c>
      <c r="J492" t="n">
        <v>0</v>
      </c>
      <c r="K492" t="n">
        <v>0</v>
      </c>
      <c r="L492" t="n">
        <v>0</v>
      </c>
      <c r="M492" t="n">
        <v>0</v>
      </c>
      <c r="N492" t="n">
        <v>0</v>
      </c>
      <c r="O492" t="n">
        <v>0</v>
      </c>
      <c r="P492" t="n">
        <v>0</v>
      </c>
      <c r="Q492" t="n">
        <v>0</v>
      </c>
      <c r="R492" s="2" t="inlineStr"/>
    </row>
    <row r="493" ht="15" customHeight="1">
      <c r="A493" t="inlineStr">
        <is>
          <t>A 5562-2021</t>
        </is>
      </c>
      <c r="B493" s="1" t="n">
        <v>44230</v>
      </c>
      <c r="C493" s="1" t="n">
        <v>45657</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5566-2021</t>
        </is>
      </c>
      <c r="B494" s="1" t="n">
        <v>44230</v>
      </c>
      <c r="C494" s="1" t="n">
        <v>45657</v>
      </c>
      <c r="D494" t="inlineStr">
        <is>
          <t>STOCKHOLMS LÄN</t>
        </is>
      </c>
      <c r="E494" t="inlineStr">
        <is>
          <t>NORRTÄLJE</t>
        </is>
      </c>
      <c r="G494" t="n">
        <v>3.1</v>
      </c>
      <c r="H494" t="n">
        <v>0</v>
      </c>
      <c r="I494" t="n">
        <v>0</v>
      </c>
      <c r="J494" t="n">
        <v>0</v>
      </c>
      <c r="K494" t="n">
        <v>0</v>
      </c>
      <c r="L494" t="n">
        <v>0</v>
      </c>
      <c r="M494" t="n">
        <v>0</v>
      </c>
      <c r="N494" t="n">
        <v>0</v>
      </c>
      <c r="O494" t="n">
        <v>0</v>
      </c>
      <c r="P494" t="n">
        <v>0</v>
      </c>
      <c r="Q494" t="n">
        <v>0</v>
      </c>
      <c r="R494" s="2" t="inlineStr"/>
    </row>
    <row r="495" ht="15" customHeight="1">
      <c r="A495" t="inlineStr">
        <is>
          <t>A 5950-2021</t>
        </is>
      </c>
      <c r="B495" s="1" t="n">
        <v>44231</v>
      </c>
      <c r="C495" s="1" t="n">
        <v>45657</v>
      </c>
      <c r="D495" t="inlineStr">
        <is>
          <t>STOCKHOLMS LÄN</t>
        </is>
      </c>
      <c r="E495" t="inlineStr">
        <is>
          <t>NORRTÄLJE</t>
        </is>
      </c>
      <c r="F495" t="inlineStr">
        <is>
          <t>Holmen skog AB</t>
        </is>
      </c>
      <c r="G495" t="n">
        <v>0.7</v>
      </c>
      <c r="H495" t="n">
        <v>0</v>
      </c>
      <c r="I495" t="n">
        <v>0</v>
      </c>
      <c r="J495" t="n">
        <v>0</v>
      </c>
      <c r="K495" t="n">
        <v>0</v>
      </c>
      <c r="L495" t="n">
        <v>0</v>
      </c>
      <c r="M495" t="n">
        <v>0</v>
      </c>
      <c r="N495" t="n">
        <v>0</v>
      </c>
      <c r="O495" t="n">
        <v>0</v>
      </c>
      <c r="P495" t="n">
        <v>0</v>
      </c>
      <c r="Q495" t="n">
        <v>0</v>
      </c>
      <c r="R495" s="2" t="inlineStr"/>
    </row>
    <row r="496" ht="15" customHeight="1">
      <c r="A496" t="inlineStr">
        <is>
          <t>A 6049-2021</t>
        </is>
      </c>
      <c r="B496" s="1" t="n">
        <v>44231</v>
      </c>
      <c r="C496" s="1" t="n">
        <v>45657</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7903-2021</t>
        </is>
      </c>
      <c r="B497" s="1" t="n">
        <v>44243</v>
      </c>
      <c r="C497" s="1" t="n">
        <v>45657</v>
      </c>
      <c r="D497" t="inlineStr">
        <is>
          <t>STOCKHOLMS LÄN</t>
        </is>
      </c>
      <c r="E497" t="inlineStr">
        <is>
          <t>NORRTÄLJE</t>
        </is>
      </c>
      <c r="G497" t="n">
        <v>3.5</v>
      </c>
      <c r="H497" t="n">
        <v>0</v>
      </c>
      <c r="I497" t="n">
        <v>0</v>
      </c>
      <c r="J497" t="n">
        <v>0</v>
      </c>
      <c r="K497" t="n">
        <v>0</v>
      </c>
      <c r="L497" t="n">
        <v>0</v>
      </c>
      <c r="M497" t="n">
        <v>0</v>
      </c>
      <c r="N497" t="n">
        <v>0</v>
      </c>
      <c r="O497" t="n">
        <v>0</v>
      </c>
      <c r="P497" t="n">
        <v>0</v>
      </c>
      <c r="Q497" t="n">
        <v>0</v>
      </c>
      <c r="R497" s="2" t="inlineStr"/>
    </row>
    <row r="498" ht="15" customHeight="1">
      <c r="A498" t="inlineStr">
        <is>
          <t>A 7999-2021</t>
        </is>
      </c>
      <c r="B498" s="1" t="n">
        <v>44243</v>
      </c>
      <c r="C498" s="1" t="n">
        <v>45657</v>
      </c>
      <c r="D498" t="inlineStr">
        <is>
          <t>STOCKHOLMS LÄN</t>
        </is>
      </c>
      <c r="E498" t="inlineStr">
        <is>
          <t>NORRTÄLJE</t>
        </is>
      </c>
      <c r="G498" t="n">
        <v>6.8</v>
      </c>
      <c r="H498" t="n">
        <v>0</v>
      </c>
      <c r="I498" t="n">
        <v>0</v>
      </c>
      <c r="J498" t="n">
        <v>0</v>
      </c>
      <c r="K498" t="n">
        <v>0</v>
      </c>
      <c r="L498" t="n">
        <v>0</v>
      </c>
      <c r="M498" t="n">
        <v>0</v>
      </c>
      <c r="N498" t="n">
        <v>0</v>
      </c>
      <c r="O498" t="n">
        <v>0</v>
      </c>
      <c r="P498" t="n">
        <v>0</v>
      </c>
      <c r="Q498" t="n">
        <v>0</v>
      </c>
      <c r="R498" s="2" t="inlineStr"/>
    </row>
    <row r="499" ht="15" customHeight="1">
      <c r="A499" t="inlineStr">
        <is>
          <t>A 8338-2021</t>
        </is>
      </c>
      <c r="B499" s="1" t="n">
        <v>44244</v>
      </c>
      <c r="C499" s="1" t="n">
        <v>45657</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9467-2021</t>
        </is>
      </c>
      <c r="B500" s="1" t="n">
        <v>44251</v>
      </c>
      <c r="C500" s="1" t="n">
        <v>45657</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9469-2021</t>
        </is>
      </c>
      <c r="B501" s="1" t="n">
        <v>44251</v>
      </c>
      <c r="C501" s="1" t="n">
        <v>45657</v>
      </c>
      <c r="D501" t="inlineStr">
        <is>
          <t>STOCKHOLMS LÄN</t>
        </is>
      </c>
      <c r="E501" t="inlineStr">
        <is>
          <t>NORRTÄLJE</t>
        </is>
      </c>
      <c r="G501" t="n">
        <v>2.5</v>
      </c>
      <c r="H501" t="n">
        <v>0</v>
      </c>
      <c r="I501" t="n">
        <v>0</v>
      </c>
      <c r="J501" t="n">
        <v>0</v>
      </c>
      <c r="K501" t="n">
        <v>0</v>
      </c>
      <c r="L501" t="n">
        <v>0</v>
      </c>
      <c r="M501" t="n">
        <v>0</v>
      </c>
      <c r="N501" t="n">
        <v>0</v>
      </c>
      <c r="O501" t="n">
        <v>0</v>
      </c>
      <c r="P501" t="n">
        <v>0</v>
      </c>
      <c r="Q501" t="n">
        <v>0</v>
      </c>
      <c r="R501" s="2" t="inlineStr"/>
    </row>
    <row r="502" ht="15" customHeight="1">
      <c r="A502" t="inlineStr">
        <is>
          <t>A 9446-2021</t>
        </is>
      </c>
      <c r="B502" s="1" t="n">
        <v>44251</v>
      </c>
      <c r="C502" s="1" t="n">
        <v>45657</v>
      </c>
      <c r="D502" t="inlineStr">
        <is>
          <t>STOCKHOLMS LÄN</t>
        </is>
      </c>
      <c r="E502" t="inlineStr">
        <is>
          <t>NORRTÄLJE</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9719-2021</t>
        </is>
      </c>
      <c r="B503" s="1" t="n">
        <v>44252</v>
      </c>
      <c r="C503" s="1" t="n">
        <v>45657</v>
      </c>
      <c r="D503" t="inlineStr">
        <is>
          <t>STOCKHOLMS LÄN</t>
        </is>
      </c>
      <c r="E503" t="inlineStr">
        <is>
          <t>NORRTÄLJE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9703-2021</t>
        </is>
      </c>
      <c r="B504" s="1" t="n">
        <v>44252</v>
      </c>
      <c r="C504" s="1" t="n">
        <v>45657</v>
      </c>
      <c r="D504" t="inlineStr">
        <is>
          <t>STOCKHOLMS LÄN</t>
        </is>
      </c>
      <c r="E504" t="inlineStr">
        <is>
          <t>NORRTÄLJE</t>
        </is>
      </c>
      <c r="G504" t="n">
        <v>3.4</v>
      </c>
      <c r="H504" t="n">
        <v>0</v>
      </c>
      <c r="I504" t="n">
        <v>0</v>
      </c>
      <c r="J504" t="n">
        <v>0</v>
      </c>
      <c r="K504" t="n">
        <v>0</v>
      </c>
      <c r="L504" t="n">
        <v>0</v>
      </c>
      <c r="M504" t="n">
        <v>0</v>
      </c>
      <c r="N504" t="n">
        <v>0</v>
      </c>
      <c r="O504" t="n">
        <v>0</v>
      </c>
      <c r="P504" t="n">
        <v>0</v>
      </c>
      <c r="Q504" t="n">
        <v>0</v>
      </c>
      <c r="R504" s="2" t="inlineStr"/>
    </row>
    <row r="505" ht="15" customHeight="1">
      <c r="A505" t="inlineStr">
        <is>
          <t>A 10687-2021</t>
        </is>
      </c>
      <c r="B505" s="1" t="n">
        <v>44258</v>
      </c>
      <c r="C505" s="1" t="n">
        <v>45657</v>
      </c>
      <c r="D505" t="inlineStr">
        <is>
          <t>STOCKHOLMS LÄN</t>
        </is>
      </c>
      <c r="E505" t="inlineStr">
        <is>
          <t>NORRTÄLJE</t>
        </is>
      </c>
      <c r="F505" t="inlineStr">
        <is>
          <t>Holmen skog AB</t>
        </is>
      </c>
      <c r="G505" t="n">
        <v>2</v>
      </c>
      <c r="H505" t="n">
        <v>0</v>
      </c>
      <c r="I505" t="n">
        <v>0</v>
      </c>
      <c r="J505" t="n">
        <v>0</v>
      </c>
      <c r="K505" t="n">
        <v>0</v>
      </c>
      <c r="L505" t="n">
        <v>0</v>
      </c>
      <c r="M505" t="n">
        <v>0</v>
      </c>
      <c r="N505" t="n">
        <v>0</v>
      </c>
      <c r="O505" t="n">
        <v>0</v>
      </c>
      <c r="P505" t="n">
        <v>0</v>
      </c>
      <c r="Q505" t="n">
        <v>0</v>
      </c>
      <c r="R505" s="2" t="inlineStr"/>
    </row>
    <row r="506" ht="15" customHeight="1">
      <c r="A506" t="inlineStr">
        <is>
          <t>A 10684-2021</t>
        </is>
      </c>
      <c r="B506" s="1" t="n">
        <v>44258</v>
      </c>
      <c r="C506" s="1" t="n">
        <v>45657</v>
      </c>
      <c r="D506" t="inlineStr">
        <is>
          <t>STOCKHOLMS LÄN</t>
        </is>
      </c>
      <c r="E506" t="inlineStr">
        <is>
          <t>NORRTÄLJE</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11122-2021</t>
        </is>
      </c>
      <c r="B507" s="1" t="n">
        <v>44260</v>
      </c>
      <c r="C507" s="1" t="n">
        <v>45657</v>
      </c>
      <c r="D507" t="inlineStr">
        <is>
          <t>STOCKHOLMS LÄN</t>
        </is>
      </c>
      <c r="E507" t="inlineStr">
        <is>
          <t>NORRTÄLJE</t>
        </is>
      </c>
      <c r="F507" t="inlineStr">
        <is>
          <t>Holmen skog AB</t>
        </is>
      </c>
      <c r="G507" t="n">
        <v>2.1</v>
      </c>
      <c r="H507" t="n">
        <v>0</v>
      </c>
      <c r="I507" t="n">
        <v>0</v>
      </c>
      <c r="J507" t="n">
        <v>0</v>
      </c>
      <c r="K507" t="n">
        <v>0</v>
      </c>
      <c r="L507" t="n">
        <v>0</v>
      </c>
      <c r="M507" t="n">
        <v>0</v>
      </c>
      <c r="N507" t="n">
        <v>0</v>
      </c>
      <c r="O507" t="n">
        <v>0</v>
      </c>
      <c r="P507" t="n">
        <v>0</v>
      </c>
      <c r="Q507" t="n">
        <v>0</v>
      </c>
      <c r="R507" s="2" t="inlineStr"/>
    </row>
    <row r="508" ht="15" customHeight="1">
      <c r="A508" t="inlineStr">
        <is>
          <t>A 11438-2021</t>
        </is>
      </c>
      <c r="B508" s="1" t="n">
        <v>44263</v>
      </c>
      <c r="C508" s="1" t="n">
        <v>45657</v>
      </c>
      <c r="D508" t="inlineStr">
        <is>
          <t>STOCKHOLMS LÄN</t>
        </is>
      </c>
      <c r="E508" t="inlineStr">
        <is>
          <t>NORRTÄLJE</t>
        </is>
      </c>
      <c r="G508" t="n">
        <v>2.6</v>
      </c>
      <c r="H508" t="n">
        <v>0</v>
      </c>
      <c r="I508" t="n">
        <v>0</v>
      </c>
      <c r="J508" t="n">
        <v>0</v>
      </c>
      <c r="K508" t="n">
        <v>0</v>
      </c>
      <c r="L508" t="n">
        <v>0</v>
      </c>
      <c r="M508" t="n">
        <v>0</v>
      </c>
      <c r="N508" t="n">
        <v>0</v>
      </c>
      <c r="O508" t="n">
        <v>0</v>
      </c>
      <c r="P508" t="n">
        <v>0</v>
      </c>
      <c r="Q508" t="n">
        <v>0</v>
      </c>
      <c r="R508" s="2" t="inlineStr"/>
    </row>
    <row r="509" ht="15" customHeight="1">
      <c r="A509" t="inlineStr">
        <is>
          <t>A 11988-2021</t>
        </is>
      </c>
      <c r="B509" s="1" t="n">
        <v>44266</v>
      </c>
      <c r="C509" s="1" t="n">
        <v>45657</v>
      </c>
      <c r="D509" t="inlineStr">
        <is>
          <t>STOCKHOLMS LÄN</t>
        </is>
      </c>
      <c r="E509" t="inlineStr">
        <is>
          <t>NORRTÄLJE</t>
        </is>
      </c>
      <c r="G509" t="n">
        <v>1.2</v>
      </c>
      <c r="H509" t="n">
        <v>0</v>
      </c>
      <c r="I509" t="n">
        <v>0</v>
      </c>
      <c r="J509" t="n">
        <v>0</v>
      </c>
      <c r="K509" t="n">
        <v>0</v>
      </c>
      <c r="L509" t="n">
        <v>0</v>
      </c>
      <c r="M509" t="n">
        <v>0</v>
      </c>
      <c r="N509" t="n">
        <v>0</v>
      </c>
      <c r="O509" t="n">
        <v>0</v>
      </c>
      <c r="P509" t="n">
        <v>0</v>
      </c>
      <c r="Q509" t="n">
        <v>0</v>
      </c>
      <c r="R509" s="2" t="inlineStr"/>
    </row>
    <row r="510" ht="15" customHeight="1">
      <c r="A510" t="inlineStr">
        <is>
          <t>A 12031-2021</t>
        </is>
      </c>
      <c r="B510" s="1" t="n">
        <v>44266</v>
      </c>
      <c r="C510" s="1" t="n">
        <v>45657</v>
      </c>
      <c r="D510" t="inlineStr">
        <is>
          <t>STOCKHOLMS LÄN</t>
        </is>
      </c>
      <c r="E510" t="inlineStr">
        <is>
          <t>NORRTÄLJE</t>
        </is>
      </c>
      <c r="G510" t="n">
        <v>2.6</v>
      </c>
      <c r="H510" t="n">
        <v>0</v>
      </c>
      <c r="I510" t="n">
        <v>0</v>
      </c>
      <c r="J510" t="n">
        <v>0</v>
      </c>
      <c r="K510" t="n">
        <v>0</v>
      </c>
      <c r="L510" t="n">
        <v>0</v>
      </c>
      <c r="M510" t="n">
        <v>0</v>
      </c>
      <c r="N510" t="n">
        <v>0</v>
      </c>
      <c r="O510" t="n">
        <v>0</v>
      </c>
      <c r="P510" t="n">
        <v>0</v>
      </c>
      <c r="Q510" t="n">
        <v>0</v>
      </c>
      <c r="R510" s="2" t="inlineStr"/>
    </row>
    <row r="511" ht="15" customHeight="1">
      <c r="A511" t="inlineStr">
        <is>
          <t>A 12111-2021</t>
        </is>
      </c>
      <c r="B511" s="1" t="n">
        <v>44266</v>
      </c>
      <c r="C511" s="1" t="n">
        <v>45657</v>
      </c>
      <c r="D511" t="inlineStr">
        <is>
          <t>STOCKHOLMS LÄN</t>
        </is>
      </c>
      <c r="E511" t="inlineStr">
        <is>
          <t>NORRTÄLJE</t>
        </is>
      </c>
      <c r="G511" t="n">
        <v>5.5</v>
      </c>
      <c r="H511" t="n">
        <v>0</v>
      </c>
      <c r="I511" t="n">
        <v>0</v>
      </c>
      <c r="J511" t="n">
        <v>0</v>
      </c>
      <c r="K511" t="n">
        <v>0</v>
      </c>
      <c r="L511" t="n">
        <v>0</v>
      </c>
      <c r="M511" t="n">
        <v>0</v>
      </c>
      <c r="N511" t="n">
        <v>0</v>
      </c>
      <c r="O511" t="n">
        <v>0</v>
      </c>
      <c r="P511" t="n">
        <v>0</v>
      </c>
      <c r="Q511" t="n">
        <v>0</v>
      </c>
      <c r="R511" s="2" t="inlineStr"/>
    </row>
    <row r="512" ht="15" customHeight="1">
      <c r="A512" t="inlineStr">
        <is>
          <t>A 12132-2021</t>
        </is>
      </c>
      <c r="B512" s="1" t="n">
        <v>44266</v>
      </c>
      <c r="C512" s="1" t="n">
        <v>45657</v>
      </c>
      <c r="D512" t="inlineStr">
        <is>
          <t>STOCKHOLMS LÄN</t>
        </is>
      </c>
      <c r="E512" t="inlineStr">
        <is>
          <t>NORRTÄLJE</t>
        </is>
      </c>
      <c r="G512" t="n">
        <v>4</v>
      </c>
      <c r="H512" t="n">
        <v>0</v>
      </c>
      <c r="I512" t="n">
        <v>0</v>
      </c>
      <c r="J512" t="n">
        <v>0</v>
      </c>
      <c r="K512" t="n">
        <v>0</v>
      </c>
      <c r="L512" t="n">
        <v>0</v>
      </c>
      <c r="M512" t="n">
        <v>0</v>
      </c>
      <c r="N512" t="n">
        <v>0</v>
      </c>
      <c r="O512" t="n">
        <v>0</v>
      </c>
      <c r="P512" t="n">
        <v>0</v>
      </c>
      <c r="Q512" t="n">
        <v>0</v>
      </c>
      <c r="R512" s="2" t="inlineStr"/>
    </row>
    <row r="513" ht="15" customHeight="1">
      <c r="A513" t="inlineStr">
        <is>
          <t>A 12564-2021</t>
        </is>
      </c>
      <c r="B513" s="1" t="n">
        <v>44270</v>
      </c>
      <c r="C513" s="1" t="n">
        <v>45657</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12779-2021</t>
        </is>
      </c>
      <c r="B514" s="1" t="n">
        <v>44270</v>
      </c>
      <c r="C514" s="1" t="n">
        <v>45657</v>
      </c>
      <c r="D514" t="inlineStr">
        <is>
          <t>STOCKHOLMS LÄN</t>
        </is>
      </c>
      <c r="E514" t="inlineStr">
        <is>
          <t>NORRTÄLJE</t>
        </is>
      </c>
      <c r="G514" t="n">
        <v>10.8</v>
      </c>
      <c r="H514" t="n">
        <v>0</v>
      </c>
      <c r="I514" t="n">
        <v>0</v>
      </c>
      <c r="J514" t="n">
        <v>0</v>
      </c>
      <c r="K514" t="n">
        <v>0</v>
      </c>
      <c r="L514" t="n">
        <v>0</v>
      </c>
      <c r="M514" t="n">
        <v>0</v>
      </c>
      <c r="N514" t="n">
        <v>0</v>
      </c>
      <c r="O514" t="n">
        <v>0</v>
      </c>
      <c r="P514" t="n">
        <v>0</v>
      </c>
      <c r="Q514" t="n">
        <v>0</v>
      </c>
      <c r="R514" s="2" t="inlineStr"/>
    </row>
    <row r="515" ht="15" customHeight="1">
      <c r="A515" t="inlineStr">
        <is>
          <t>A 12782-2021</t>
        </is>
      </c>
      <c r="B515" s="1" t="n">
        <v>44270</v>
      </c>
      <c r="C515" s="1" t="n">
        <v>45657</v>
      </c>
      <c r="D515" t="inlineStr">
        <is>
          <t>STOCKHOLMS LÄN</t>
        </is>
      </c>
      <c r="E515" t="inlineStr">
        <is>
          <t>NORRTÄLJE</t>
        </is>
      </c>
      <c r="G515" t="n">
        <v>3.8</v>
      </c>
      <c r="H515" t="n">
        <v>0</v>
      </c>
      <c r="I515" t="n">
        <v>0</v>
      </c>
      <c r="J515" t="n">
        <v>0</v>
      </c>
      <c r="K515" t="n">
        <v>0</v>
      </c>
      <c r="L515" t="n">
        <v>0</v>
      </c>
      <c r="M515" t="n">
        <v>0</v>
      </c>
      <c r="N515" t="n">
        <v>0</v>
      </c>
      <c r="O515" t="n">
        <v>0</v>
      </c>
      <c r="P515" t="n">
        <v>0</v>
      </c>
      <c r="Q515" t="n">
        <v>0</v>
      </c>
      <c r="R515" s="2" t="inlineStr"/>
    </row>
    <row r="516" ht="15" customHeight="1">
      <c r="A516" t="inlineStr">
        <is>
          <t>A 13051-2021</t>
        </is>
      </c>
      <c r="B516" s="1" t="n">
        <v>44272</v>
      </c>
      <c r="C516" s="1" t="n">
        <v>45657</v>
      </c>
      <c r="D516" t="inlineStr">
        <is>
          <t>STOCKHOLMS LÄN</t>
        </is>
      </c>
      <c r="E516" t="inlineStr">
        <is>
          <t>NORRTÄLJE</t>
        </is>
      </c>
      <c r="G516" t="n">
        <v>9.1</v>
      </c>
      <c r="H516" t="n">
        <v>0</v>
      </c>
      <c r="I516" t="n">
        <v>0</v>
      </c>
      <c r="J516" t="n">
        <v>0</v>
      </c>
      <c r="K516" t="n">
        <v>0</v>
      </c>
      <c r="L516" t="n">
        <v>0</v>
      </c>
      <c r="M516" t="n">
        <v>0</v>
      </c>
      <c r="N516" t="n">
        <v>0</v>
      </c>
      <c r="O516" t="n">
        <v>0</v>
      </c>
      <c r="P516" t="n">
        <v>0</v>
      </c>
      <c r="Q516" t="n">
        <v>0</v>
      </c>
      <c r="R516" s="2" t="inlineStr"/>
    </row>
    <row r="517" ht="15" customHeight="1">
      <c r="A517" t="inlineStr">
        <is>
          <t>A 13148-2021</t>
        </is>
      </c>
      <c r="B517" s="1" t="n">
        <v>44272</v>
      </c>
      <c r="C517" s="1" t="n">
        <v>45657</v>
      </c>
      <c r="D517" t="inlineStr">
        <is>
          <t>STOCKHOLMS LÄN</t>
        </is>
      </c>
      <c r="E517" t="inlineStr">
        <is>
          <t>NORRTÄLJE</t>
        </is>
      </c>
      <c r="G517" t="n">
        <v>12.4</v>
      </c>
      <c r="H517" t="n">
        <v>0</v>
      </c>
      <c r="I517" t="n">
        <v>0</v>
      </c>
      <c r="J517" t="n">
        <v>0</v>
      </c>
      <c r="K517" t="n">
        <v>0</v>
      </c>
      <c r="L517" t="n">
        <v>0</v>
      </c>
      <c r="M517" t="n">
        <v>0</v>
      </c>
      <c r="N517" t="n">
        <v>0</v>
      </c>
      <c r="O517" t="n">
        <v>0</v>
      </c>
      <c r="P517" t="n">
        <v>0</v>
      </c>
      <c r="Q517" t="n">
        <v>0</v>
      </c>
      <c r="R517" s="2" t="inlineStr"/>
    </row>
    <row r="518" ht="15" customHeight="1">
      <c r="A518" t="inlineStr">
        <is>
          <t>A 13736-2021</t>
        </is>
      </c>
      <c r="B518" s="1" t="n">
        <v>44274</v>
      </c>
      <c r="C518" s="1" t="n">
        <v>45657</v>
      </c>
      <c r="D518" t="inlineStr">
        <is>
          <t>STOCKHOLMS LÄN</t>
        </is>
      </c>
      <c r="E518" t="inlineStr">
        <is>
          <t>NORRTÄLJE</t>
        </is>
      </c>
      <c r="F518" t="inlineStr">
        <is>
          <t>Holmen skog AB</t>
        </is>
      </c>
      <c r="G518" t="n">
        <v>3.5</v>
      </c>
      <c r="H518" t="n">
        <v>0</v>
      </c>
      <c r="I518" t="n">
        <v>0</v>
      </c>
      <c r="J518" t="n">
        <v>0</v>
      </c>
      <c r="K518" t="n">
        <v>0</v>
      </c>
      <c r="L518" t="n">
        <v>0</v>
      </c>
      <c r="M518" t="n">
        <v>0</v>
      </c>
      <c r="N518" t="n">
        <v>0</v>
      </c>
      <c r="O518" t="n">
        <v>0</v>
      </c>
      <c r="P518" t="n">
        <v>0</v>
      </c>
      <c r="Q518" t="n">
        <v>0</v>
      </c>
      <c r="R518" s="2" t="inlineStr"/>
    </row>
    <row r="519" ht="15" customHeight="1">
      <c r="A519" t="inlineStr">
        <is>
          <t>A 13752-2021</t>
        </is>
      </c>
      <c r="B519" s="1" t="n">
        <v>44274</v>
      </c>
      <c r="C519" s="1" t="n">
        <v>45657</v>
      </c>
      <c r="D519" t="inlineStr">
        <is>
          <t>STOCKHOLMS LÄN</t>
        </is>
      </c>
      <c r="E519" t="inlineStr">
        <is>
          <t>NORRTÄLJE</t>
        </is>
      </c>
      <c r="F519" t="inlineStr">
        <is>
          <t>Holmen skog AB</t>
        </is>
      </c>
      <c r="G519" t="n">
        <v>0.6</v>
      </c>
      <c r="H519" t="n">
        <v>0</v>
      </c>
      <c r="I519" t="n">
        <v>0</v>
      </c>
      <c r="J519" t="n">
        <v>0</v>
      </c>
      <c r="K519" t="n">
        <v>0</v>
      </c>
      <c r="L519" t="n">
        <v>0</v>
      </c>
      <c r="M519" t="n">
        <v>0</v>
      </c>
      <c r="N519" t="n">
        <v>0</v>
      </c>
      <c r="O519" t="n">
        <v>0</v>
      </c>
      <c r="P519" t="n">
        <v>0</v>
      </c>
      <c r="Q519" t="n">
        <v>0</v>
      </c>
      <c r="R519" s="2" t="inlineStr"/>
    </row>
    <row r="520" ht="15" customHeight="1">
      <c r="A520" t="inlineStr">
        <is>
          <t>A 14381-2021</t>
        </is>
      </c>
      <c r="B520" s="1" t="n">
        <v>44279</v>
      </c>
      <c r="C520" s="1" t="n">
        <v>45657</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14922-2021</t>
        </is>
      </c>
      <c r="B521" s="1" t="n">
        <v>44281</v>
      </c>
      <c r="C521" s="1" t="n">
        <v>45657</v>
      </c>
      <c r="D521" t="inlineStr">
        <is>
          <t>STOCKHOLMS LÄN</t>
        </is>
      </c>
      <c r="E521" t="inlineStr">
        <is>
          <t>NORRTÄLJE</t>
        </is>
      </c>
      <c r="G521" t="n">
        <v>4.8</v>
      </c>
      <c r="H521" t="n">
        <v>0</v>
      </c>
      <c r="I521" t="n">
        <v>0</v>
      </c>
      <c r="J521" t="n">
        <v>0</v>
      </c>
      <c r="K521" t="n">
        <v>0</v>
      </c>
      <c r="L521" t="n">
        <v>0</v>
      </c>
      <c r="M521" t="n">
        <v>0</v>
      </c>
      <c r="N521" t="n">
        <v>0</v>
      </c>
      <c r="O521" t="n">
        <v>0</v>
      </c>
      <c r="P521" t="n">
        <v>0</v>
      </c>
      <c r="Q521" t="n">
        <v>0</v>
      </c>
      <c r="R521" s="2" t="inlineStr"/>
    </row>
    <row r="522" ht="15" customHeight="1">
      <c r="A522" t="inlineStr">
        <is>
          <t>A 14933-2021</t>
        </is>
      </c>
      <c r="B522" s="1" t="n">
        <v>44281</v>
      </c>
      <c r="C522" s="1" t="n">
        <v>45657</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15289-2021</t>
        </is>
      </c>
      <c r="B523" s="1" t="n">
        <v>44284</v>
      </c>
      <c r="C523" s="1" t="n">
        <v>45657</v>
      </c>
      <c r="D523" t="inlineStr">
        <is>
          <t>STOCKHOLMS LÄN</t>
        </is>
      </c>
      <c r="E523" t="inlineStr">
        <is>
          <t>NORRTÄLJE</t>
        </is>
      </c>
      <c r="G523" t="n">
        <v>0.5</v>
      </c>
      <c r="H523" t="n">
        <v>0</v>
      </c>
      <c r="I523" t="n">
        <v>0</v>
      </c>
      <c r="J523" t="n">
        <v>0</v>
      </c>
      <c r="K523" t="n">
        <v>0</v>
      </c>
      <c r="L523" t="n">
        <v>0</v>
      </c>
      <c r="M523" t="n">
        <v>0</v>
      </c>
      <c r="N523" t="n">
        <v>0</v>
      </c>
      <c r="O523" t="n">
        <v>0</v>
      </c>
      <c r="P523" t="n">
        <v>0</v>
      </c>
      <c r="Q523" t="n">
        <v>0</v>
      </c>
      <c r="R523" s="2" t="inlineStr"/>
    </row>
    <row r="524" ht="15" customHeight="1">
      <c r="A524" t="inlineStr">
        <is>
          <t>A 15441-2021</t>
        </is>
      </c>
      <c r="B524" s="1" t="n">
        <v>44284</v>
      </c>
      <c r="C524" s="1" t="n">
        <v>45657</v>
      </c>
      <c r="D524" t="inlineStr">
        <is>
          <t>STOCKHOLMS LÄN</t>
        </is>
      </c>
      <c r="E524" t="inlineStr">
        <is>
          <t>NORRTÄLJE</t>
        </is>
      </c>
      <c r="G524" t="n">
        <v>27</v>
      </c>
      <c r="H524" t="n">
        <v>0</v>
      </c>
      <c r="I524" t="n">
        <v>0</v>
      </c>
      <c r="J524" t="n">
        <v>0</v>
      </c>
      <c r="K524" t="n">
        <v>0</v>
      </c>
      <c r="L524" t="n">
        <v>0</v>
      </c>
      <c r="M524" t="n">
        <v>0</v>
      </c>
      <c r="N524" t="n">
        <v>0</v>
      </c>
      <c r="O524" t="n">
        <v>0</v>
      </c>
      <c r="P524" t="n">
        <v>0</v>
      </c>
      <c r="Q524" t="n">
        <v>0</v>
      </c>
      <c r="R524" s="2" t="inlineStr"/>
    </row>
    <row r="525" ht="15" customHeight="1">
      <c r="A525" t="inlineStr">
        <is>
          <t>A 15552-2021</t>
        </is>
      </c>
      <c r="B525" s="1" t="n">
        <v>44285</v>
      </c>
      <c r="C525" s="1" t="n">
        <v>45657</v>
      </c>
      <c r="D525" t="inlineStr">
        <is>
          <t>STOCKHOLMS LÄN</t>
        </is>
      </c>
      <c r="E525" t="inlineStr">
        <is>
          <t>NORRTÄLJE</t>
        </is>
      </c>
      <c r="G525" t="n">
        <v>10</v>
      </c>
      <c r="H525" t="n">
        <v>0</v>
      </c>
      <c r="I525" t="n">
        <v>0</v>
      </c>
      <c r="J525" t="n">
        <v>0</v>
      </c>
      <c r="K525" t="n">
        <v>0</v>
      </c>
      <c r="L525" t="n">
        <v>0</v>
      </c>
      <c r="M525" t="n">
        <v>0</v>
      </c>
      <c r="N525" t="n">
        <v>0</v>
      </c>
      <c r="O525" t="n">
        <v>0</v>
      </c>
      <c r="P525" t="n">
        <v>0</v>
      </c>
      <c r="Q525" t="n">
        <v>0</v>
      </c>
      <c r="R525" s="2" t="inlineStr"/>
    </row>
    <row r="526" ht="15" customHeight="1">
      <c r="A526" t="inlineStr">
        <is>
          <t>A 16668-2021</t>
        </is>
      </c>
      <c r="B526" s="1" t="n">
        <v>44294</v>
      </c>
      <c r="C526" s="1" t="n">
        <v>45657</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17460-2021</t>
        </is>
      </c>
      <c r="B527" s="1" t="n">
        <v>44299</v>
      </c>
      <c r="C527" s="1" t="n">
        <v>45657</v>
      </c>
      <c r="D527" t="inlineStr">
        <is>
          <t>STOCKHOLMS LÄN</t>
        </is>
      </c>
      <c r="E527" t="inlineStr">
        <is>
          <t>NORRTÄLJE</t>
        </is>
      </c>
      <c r="G527" t="n">
        <v>3.2</v>
      </c>
      <c r="H527" t="n">
        <v>0</v>
      </c>
      <c r="I527" t="n">
        <v>0</v>
      </c>
      <c r="J527" t="n">
        <v>0</v>
      </c>
      <c r="K527" t="n">
        <v>0</v>
      </c>
      <c r="L527" t="n">
        <v>0</v>
      </c>
      <c r="M527" t="n">
        <v>0</v>
      </c>
      <c r="N527" t="n">
        <v>0</v>
      </c>
      <c r="O527" t="n">
        <v>0</v>
      </c>
      <c r="P527" t="n">
        <v>0</v>
      </c>
      <c r="Q527" t="n">
        <v>0</v>
      </c>
      <c r="R527" s="2" t="inlineStr"/>
    </row>
    <row r="528" ht="15" customHeight="1">
      <c r="A528" t="inlineStr">
        <is>
          <t>A 17703-2021</t>
        </is>
      </c>
      <c r="B528" s="1" t="n">
        <v>44300</v>
      </c>
      <c r="C528" s="1" t="n">
        <v>45657</v>
      </c>
      <c r="D528" t="inlineStr">
        <is>
          <t>STOCKHOLMS LÄN</t>
        </is>
      </c>
      <c r="E528" t="inlineStr">
        <is>
          <t>NORRTÄLJE</t>
        </is>
      </c>
      <c r="F528" t="inlineStr">
        <is>
          <t>Holmen skog AB</t>
        </is>
      </c>
      <c r="G528" t="n">
        <v>1.1</v>
      </c>
      <c r="H528" t="n">
        <v>0</v>
      </c>
      <c r="I528" t="n">
        <v>0</v>
      </c>
      <c r="J528" t="n">
        <v>0</v>
      </c>
      <c r="K528" t="n">
        <v>0</v>
      </c>
      <c r="L528" t="n">
        <v>0</v>
      </c>
      <c r="M528" t="n">
        <v>0</v>
      </c>
      <c r="N528" t="n">
        <v>0</v>
      </c>
      <c r="O528" t="n">
        <v>0</v>
      </c>
      <c r="P528" t="n">
        <v>0</v>
      </c>
      <c r="Q528" t="n">
        <v>0</v>
      </c>
      <c r="R528" s="2" t="inlineStr"/>
    </row>
    <row r="529" ht="15" customHeight="1">
      <c r="A529" t="inlineStr">
        <is>
          <t>A 18580-2021</t>
        </is>
      </c>
      <c r="B529" s="1" t="n">
        <v>44306</v>
      </c>
      <c r="C529" s="1" t="n">
        <v>45657</v>
      </c>
      <c r="D529" t="inlineStr">
        <is>
          <t>STOCKHOLMS LÄN</t>
        </is>
      </c>
      <c r="E529" t="inlineStr">
        <is>
          <t>NORRTÄLJE</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18609-2021</t>
        </is>
      </c>
      <c r="B530" s="1" t="n">
        <v>44306</v>
      </c>
      <c r="C530" s="1" t="n">
        <v>45657</v>
      </c>
      <c r="D530" t="inlineStr">
        <is>
          <t>STOCKHOLMS LÄN</t>
        </is>
      </c>
      <c r="E530" t="inlineStr">
        <is>
          <t>NORRTÄLJE</t>
        </is>
      </c>
      <c r="G530" t="n">
        <v>9.5</v>
      </c>
      <c r="H530" t="n">
        <v>0</v>
      </c>
      <c r="I530" t="n">
        <v>0</v>
      </c>
      <c r="J530" t="n">
        <v>0</v>
      </c>
      <c r="K530" t="n">
        <v>0</v>
      </c>
      <c r="L530" t="n">
        <v>0</v>
      </c>
      <c r="M530" t="n">
        <v>0</v>
      </c>
      <c r="N530" t="n">
        <v>0</v>
      </c>
      <c r="O530" t="n">
        <v>0</v>
      </c>
      <c r="P530" t="n">
        <v>0</v>
      </c>
      <c r="Q530" t="n">
        <v>0</v>
      </c>
      <c r="R530" s="2" t="inlineStr"/>
    </row>
    <row r="531" ht="15" customHeight="1">
      <c r="A531" t="inlineStr">
        <is>
          <t>A 18539-2021</t>
        </is>
      </c>
      <c r="B531" s="1" t="n">
        <v>44306</v>
      </c>
      <c r="C531" s="1" t="n">
        <v>45657</v>
      </c>
      <c r="D531" t="inlineStr">
        <is>
          <t>STOCKHOLMS LÄN</t>
        </is>
      </c>
      <c r="E531" t="inlineStr">
        <is>
          <t>NORRTÄLJE</t>
        </is>
      </c>
      <c r="F531" t="inlineStr">
        <is>
          <t>Holmen skog AB</t>
        </is>
      </c>
      <c r="G531" t="n">
        <v>5.5</v>
      </c>
      <c r="H531" t="n">
        <v>0</v>
      </c>
      <c r="I531" t="n">
        <v>0</v>
      </c>
      <c r="J531" t="n">
        <v>0</v>
      </c>
      <c r="K531" t="n">
        <v>0</v>
      </c>
      <c r="L531" t="n">
        <v>0</v>
      </c>
      <c r="M531" t="n">
        <v>0</v>
      </c>
      <c r="N531" t="n">
        <v>0</v>
      </c>
      <c r="O531" t="n">
        <v>0</v>
      </c>
      <c r="P531" t="n">
        <v>0</v>
      </c>
      <c r="Q531" t="n">
        <v>0</v>
      </c>
      <c r="R531" s="2" t="inlineStr"/>
    </row>
    <row r="532" ht="15" customHeight="1">
      <c r="A532" t="inlineStr">
        <is>
          <t>A 18570-2021</t>
        </is>
      </c>
      <c r="B532" s="1" t="n">
        <v>44306</v>
      </c>
      <c r="C532" s="1" t="n">
        <v>45657</v>
      </c>
      <c r="D532" t="inlineStr">
        <is>
          <t>STOCKHOLMS LÄN</t>
        </is>
      </c>
      <c r="E532" t="inlineStr">
        <is>
          <t>NORRTÄLJE</t>
        </is>
      </c>
      <c r="F532" t="inlineStr">
        <is>
          <t>Holmen skog AB</t>
        </is>
      </c>
      <c r="G532" t="n">
        <v>0.6</v>
      </c>
      <c r="H532" t="n">
        <v>0</v>
      </c>
      <c r="I532" t="n">
        <v>0</v>
      </c>
      <c r="J532" t="n">
        <v>0</v>
      </c>
      <c r="K532" t="n">
        <v>0</v>
      </c>
      <c r="L532" t="n">
        <v>0</v>
      </c>
      <c r="M532" t="n">
        <v>0</v>
      </c>
      <c r="N532" t="n">
        <v>0</v>
      </c>
      <c r="O532" t="n">
        <v>0</v>
      </c>
      <c r="P532" t="n">
        <v>0</v>
      </c>
      <c r="Q532" t="n">
        <v>0</v>
      </c>
      <c r="R532" s="2" t="inlineStr"/>
    </row>
    <row r="533" ht="15" customHeight="1">
      <c r="A533" t="inlineStr">
        <is>
          <t>A 19283-2021</t>
        </is>
      </c>
      <c r="B533" s="1" t="n">
        <v>44309</v>
      </c>
      <c r="C533" s="1" t="n">
        <v>45657</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19400-2021</t>
        </is>
      </c>
      <c r="B534" s="1" t="n">
        <v>44309</v>
      </c>
      <c r="C534" s="1" t="n">
        <v>45657</v>
      </c>
      <c r="D534" t="inlineStr">
        <is>
          <t>STOCKHOLMS LÄN</t>
        </is>
      </c>
      <c r="E534" t="inlineStr">
        <is>
          <t>NORRTÄLJE</t>
        </is>
      </c>
      <c r="F534" t="inlineStr">
        <is>
          <t>Kommuner</t>
        </is>
      </c>
      <c r="G534" t="n">
        <v>2.4</v>
      </c>
      <c r="H534" t="n">
        <v>0</v>
      </c>
      <c r="I534" t="n">
        <v>0</v>
      </c>
      <c r="J534" t="n">
        <v>0</v>
      </c>
      <c r="K534" t="n">
        <v>0</v>
      </c>
      <c r="L534" t="n">
        <v>0</v>
      </c>
      <c r="M534" t="n">
        <v>0</v>
      </c>
      <c r="N534" t="n">
        <v>0</v>
      </c>
      <c r="O534" t="n">
        <v>0</v>
      </c>
      <c r="P534" t="n">
        <v>0</v>
      </c>
      <c r="Q534" t="n">
        <v>0</v>
      </c>
      <c r="R534" s="2" t="inlineStr"/>
    </row>
    <row r="535" ht="15" customHeight="1">
      <c r="A535" t="inlineStr">
        <is>
          <t>A 19307-2021</t>
        </is>
      </c>
      <c r="B535" s="1" t="n">
        <v>44309</v>
      </c>
      <c r="C535" s="1" t="n">
        <v>45657</v>
      </c>
      <c r="D535" t="inlineStr">
        <is>
          <t>STOCKHOLMS LÄN</t>
        </is>
      </c>
      <c r="E535" t="inlineStr">
        <is>
          <t>NORRTÄLJE</t>
        </is>
      </c>
      <c r="F535" t="inlineStr">
        <is>
          <t>Holmen skog AB</t>
        </is>
      </c>
      <c r="G535" t="n">
        <v>1.9</v>
      </c>
      <c r="H535" t="n">
        <v>0</v>
      </c>
      <c r="I535" t="n">
        <v>0</v>
      </c>
      <c r="J535" t="n">
        <v>0</v>
      </c>
      <c r="K535" t="n">
        <v>0</v>
      </c>
      <c r="L535" t="n">
        <v>0</v>
      </c>
      <c r="M535" t="n">
        <v>0</v>
      </c>
      <c r="N535" t="n">
        <v>0</v>
      </c>
      <c r="O535" t="n">
        <v>0</v>
      </c>
      <c r="P535" t="n">
        <v>0</v>
      </c>
      <c r="Q535" t="n">
        <v>0</v>
      </c>
      <c r="R535" s="2" t="inlineStr"/>
    </row>
    <row r="536" ht="15" customHeight="1">
      <c r="A536" t="inlineStr">
        <is>
          <t>A 19398-2021</t>
        </is>
      </c>
      <c r="B536" s="1" t="n">
        <v>44309</v>
      </c>
      <c r="C536" s="1" t="n">
        <v>45657</v>
      </c>
      <c r="D536" t="inlineStr">
        <is>
          <t>STOCKHOLMS LÄN</t>
        </is>
      </c>
      <c r="E536" t="inlineStr">
        <is>
          <t>NORRTÄLJE</t>
        </is>
      </c>
      <c r="F536" t="inlineStr">
        <is>
          <t>Kommuner</t>
        </is>
      </c>
      <c r="G536" t="n">
        <v>2.1</v>
      </c>
      <c r="H536" t="n">
        <v>0</v>
      </c>
      <c r="I536" t="n">
        <v>0</v>
      </c>
      <c r="J536" t="n">
        <v>0</v>
      </c>
      <c r="K536" t="n">
        <v>0</v>
      </c>
      <c r="L536" t="n">
        <v>0</v>
      </c>
      <c r="M536" t="n">
        <v>0</v>
      </c>
      <c r="N536" t="n">
        <v>0</v>
      </c>
      <c r="O536" t="n">
        <v>0</v>
      </c>
      <c r="P536" t="n">
        <v>0</v>
      </c>
      <c r="Q536" t="n">
        <v>0</v>
      </c>
      <c r="R536" s="2" t="inlineStr"/>
    </row>
    <row r="537" ht="15" customHeight="1">
      <c r="A537" t="inlineStr">
        <is>
          <t>A 20073-2021</t>
        </is>
      </c>
      <c r="B537" s="1" t="n">
        <v>44314</v>
      </c>
      <c r="C537" s="1" t="n">
        <v>45657</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20473-2021</t>
        </is>
      </c>
      <c r="B538" s="1" t="n">
        <v>44315</v>
      </c>
      <c r="C538" s="1" t="n">
        <v>45657</v>
      </c>
      <c r="D538" t="inlineStr">
        <is>
          <t>STOCKHOLMS LÄN</t>
        </is>
      </c>
      <c r="E538" t="inlineStr">
        <is>
          <t>NORRTÄLJE</t>
        </is>
      </c>
      <c r="F538" t="inlineStr">
        <is>
          <t>Övriga Aktiebolag</t>
        </is>
      </c>
      <c r="G538" t="n">
        <v>3.6</v>
      </c>
      <c r="H538" t="n">
        <v>0</v>
      </c>
      <c r="I538" t="n">
        <v>0</v>
      </c>
      <c r="J538" t="n">
        <v>0</v>
      </c>
      <c r="K538" t="n">
        <v>0</v>
      </c>
      <c r="L538" t="n">
        <v>0</v>
      </c>
      <c r="M538" t="n">
        <v>0</v>
      </c>
      <c r="N538" t="n">
        <v>0</v>
      </c>
      <c r="O538" t="n">
        <v>0</v>
      </c>
      <c r="P538" t="n">
        <v>0</v>
      </c>
      <c r="Q538" t="n">
        <v>0</v>
      </c>
      <c r="R538" s="2" t="inlineStr"/>
    </row>
    <row r="539" ht="15" customHeight="1">
      <c r="A539" t="inlineStr">
        <is>
          <t>A 21291-2021</t>
        </is>
      </c>
      <c r="B539" s="1" t="n">
        <v>44319</v>
      </c>
      <c r="C539" s="1" t="n">
        <v>45657</v>
      </c>
      <c r="D539" t="inlineStr">
        <is>
          <t>STOCKHOLMS LÄN</t>
        </is>
      </c>
      <c r="E539" t="inlineStr">
        <is>
          <t>NORRTÄLJE</t>
        </is>
      </c>
      <c r="G539" t="n">
        <v>12.7</v>
      </c>
      <c r="H539" t="n">
        <v>0</v>
      </c>
      <c r="I539" t="n">
        <v>0</v>
      </c>
      <c r="J539" t="n">
        <v>0</v>
      </c>
      <c r="K539" t="n">
        <v>0</v>
      </c>
      <c r="L539" t="n">
        <v>0</v>
      </c>
      <c r="M539" t="n">
        <v>0</v>
      </c>
      <c r="N539" t="n">
        <v>0</v>
      </c>
      <c r="O539" t="n">
        <v>0</v>
      </c>
      <c r="P539" t="n">
        <v>0</v>
      </c>
      <c r="Q539" t="n">
        <v>0</v>
      </c>
      <c r="R539" s="2" t="inlineStr"/>
    </row>
    <row r="540" ht="15" customHeight="1">
      <c r="A540" t="inlineStr">
        <is>
          <t>A 21529-2021</t>
        </is>
      </c>
      <c r="B540" s="1" t="n">
        <v>44321</v>
      </c>
      <c r="C540" s="1" t="n">
        <v>45657</v>
      </c>
      <c r="D540" t="inlineStr">
        <is>
          <t>STOCKHOLMS LÄN</t>
        </is>
      </c>
      <c r="E540" t="inlineStr">
        <is>
          <t>NORRTÄLJE</t>
        </is>
      </c>
      <c r="G540" t="n">
        <v>2.7</v>
      </c>
      <c r="H540" t="n">
        <v>0</v>
      </c>
      <c r="I540" t="n">
        <v>0</v>
      </c>
      <c r="J540" t="n">
        <v>0</v>
      </c>
      <c r="K540" t="n">
        <v>0</v>
      </c>
      <c r="L540" t="n">
        <v>0</v>
      </c>
      <c r="M540" t="n">
        <v>0</v>
      </c>
      <c r="N540" t="n">
        <v>0</v>
      </c>
      <c r="O540" t="n">
        <v>0</v>
      </c>
      <c r="P540" t="n">
        <v>0</v>
      </c>
      <c r="Q540" t="n">
        <v>0</v>
      </c>
      <c r="R540" s="2" t="inlineStr"/>
    </row>
    <row r="541" ht="15" customHeight="1">
      <c r="A541" t="inlineStr">
        <is>
          <t>A 22832-2021</t>
        </is>
      </c>
      <c r="B541" s="1" t="n">
        <v>44325</v>
      </c>
      <c r="C541" s="1" t="n">
        <v>45657</v>
      </c>
      <c r="D541" t="inlineStr">
        <is>
          <t>STOCKHOLMS LÄN</t>
        </is>
      </c>
      <c r="E541" t="inlineStr">
        <is>
          <t>NORRTÄLJE</t>
        </is>
      </c>
      <c r="G541" t="n">
        <v>6.8</v>
      </c>
      <c r="H541" t="n">
        <v>0</v>
      </c>
      <c r="I541" t="n">
        <v>0</v>
      </c>
      <c r="J541" t="n">
        <v>0</v>
      </c>
      <c r="K541" t="n">
        <v>0</v>
      </c>
      <c r="L541" t="n">
        <v>0</v>
      </c>
      <c r="M541" t="n">
        <v>0</v>
      </c>
      <c r="N541" t="n">
        <v>0</v>
      </c>
      <c r="O541" t="n">
        <v>0</v>
      </c>
      <c r="P541" t="n">
        <v>0</v>
      </c>
      <c r="Q541" t="n">
        <v>0</v>
      </c>
      <c r="R541" s="2" t="inlineStr"/>
    </row>
    <row r="542" ht="15" customHeight="1">
      <c r="A542" t="inlineStr">
        <is>
          <t>A 22816-2021</t>
        </is>
      </c>
      <c r="B542" s="1" t="n">
        <v>44325</v>
      </c>
      <c r="C542" s="1" t="n">
        <v>45657</v>
      </c>
      <c r="D542" t="inlineStr">
        <is>
          <t>STOCKHOLMS LÄN</t>
        </is>
      </c>
      <c r="E542" t="inlineStr">
        <is>
          <t>NORRTÄLJE</t>
        </is>
      </c>
      <c r="G542" t="n">
        <v>4.5</v>
      </c>
      <c r="H542" t="n">
        <v>0</v>
      </c>
      <c r="I542" t="n">
        <v>0</v>
      </c>
      <c r="J542" t="n">
        <v>0</v>
      </c>
      <c r="K542" t="n">
        <v>0</v>
      </c>
      <c r="L542" t="n">
        <v>0</v>
      </c>
      <c r="M542" t="n">
        <v>0</v>
      </c>
      <c r="N542" t="n">
        <v>0</v>
      </c>
      <c r="O542" t="n">
        <v>0</v>
      </c>
      <c r="P542" t="n">
        <v>0</v>
      </c>
      <c r="Q542" t="n">
        <v>0</v>
      </c>
      <c r="R542" s="2" t="inlineStr"/>
    </row>
    <row r="543" ht="15" customHeight="1">
      <c r="A543" t="inlineStr">
        <is>
          <t>A 22369-2021</t>
        </is>
      </c>
      <c r="B543" s="1" t="n">
        <v>44326</v>
      </c>
      <c r="C543" s="1" t="n">
        <v>45657</v>
      </c>
      <c r="D543" t="inlineStr">
        <is>
          <t>STOCKHOLMS LÄN</t>
        </is>
      </c>
      <c r="E543" t="inlineStr">
        <is>
          <t>NORRTÄLJE</t>
        </is>
      </c>
      <c r="F543" t="inlineStr">
        <is>
          <t>Holmen skog AB</t>
        </is>
      </c>
      <c r="G543" t="n">
        <v>3.4</v>
      </c>
      <c r="H543" t="n">
        <v>0</v>
      </c>
      <c r="I543" t="n">
        <v>0</v>
      </c>
      <c r="J543" t="n">
        <v>0</v>
      </c>
      <c r="K543" t="n">
        <v>0</v>
      </c>
      <c r="L543" t="n">
        <v>0</v>
      </c>
      <c r="M543" t="n">
        <v>0</v>
      </c>
      <c r="N543" t="n">
        <v>0</v>
      </c>
      <c r="O543" t="n">
        <v>0</v>
      </c>
      <c r="P543" t="n">
        <v>0</v>
      </c>
      <c r="Q543" t="n">
        <v>0</v>
      </c>
      <c r="R543" s="2" t="inlineStr"/>
    </row>
    <row r="544" ht="15" customHeight="1">
      <c r="A544" t="inlineStr">
        <is>
          <t>A 22421-2021</t>
        </is>
      </c>
      <c r="B544" s="1" t="n">
        <v>44326</v>
      </c>
      <c r="C544" s="1" t="n">
        <v>45657</v>
      </c>
      <c r="D544" t="inlineStr">
        <is>
          <t>STOCKHOLMS LÄN</t>
        </is>
      </c>
      <c r="E544" t="inlineStr">
        <is>
          <t>NORRTÄLJE</t>
        </is>
      </c>
      <c r="G544" t="n">
        <v>2.1</v>
      </c>
      <c r="H544" t="n">
        <v>0</v>
      </c>
      <c r="I544" t="n">
        <v>0</v>
      </c>
      <c r="J544" t="n">
        <v>0</v>
      </c>
      <c r="K544" t="n">
        <v>0</v>
      </c>
      <c r="L544" t="n">
        <v>0</v>
      </c>
      <c r="M544" t="n">
        <v>0</v>
      </c>
      <c r="N544" t="n">
        <v>0</v>
      </c>
      <c r="O544" t="n">
        <v>0</v>
      </c>
      <c r="P544" t="n">
        <v>0</v>
      </c>
      <c r="Q544" t="n">
        <v>0</v>
      </c>
      <c r="R544" s="2" t="inlineStr"/>
    </row>
    <row r="545" ht="15" customHeight="1">
      <c r="A545" t="inlineStr">
        <is>
          <t>A 22412-2021</t>
        </is>
      </c>
      <c r="B545" s="1" t="n">
        <v>44326</v>
      </c>
      <c r="C545" s="1" t="n">
        <v>45657</v>
      </c>
      <c r="D545" t="inlineStr">
        <is>
          <t>STOCKHOLMS LÄN</t>
        </is>
      </c>
      <c r="E545" t="inlineStr">
        <is>
          <t>NORRTÄLJE</t>
        </is>
      </c>
      <c r="G545" t="n">
        <v>1.7</v>
      </c>
      <c r="H545" t="n">
        <v>0</v>
      </c>
      <c r="I545" t="n">
        <v>0</v>
      </c>
      <c r="J545" t="n">
        <v>0</v>
      </c>
      <c r="K545" t="n">
        <v>0</v>
      </c>
      <c r="L545" t="n">
        <v>0</v>
      </c>
      <c r="M545" t="n">
        <v>0</v>
      </c>
      <c r="N545" t="n">
        <v>0</v>
      </c>
      <c r="O545" t="n">
        <v>0</v>
      </c>
      <c r="P545" t="n">
        <v>0</v>
      </c>
      <c r="Q545" t="n">
        <v>0</v>
      </c>
      <c r="R545" s="2" t="inlineStr"/>
    </row>
    <row r="546" ht="15" customHeight="1">
      <c r="A546" t="inlineStr">
        <is>
          <t>A 23123-2021</t>
        </is>
      </c>
      <c r="B546" s="1" t="n">
        <v>44330</v>
      </c>
      <c r="C546" s="1" t="n">
        <v>45657</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23096-2021</t>
        </is>
      </c>
      <c r="B547" s="1" t="n">
        <v>44330</v>
      </c>
      <c r="C547" s="1" t="n">
        <v>45657</v>
      </c>
      <c r="D547" t="inlineStr">
        <is>
          <t>STOCKHOLMS LÄN</t>
        </is>
      </c>
      <c r="E547" t="inlineStr">
        <is>
          <t>NORRTÄLJE</t>
        </is>
      </c>
      <c r="G547" t="n">
        <v>0.3</v>
      </c>
      <c r="H547" t="n">
        <v>0</v>
      </c>
      <c r="I547" t="n">
        <v>0</v>
      </c>
      <c r="J547" t="n">
        <v>0</v>
      </c>
      <c r="K547" t="n">
        <v>0</v>
      </c>
      <c r="L547" t="n">
        <v>0</v>
      </c>
      <c r="M547" t="n">
        <v>0</v>
      </c>
      <c r="N547" t="n">
        <v>0</v>
      </c>
      <c r="O547" t="n">
        <v>0</v>
      </c>
      <c r="P547" t="n">
        <v>0</v>
      </c>
      <c r="Q547" t="n">
        <v>0</v>
      </c>
      <c r="R547" s="2" t="inlineStr"/>
    </row>
    <row r="548" ht="15" customHeight="1">
      <c r="A548" t="inlineStr">
        <is>
          <t>A 23122-2021</t>
        </is>
      </c>
      <c r="B548" s="1" t="n">
        <v>44330</v>
      </c>
      <c r="C548" s="1" t="n">
        <v>45657</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23453-2021</t>
        </is>
      </c>
      <c r="B549" s="1" t="n">
        <v>44333</v>
      </c>
      <c r="C549" s="1" t="n">
        <v>45657</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24082-2021</t>
        </is>
      </c>
      <c r="B550" s="1" t="n">
        <v>44336</v>
      </c>
      <c r="C550" s="1" t="n">
        <v>45657</v>
      </c>
      <c r="D550" t="inlineStr">
        <is>
          <t>STOCKHOLMS LÄN</t>
        </is>
      </c>
      <c r="E550" t="inlineStr">
        <is>
          <t>NORRTÄLJE</t>
        </is>
      </c>
      <c r="G550" t="n">
        <v>6.8</v>
      </c>
      <c r="H550" t="n">
        <v>0</v>
      </c>
      <c r="I550" t="n">
        <v>0</v>
      </c>
      <c r="J550" t="n">
        <v>0</v>
      </c>
      <c r="K550" t="n">
        <v>0</v>
      </c>
      <c r="L550" t="n">
        <v>0</v>
      </c>
      <c r="M550" t="n">
        <v>0</v>
      </c>
      <c r="N550" t="n">
        <v>0</v>
      </c>
      <c r="O550" t="n">
        <v>0</v>
      </c>
      <c r="P550" t="n">
        <v>0</v>
      </c>
      <c r="Q550" t="n">
        <v>0</v>
      </c>
      <c r="R550" s="2" t="inlineStr"/>
    </row>
    <row r="551" ht="15" customHeight="1">
      <c r="A551" t="inlineStr">
        <is>
          <t>A 25463-2021</t>
        </is>
      </c>
      <c r="B551" s="1" t="n">
        <v>44342</v>
      </c>
      <c r="C551" s="1" t="n">
        <v>45657</v>
      </c>
      <c r="D551" t="inlineStr">
        <is>
          <t>STOCKHOLMS LÄN</t>
        </is>
      </c>
      <c r="E551" t="inlineStr">
        <is>
          <t>NORRTÄLJE</t>
        </is>
      </c>
      <c r="F551" t="inlineStr">
        <is>
          <t>Holmen skog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27217-2021</t>
        </is>
      </c>
      <c r="B552" s="1" t="n">
        <v>44350</v>
      </c>
      <c r="C552" s="1" t="n">
        <v>45657</v>
      </c>
      <c r="D552" t="inlineStr">
        <is>
          <t>STOCKHOLMS LÄN</t>
        </is>
      </c>
      <c r="E552" t="inlineStr">
        <is>
          <t>NORRTÄLJE</t>
        </is>
      </c>
      <c r="G552" t="n">
        <v>5.5</v>
      </c>
      <c r="H552" t="n">
        <v>0</v>
      </c>
      <c r="I552" t="n">
        <v>0</v>
      </c>
      <c r="J552" t="n">
        <v>0</v>
      </c>
      <c r="K552" t="n">
        <v>0</v>
      </c>
      <c r="L552" t="n">
        <v>0</v>
      </c>
      <c r="M552" t="n">
        <v>0</v>
      </c>
      <c r="N552" t="n">
        <v>0</v>
      </c>
      <c r="O552" t="n">
        <v>0</v>
      </c>
      <c r="P552" t="n">
        <v>0</v>
      </c>
      <c r="Q552" t="n">
        <v>0</v>
      </c>
      <c r="R552" s="2" t="inlineStr"/>
    </row>
    <row r="553" ht="15" customHeight="1">
      <c r="A553" t="inlineStr">
        <is>
          <t>A 27214-2021</t>
        </is>
      </c>
      <c r="B553" s="1" t="n">
        <v>44350</v>
      </c>
      <c r="C553" s="1" t="n">
        <v>45657</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29357-2021</t>
        </is>
      </c>
      <c r="B554" s="1" t="n">
        <v>44361</v>
      </c>
      <c r="C554" s="1" t="n">
        <v>45657</v>
      </c>
      <c r="D554" t="inlineStr">
        <is>
          <t>STOCKHOLMS LÄN</t>
        </is>
      </c>
      <c r="E554" t="inlineStr">
        <is>
          <t>NORRTÄLJE</t>
        </is>
      </c>
      <c r="F554" t="inlineStr">
        <is>
          <t>Holmen skog AB</t>
        </is>
      </c>
      <c r="G554" t="n">
        <v>1.8</v>
      </c>
      <c r="H554" t="n">
        <v>0</v>
      </c>
      <c r="I554" t="n">
        <v>0</v>
      </c>
      <c r="J554" t="n">
        <v>0</v>
      </c>
      <c r="K554" t="n">
        <v>0</v>
      </c>
      <c r="L554" t="n">
        <v>0</v>
      </c>
      <c r="M554" t="n">
        <v>0</v>
      </c>
      <c r="N554" t="n">
        <v>0</v>
      </c>
      <c r="O554" t="n">
        <v>0</v>
      </c>
      <c r="P554" t="n">
        <v>0</v>
      </c>
      <c r="Q554" t="n">
        <v>0</v>
      </c>
      <c r="R554" s="2" t="inlineStr"/>
    </row>
    <row r="555" ht="15" customHeight="1">
      <c r="A555" t="inlineStr">
        <is>
          <t>A 29680-2021</t>
        </is>
      </c>
      <c r="B555" s="1" t="n">
        <v>44362</v>
      </c>
      <c r="C555" s="1" t="n">
        <v>45657</v>
      </c>
      <c r="D555" t="inlineStr">
        <is>
          <t>STOCKHOLMS LÄN</t>
        </is>
      </c>
      <c r="E555" t="inlineStr">
        <is>
          <t>NORRTÄLJE</t>
        </is>
      </c>
      <c r="F555" t="inlineStr">
        <is>
          <t>Holmen skog AB</t>
        </is>
      </c>
      <c r="G555" t="n">
        <v>0.7</v>
      </c>
      <c r="H555" t="n">
        <v>0</v>
      </c>
      <c r="I555" t="n">
        <v>0</v>
      </c>
      <c r="J555" t="n">
        <v>0</v>
      </c>
      <c r="K555" t="n">
        <v>0</v>
      </c>
      <c r="L555" t="n">
        <v>0</v>
      </c>
      <c r="M555" t="n">
        <v>0</v>
      </c>
      <c r="N555" t="n">
        <v>0</v>
      </c>
      <c r="O555" t="n">
        <v>0</v>
      </c>
      <c r="P555" t="n">
        <v>0</v>
      </c>
      <c r="Q555" t="n">
        <v>0</v>
      </c>
      <c r="R555" s="2" t="inlineStr"/>
    </row>
    <row r="556" ht="15" customHeight="1">
      <c r="A556" t="inlineStr">
        <is>
          <t>A 29684-2021</t>
        </is>
      </c>
      <c r="B556" s="1" t="n">
        <v>44362</v>
      </c>
      <c r="C556" s="1" t="n">
        <v>45657</v>
      </c>
      <c r="D556" t="inlineStr">
        <is>
          <t>STOCKHOLMS LÄN</t>
        </is>
      </c>
      <c r="E556" t="inlineStr">
        <is>
          <t>NORRTÄLJE</t>
        </is>
      </c>
      <c r="F556" t="inlineStr">
        <is>
          <t>Holmen skog AB</t>
        </is>
      </c>
      <c r="G556" t="n">
        <v>1.5</v>
      </c>
      <c r="H556" t="n">
        <v>0</v>
      </c>
      <c r="I556" t="n">
        <v>0</v>
      </c>
      <c r="J556" t="n">
        <v>0</v>
      </c>
      <c r="K556" t="n">
        <v>0</v>
      </c>
      <c r="L556" t="n">
        <v>0</v>
      </c>
      <c r="M556" t="n">
        <v>0</v>
      </c>
      <c r="N556" t="n">
        <v>0</v>
      </c>
      <c r="O556" t="n">
        <v>0</v>
      </c>
      <c r="P556" t="n">
        <v>0</v>
      </c>
      <c r="Q556" t="n">
        <v>0</v>
      </c>
      <c r="R556" s="2" t="inlineStr"/>
    </row>
    <row r="557" ht="15" customHeight="1">
      <c r="A557" t="inlineStr">
        <is>
          <t>A 30129-2021</t>
        </is>
      </c>
      <c r="B557" s="1" t="n">
        <v>44363</v>
      </c>
      <c r="C557" s="1" t="n">
        <v>45657</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31688-2021</t>
        </is>
      </c>
      <c r="B558" s="1" t="n">
        <v>44369</v>
      </c>
      <c r="C558" s="1" t="n">
        <v>45657</v>
      </c>
      <c r="D558" t="inlineStr">
        <is>
          <t>STOCKHOLMS LÄN</t>
        </is>
      </c>
      <c r="E558" t="inlineStr">
        <is>
          <t>NORRTÄLJE</t>
        </is>
      </c>
      <c r="G558" t="n">
        <v>2.9</v>
      </c>
      <c r="H558" t="n">
        <v>0</v>
      </c>
      <c r="I558" t="n">
        <v>0</v>
      </c>
      <c r="J558" t="n">
        <v>0</v>
      </c>
      <c r="K558" t="n">
        <v>0</v>
      </c>
      <c r="L558" t="n">
        <v>0</v>
      </c>
      <c r="M558" t="n">
        <v>0</v>
      </c>
      <c r="N558" t="n">
        <v>0</v>
      </c>
      <c r="O558" t="n">
        <v>0</v>
      </c>
      <c r="P558" t="n">
        <v>0</v>
      </c>
      <c r="Q558" t="n">
        <v>0</v>
      </c>
      <c r="R558" s="2" t="inlineStr"/>
    </row>
    <row r="559" ht="15" customHeight="1">
      <c r="A559" t="inlineStr">
        <is>
          <t>A 32002-2021</t>
        </is>
      </c>
      <c r="B559" s="1" t="n">
        <v>44370</v>
      </c>
      <c r="C559" s="1" t="n">
        <v>45657</v>
      </c>
      <c r="D559" t="inlineStr">
        <is>
          <t>STOCKHOLMS LÄN</t>
        </is>
      </c>
      <c r="E559" t="inlineStr">
        <is>
          <t>NORRTÄLJE</t>
        </is>
      </c>
      <c r="F559" t="inlineStr">
        <is>
          <t>Övriga Aktiebolag</t>
        </is>
      </c>
      <c r="G559" t="n">
        <v>4</v>
      </c>
      <c r="H559" t="n">
        <v>0</v>
      </c>
      <c r="I559" t="n">
        <v>0</v>
      </c>
      <c r="J559" t="n">
        <v>0</v>
      </c>
      <c r="K559" t="n">
        <v>0</v>
      </c>
      <c r="L559" t="n">
        <v>0</v>
      </c>
      <c r="M559" t="n">
        <v>0</v>
      </c>
      <c r="N559" t="n">
        <v>0</v>
      </c>
      <c r="O559" t="n">
        <v>0</v>
      </c>
      <c r="P559" t="n">
        <v>0</v>
      </c>
      <c r="Q559" t="n">
        <v>0</v>
      </c>
      <c r="R559" s="2" t="inlineStr"/>
    </row>
    <row r="560" ht="15" customHeight="1">
      <c r="A560" t="inlineStr">
        <is>
          <t>A 32051-2021</t>
        </is>
      </c>
      <c r="B560" s="1" t="n">
        <v>44370</v>
      </c>
      <c r="C560" s="1" t="n">
        <v>45657</v>
      </c>
      <c r="D560" t="inlineStr">
        <is>
          <t>STOCKHOLMS LÄN</t>
        </is>
      </c>
      <c r="E560" t="inlineStr">
        <is>
          <t>NORRTÄLJE</t>
        </is>
      </c>
      <c r="G560" t="n">
        <v>4.6</v>
      </c>
      <c r="H560" t="n">
        <v>0</v>
      </c>
      <c r="I560" t="n">
        <v>0</v>
      </c>
      <c r="J560" t="n">
        <v>0</v>
      </c>
      <c r="K560" t="n">
        <v>0</v>
      </c>
      <c r="L560" t="n">
        <v>0</v>
      </c>
      <c r="M560" t="n">
        <v>0</v>
      </c>
      <c r="N560" t="n">
        <v>0</v>
      </c>
      <c r="O560" t="n">
        <v>0</v>
      </c>
      <c r="P560" t="n">
        <v>0</v>
      </c>
      <c r="Q560" t="n">
        <v>0</v>
      </c>
      <c r="R560" s="2" t="inlineStr"/>
    </row>
    <row r="561" ht="15" customHeight="1">
      <c r="A561" t="inlineStr">
        <is>
          <t>A 32055-2021</t>
        </is>
      </c>
      <c r="B561" s="1" t="n">
        <v>44370</v>
      </c>
      <c r="C561" s="1" t="n">
        <v>45657</v>
      </c>
      <c r="D561" t="inlineStr">
        <is>
          <t>STOCKHOLMS LÄN</t>
        </is>
      </c>
      <c r="E561" t="inlineStr">
        <is>
          <t>NORRTÄLJE</t>
        </is>
      </c>
      <c r="G561" t="n">
        <v>1.2</v>
      </c>
      <c r="H561" t="n">
        <v>0</v>
      </c>
      <c r="I561" t="n">
        <v>0</v>
      </c>
      <c r="J561" t="n">
        <v>0</v>
      </c>
      <c r="K561" t="n">
        <v>0</v>
      </c>
      <c r="L561" t="n">
        <v>0</v>
      </c>
      <c r="M561" t="n">
        <v>0</v>
      </c>
      <c r="N561" t="n">
        <v>0</v>
      </c>
      <c r="O561" t="n">
        <v>0</v>
      </c>
      <c r="P561" t="n">
        <v>0</v>
      </c>
      <c r="Q561" t="n">
        <v>0</v>
      </c>
      <c r="R561" s="2" t="inlineStr"/>
    </row>
    <row r="562" ht="15" customHeight="1">
      <c r="A562" t="inlineStr">
        <is>
          <t>A 32561-2021</t>
        </is>
      </c>
      <c r="B562" s="1" t="n">
        <v>44375</v>
      </c>
      <c r="C562" s="1" t="n">
        <v>45657</v>
      </c>
      <c r="D562" t="inlineStr">
        <is>
          <t>STOCKHOLMS LÄN</t>
        </is>
      </c>
      <c r="E562" t="inlineStr">
        <is>
          <t>NORRTÄLJE</t>
        </is>
      </c>
      <c r="G562" t="n">
        <v>3.4</v>
      </c>
      <c r="H562" t="n">
        <v>0</v>
      </c>
      <c r="I562" t="n">
        <v>0</v>
      </c>
      <c r="J562" t="n">
        <v>0</v>
      </c>
      <c r="K562" t="n">
        <v>0</v>
      </c>
      <c r="L562" t="n">
        <v>0</v>
      </c>
      <c r="M562" t="n">
        <v>0</v>
      </c>
      <c r="N562" t="n">
        <v>0</v>
      </c>
      <c r="O562" t="n">
        <v>0</v>
      </c>
      <c r="P562" t="n">
        <v>0</v>
      </c>
      <c r="Q562" t="n">
        <v>0</v>
      </c>
      <c r="R562" s="2" t="inlineStr"/>
    </row>
    <row r="563" ht="15" customHeight="1">
      <c r="A563" t="inlineStr">
        <is>
          <t>A 32857-2021</t>
        </is>
      </c>
      <c r="B563" s="1" t="n">
        <v>44375</v>
      </c>
      <c r="C563" s="1" t="n">
        <v>45657</v>
      </c>
      <c r="D563" t="inlineStr">
        <is>
          <t>STOCKHOLMS LÄN</t>
        </is>
      </c>
      <c r="E563" t="inlineStr">
        <is>
          <t>NORRTÄLJE</t>
        </is>
      </c>
      <c r="G563" t="n">
        <v>2.9</v>
      </c>
      <c r="H563" t="n">
        <v>0</v>
      </c>
      <c r="I563" t="n">
        <v>0</v>
      </c>
      <c r="J563" t="n">
        <v>0</v>
      </c>
      <c r="K563" t="n">
        <v>0</v>
      </c>
      <c r="L563" t="n">
        <v>0</v>
      </c>
      <c r="M563" t="n">
        <v>0</v>
      </c>
      <c r="N563" t="n">
        <v>0</v>
      </c>
      <c r="O563" t="n">
        <v>0</v>
      </c>
      <c r="P563" t="n">
        <v>0</v>
      </c>
      <c r="Q563" t="n">
        <v>0</v>
      </c>
      <c r="R563" s="2" t="inlineStr"/>
    </row>
    <row r="564" ht="15" customHeight="1">
      <c r="A564" t="inlineStr">
        <is>
          <t>A 33053-2021</t>
        </is>
      </c>
      <c r="B564" s="1" t="n">
        <v>44376</v>
      </c>
      <c r="C564" s="1" t="n">
        <v>45657</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33046-2021</t>
        </is>
      </c>
      <c r="B565" s="1" t="n">
        <v>44376</v>
      </c>
      <c r="C565" s="1" t="n">
        <v>45657</v>
      </c>
      <c r="D565" t="inlineStr">
        <is>
          <t>STOCKHOLMS LÄN</t>
        </is>
      </c>
      <c r="E565" t="inlineStr">
        <is>
          <t>NORRTÄLJE</t>
        </is>
      </c>
      <c r="G565" t="n">
        <v>2.1</v>
      </c>
      <c r="H565" t="n">
        <v>0</v>
      </c>
      <c r="I565" t="n">
        <v>0</v>
      </c>
      <c r="J565" t="n">
        <v>0</v>
      </c>
      <c r="K565" t="n">
        <v>0</v>
      </c>
      <c r="L565" t="n">
        <v>0</v>
      </c>
      <c r="M565" t="n">
        <v>0</v>
      </c>
      <c r="N565" t="n">
        <v>0</v>
      </c>
      <c r="O565" t="n">
        <v>0</v>
      </c>
      <c r="P565" t="n">
        <v>0</v>
      </c>
      <c r="Q565" t="n">
        <v>0</v>
      </c>
      <c r="R565" s="2" t="inlineStr"/>
    </row>
    <row r="566" ht="15" customHeight="1">
      <c r="A566" t="inlineStr">
        <is>
          <t>A 33040-2021</t>
        </is>
      </c>
      <c r="B566" s="1" t="n">
        <v>44376</v>
      </c>
      <c r="C566" s="1" t="n">
        <v>45657</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34520-2021</t>
        </is>
      </c>
      <c r="B567" s="1" t="n">
        <v>44379</v>
      </c>
      <c r="C567" s="1" t="n">
        <v>45657</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34432-2021</t>
        </is>
      </c>
      <c r="B568" s="1" t="n">
        <v>44380</v>
      </c>
      <c r="C568" s="1" t="n">
        <v>45657</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34431-2021</t>
        </is>
      </c>
      <c r="B569" s="1" t="n">
        <v>44380</v>
      </c>
      <c r="C569" s="1" t="n">
        <v>45657</v>
      </c>
      <c r="D569" t="inlineStr">
        <is>
          <t>STOCKHOLMS LÄN</t>
        </is>
      </c>
      <c r="E569" t="inlineStr">
        <is>
          <t>NORRTÄLJE</t>
        </is>
      </c>
      <c r="G569" t="n">
        <v>3</v>
      </c>
      <c r="H569" t="n">
        <v>0</v>
      </c>
      <c r="I569" t="n">
        <v>0</v>
      </c>
      <c r="J569" t="n">
        <v>0</v>
      </c>
      <c r="K569" t="n">
        <v>0</v>
      </c>
      <c r="L569" t="n">
        <v>0</v>
      </c>
      <c r="M569" t="n">
        <v>0</v>
      </c>
      <c r="N569" t="n">
        <v>0</v>
      </c>
      <c r="O569" t="n">
        <v>0</v>
      </c>
      <c r="P569" t="n">
        <v>0</v>
      </c>
      <c r="Q569" t="n">
        <v>0</v>
      </c>
      <c r="R569" s="2" t="inlineStr"/>
    </row>
    <row r="570" ht="15" customHeight="1">
      <c r="A570" t="inlineStr">
        <is>
          <t>A 34436-2021</t>
        </is>
      </c>
      <c r="B570" s="1" t="n">
        <v>44380</v>
      </c>
      <c r="C570" s="1" t="n">
        <v>45657</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34731-2021</t>
        </is>
      </c>
      <c r="B571" s="1" t="n">
        <v>44382</v>
      </c>
      <c r="C571" s="1" t="n">
        <v>45657</v>
      </c>
      <c r="D571" t="inlineStr">
        <is>
          <t>STOCKHOLMS LÄN</t>
        </is>
      </c>
      <c r="E571" t="inlineStr">
        <is>
          <t>NORRTÄLJE</t>
        </is>
      </c>
      <c r="G571" t="n">
        <v>0.2</v>
      </c>
      <c r="H571" t="n">
        <v>0</v>
      </c>
      <c r="I571" t="n">
        <v>0</v>
      </c>
      <c r="J571" t="n">
        <v>0</v>
      </c>
      <c r="K571" t="n">
        <v>0</v>
      </c>
      <c r="L571" t="n">
        <v>0</v>
      </c>
      <c r="M571" t="n">
        <v>0</v>
      </c>
      <c r="N571" t="n">
        <v>0</v>
      </c>
      <c r="O571" t="n">
        <v>0</v>
      </c>
      <c r="P571" t="n">
        <v>0</v>
      </c>
      <c r="Q571" t="n">
        <v>0</v>
      </c>
      <c r="R571" s="2" t="inlineStr"/>
    </row>
    <row r="572" ht="15" customHeight="1">
      <c r="A572" t="inlineStr">
        <is>
          <t>A 34792-2021</t>
        </is>
      </c>
      <c r="B572" s="1" t="n">
        <v>44383</v>
      </c>
      <c r="C572" s="1" t="n">
        <v>45657</v>
      </c>
      <c r="D572" t="inlineStr">
        <is>
          <t>STOCKHOLMS LÄN</t>
        </is>
      </c>
      <c r="E572" t="inlineStr">
        <is>
          <t>NORRTÄLJE</t>
        </is>
      </c>
      <c r="G572" t="n">
        <v>4.4</v>
      </c>
      <c r="H572" t="n">
        <v>0</v>
      </c>
      <c r="I572" t="n">
        <v>0</v>
      </c>
      <c r="J572" t="n">
        <v>0</v>
      </c>
      <c r="K572" t="n">
        <v>0</v>
      </c>
      <c r="L572" t="n">
        <v>0</v>
      </c>
      <c r="M572" t="n">
        <v>0</v>
      </c>
      <c r="N572" t="n">
        <v>0</v>
      </c>
      <c r="O572" t="n">
        <v>0</v>
      </c>
      <c r="P572" t="n">
        <v>0</v>
      </c>
      <c r="Q572" t="n">
        <v>0</v>
      </c>
      <c r="R572" s="2" t="inlineStr"/>
    </row>
    <row r="573" ht="15" customHeight="1">
      <c r="A573" t="inlineStr">
        <is>
          <t>A 36246-2021</t>
        </is>
      </c>
      <c r="B573" s="1" t="n">
        <v>44390</v>
      </c>
      <c r="C573" s="1" t="n">
        <v>45657</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36565-2021</t>
        </is>
      </c>
      <c r="B574" s="1" t="n">
        <v>44391</v>
      </c>
      <c r="C574" s="1" t="n">
        <v>45657</v>
      </c>
      <c r="D574" t="inlineStr">
        <is>
          <t>STOCKHOLMS LÄN</t>
        </is>
      </c>
      <c r="E574" t="inlineStr">
        <is>
          <t>NORRTÄLJE</t>
        </is>
      </c>
      <c r="G574" t="n">
        <v>1.8</v>
      </c>
      <c r="H574" t="n">
        <v>0</v>
      </c>
      <c r="I574" t="n">
        <v>0</v>
      </c>
      <c r="J574" t="n">
        <v>0</v>
      </c>
      <c r="K574" t="n">
        <v>0</v>
      </c>
      <c r="L574" t="n">
        <v>0</v>
      </c>
      <c r="M574" t="n">
        <v>0</v>
      </c>
      <c r="N574" t="n">
        <v>0</v>
      </c>
      <c r="O574" t="n">
        <v>0</v>
      </c>
      <c r="P574" t="n">
        <v>0</v>
      </c>
      <c r="Q574" t="n">
        <v>0</v>
      </c>
      <c r="R574" s="2" t="inlineStr"/>
    </row>
    <row r="575" ht="15" customHeight="1">
      <c r="A575" t="inlineStr">
        <is>
          <t>A 37085-2021</t>
        </is>
      </c>
      <c r="B575" s="1" t="n">
        <v>44395</v>
      </c>
      <c r="C575" s="1" t="n">
        <v>45657</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37344-2021</t>
        </is>
      </c>
      <c r="B576" s="1" t="n">
        <v>44397</v>
      </c>
      <c r="C576" s="1" t="n">
        <v>45657</v>
      </c>
      <c r="D576" t="inlineStr">
        <is>
          <t>STOCKHOLMS LÄN</t>
        </is>
      </c>
      <c r="E576" t="inlineStr">
        <is>
          <t>NORRTÄLJE</t>
        </is>
      </c>
      <c r="G576" t="n">
        <v>1.6</v>
      </c>
      <c r="H576" t="n">
        <v>0</v>
      </c>
      <c r="I576" t="n">
        <v>0</v>
      </c>
      <c r="J576" t="n">
        <v>0</v>
      </c>
      <c r="K576" t="n">
        <v>0</v>
      </c>
      <c r="L576" t="n">
        <v>0</v>
      </c>
      <c r="M576" t="n">
        <v>0</v>
      </c>
      <c r="N576" t="n">
        <v>0</v>
      </c>
      <c r="O576" t="n">
        <v>0</v>
      </c>
      <c r="P576" t="n">
        <v>0</v>
      </c>
      <c r="Q576" t="n">
        <v>0</v>
      </c>
      <c r="R576" s="2" t="inlineStr"/>
    </row>
    <row r="577" ht="15" customHeight="1">
      <c r="A577" t="inlineStr">
        <is>
          <t>A 37415-2021</t>
        </is>
      </c>
      <c r="B577" s="1" t="n">
        <v>44397</v>
      </c>
      <c r="C577" s="1" t="n">
        <v>45657</v>
      </c>
      <c r="D577" t="inlineStr">
        <is>
          <t>STOCKHOLMS LÄN</t>
        </is>
      </c>
      <c r="E577" t="inlineStr">
        <is>
          <t>NORRTÄLJE</t>
        </is>
      </c>
      <c r="F577" t="inlineStr">
        <is>
          <t>Övriga Aktiebolag</t>
        </is>
      </c>
      <c r="G577" t="n">
        <v>3</v>
      </c>
      <c r="H577" t="n">
        <v>0</v>
      </c>
      <c r="I577" t="n">
        <v>0</v>
      </c>
      <c r="J577" t="n">
        <v>0</v>
      </c>
      <c r="K577" t="n">
        <v>0</v>
      </c>
      <c r="L577" t="n">
        <v>0</v>
      </c>
      <c r="M577" t="n">
        <v>0</v>
      </c>
      <c r="N577" t="n">
        <v>0</v>
      </c>
      <c r="O577" t="n">
        <v>0</v>
      </c>
      <c r="P577" t="n">
        <v>0</v>
      </c>
      <c r="Q577" t="n">
        <v>0</v>
      </c>
      <c r="R577" s="2" t="inlineStr"/>
    </row>
    <row r="578" ht="15" customHeight="1">
      <c r="A578" t="inlineStr">
        <is>
          <t>A 37444-2021</t>
        </is>
      </c>
      <c r="B578" s="1" t="n">
        <v>44398</v>
      </c>
      <c r="C578" s="1" t="n">
        <v>45657</v>
      </c>
      <c r="D578" t="inlineStr">
        <is>
          <t>STOCKHOLMS LÄN</t>
        </is>
      </c>
      <c r="E578" t="inlineStr">
        <is>
          <t>NORRTÄLJE</t>
        </is>
      </c>
      <c r="F578" t="inlineStr">
        <is>
          <t>Holmen skog AB</t>
        </is>
      </c>
      <c r="G578" t="n">
        <v>3.2</v>
      </c>
      <c r="H578" t="n">
        <v>0</v>
      </c>
      <c r="I578" t="n">
        <v>0</v>
      </c>
      <c r="J578" t="n">
        <v>0</v>
      </c>
      <c r="K578" t="n">
        <v>0</v>
      </c>
      <c r="L578" t="n">
        <v>0</v>
      </c>
      <c r="M578" t="n">
        <v>0</v>
      </c>
      <c r="N578" t="n">
        <v>0</v>
      </c>
      <c r="O578" t="n">
        <v>0</v>
      </c>
      <c r="P578" t="n">
        <v>0</v>
      </c>
      <c r="Q578" t="n">
        <v>0</v>
      </c>
      <c r="R578" s="2" t="inlineStr"/>
    </row>
    <row r="579" ht="15" customHeight="1">
      <c r="A579" t="inlineStr">
        <is>
          <t>A 37462-2021</t>
        </is>
      </c>
      <c r="B579" s="1" t="n">
        <v>44398</v>
      </c>
      <c r="C579" s="1" t="n">
        <v>45657</v>
      </c>
      <c r="D579" t="inlineStr">
        <is>
          <t>STOCKHOLMS LÄN</t>
        </is>
      </c>
      <c r="E579" t="inlineStr">
        <is>
          <t>NORRTÄLJE</t>
        </is>
      </c>
      <c r="G579" t="n">
        <v>3.5</v>
      </c>
      <c r="H579" t="n">
        <v>0</v>
      </c>
      <c r="I579" t="n">
        <v>0</v>
      </c>
      <c r="J579" t="n">
        <v>0</v>
      </c>
      <c r="K579" t="n">
        <v>0</v>
      </c>
      <c r="L579" t="n">
        <v>0</v>
      </c>
      <c r="M579" t="n">
        <v>0</v>
      </c>
      <c r="N579" t="n">
        <v>0</v>
      </c>
      <c r="O579" t="n">
        <v>0</v>
      </c>
      <c r="P579" t="n">
        <v>0</v>
      </c>
      <c r="Q579" t="n">
        <v>0</v>
      </c>
      <c r="R579" s="2" t="inlineStr"/>
    </row>
    <row r="580" ht="15" customHeight="1">
      <c r="A580" t="inlineStr">
        <is>
          <t>A 37530-2021</t>
        </is>
      </c>
      <c r="B580" s="1" t="n">
        <v>44399</v>
      </c>
      <c r="C580" s="1" t="n">
        <v>45657</v>
      </c>
      <c r="D580" t="inlineStr">
        <is>
          <t>STOCKHOLMS LÄN</t>
        </is>
      </c>
      <c r="E580" t="inlineStr">
        <is>
          <t>NORRTÄLJE</t>
        </is>
      </c>
      <c r="F580" t="inlineStr">
        <is>
          <t>Holmen skog AB</t>
        </is>
      </c>
      <c r="G580" t="n">
        <v>2.8</v>
      </c>
      <c r="H580" t="n">
        <v>0</v>
      </c>
      <c r="I580" t="n">
        <v>0</v>
      </c>
      <c r="J580" t="n">
        <v>0</v>
      </c>
      <c r="K580" t="n">
        <v>0</v>
      </c>
      <c r="L580" t="n">
        <v>0</v>
      </c>
      <c r="M580" t="n">
        <v>0</v>
      </c>
      <c r="N580" t="n">
        <v>0</v>
      </c>
      <c r="O580" t="n">
        <v>0</v>
      </c>
      <c r="P580" t="n">
        <v>0</v>
      </c>
      <c r="Q580" t="n">
        <v>0</v>
      </c>
      <c r="R580" s="2" t="inlineStr"/>
    </row>
    <row r="581" ht="15" customHeight="1">
      <c r="A581" t="inlineStr">
        <is>
          <t>A 37522-2021</t>
        </is>
      </c>
      <c r="B581" s="1" t="n">
        <v>44399</v>
      </c>
      <c r="C581" s="1" t="n">
        <v>45657</v>
      </c>
      <c r="D581" t="inlineStr">
        <is>
          <t>STOCKHOLMS LÄN</t>
        </is>
      </c>
      <c r="E581" t="inlineStr">
        <is>
          <t>NORRTÄLJE</t>
        </is>
      </c>
      <c r="F581" t="inlineStr">
        <is>
          <t>Holmen skog AB</t>
        </is>
      </c>
      <c r="G581" t="n">
        <v>1.5</v>
      </c>
      <c r="H581" t="n">
        <v>0</v>
      </c>
      <c r="I581" t="n">
        <v>0</v>
      </c>
      <c r="J581" t="n">
        <v>0</v>
      </c>
      <c r="K581" t="n">
        <v>0</v>
      </c>
      <c r="L581" t="n">
        <v>0</v>
      </c>
      <c r="M581" t="n">
        <v>0</v>
      </c>
      <c r="N581" t="n">
        <v>0</v>
      </c>
      <c r="O581" t="n">
        <v>0</v>
      </c>
      <c r="P581" t="n">
        <v>0</v>
      </c>
      <c r="Q581" t="n">
        <v>0</v>
      </c>
      <c r="R581" s="2" t="inlineStr"/>
    </row>
    <row r="582" ht="15" customHeight="1">
      <c r="A582" t="inlineStr">
        <is>
          <t>A 37525-2021</t>
        </is>
      </c>
      <c r="B582" s="1" t="n">
        <v>44399</v>
      </c>
      <c r="C582" s="1" t="n">
        <v>45657</v>
      </c>
      <c r="D582" t="inlineStr">
        <is>
          <t>STOCKHOLMS LÄN</t>
        </is>
      </c>
      <c r="E582" t="inlineStr">
        <is>
          <t>NORRTÄLJE</t>
        </is>
      </c>
      <c r="F582" t="inlineStr">
        <is>
          <t>Holmen skog AB</t>
        </is>
      </c>
      <c r="G582" t="n">
        <v>2.5</v>
      </c>
      <c r="H582" t="n">
        <v>0</v>
      </c>
      <c r="I582" t="n">
        <v>0</v>
      </c>
      <c r="J582" t="n">
        <v>0</v>
      </c>
      <c r="K582" t="n">
        <v>0</v>
      </c>
      <c r="L582" t="n">
        <v>0</v>
      </c>
      <c r="M582" t="n">
        <v>0</v>
      </c>
      <c r="N582" t="n">
        <v>0</v>
      </c>
      <c r="O582" t="n">
        <v>0</v>
      </c>
      <c r="P582" t="n">
        <v>0</v>
      </c>
      <c r="Q582" t="n">
        <v>0</v>
      </c>
      <c r="R582" s="2" t="inlineStr"/>
    </row>
    <row r="583" ht="15" customHeight="1">
      <c r="A583" t="inlineStr">
        <is>
          <t>A 37712-2021</t>
        </is>
      </c>
      <c r="B583" s="1" t="n">
        <v>44400</v>
      </c>
      <c r="C583" s="1" t="n">
        <v>45657</v>
      </c>
      <c r="D583" t="inlineStr">
        <is>
          <t>STOCKHOLMS LÄN</t>
        </is>
      </c>
      <c r="E583" t="inlineStr">
        <is>
          <t>NORRTÄLJE</t>
        </is>
      </c>
      <c r="G583" t="n">
        <v>22.9</v>
      </c>
      <c r="H583" t="n">
        <v>0</v>
      </c>
      <c r="I583" t="n">
        <v>0</v>
      </c>
      <c r="J583" t="n">
        <v>0</v>
      </c>
      <c r="K583" t="n">
        <v>0</v>
      </c>
      <c r="L583" t="n">
        <v>0</v>
      </c>
      <c r="M583" t="n">
        <v>0</v>
      </c>
      <c r="N583" t="n">
        <v>0</v>
      </c>
      <c r="O583" t="n">
        <v>0</v>
      </c>
      <c r="P583" t="n">
        <v>0</v>
      </c>
      <c r="Q583" t="n">
        <v>0</v>
      </c>
      <c r="R583" s="2" t="inlineStr"/>
    </row>
    <row r="584" ht="15" customHeight="1">
      <c r="A584" t="inlineStr">
        <is>
          <t>A 37859-2021</t>
        </is>
      </c>
      <c r="B584" s="1" t="n">
        <v>44403</v>
      </c>
      <c r="C584" s="1" t="n">
        <v>45657</v>
      </c>
      <c r="D584" t="inlineStr">
        <is>
          <t>STOCKHOLMS LÄN</t>
        </is>
      </c>
      <c r="E584" t="inlineStr">
        <is>
          <t>NORRTÄLJE</t>
        </is>
      </c>
      <c r="F584" t="inlineStr">
        <is>
          <t>Holmen skog AB</t>
        </is>
      </c>
      <c r="G584" t="n">
        <v>6.9</v>
      </c>
      <c r="H584" t="n">
        <v>0</v>
      </c>
      <c r="I584" t="n">
        <v>0</v>
      </c>
      <c r="J584" t="n">
        <v>0</v>
      </c>
      <c r="K584" t="n">
        <v>0</v>
      </c>
      <c r="L584" t="n">
        <v>0</v>
      </c>
      <c r="M584" t="n">
        <v>0</v>
      </c>
      <c r="N584" t="n">
        <v>0</v>
      </c>
      <c r="O584" t="n">
        <v>0</v>
      </c>
      <c r="P584" t="n">
        <v>0</v>
      </c>
      <c r="Q584" t="n">
        <v>0</v>
      </c>
      <c r="R584" s="2" t="inlineStr"/>
    </row>
    <row r="585" ht="15" customHeight="1">
      <c r="A585" t="inlineStr">
        <is>
          <t>A 39157-2021</t>
        </is>
      </c>
      <c r="B585" s="1" t="n">
        <v>44412</v>
      </c>
      <c r="C585" s="1" t="n">
        <v>45657</v>
      </c>
      <c r="D585" t="inlineStr">
        <is>
          <t>STOCKHOLMS LÄN</t>
        </is>
      </c>
      <c r="E585" t="inlineStr">
        <is>
          <t>NORRTÄLJE</t>
        </is>
      </c>
      <c r="G585" t="n">
        <v>3.1</v>
      </c>
      <c r="H585" t="n">
        <v>0</v>
      </c>
      <c r="I585" t="n">
        <v>0</v>
      </c>
      <c r="J585" t="n">
        <v>0</v>
      </c>
      <c r="K585" t="n">
        <v>0</v>
      </c>
      <c r="L585" t="n">
        <v>0</v>
      </c>
      <c r="M585" t="n">
        <v>0</v>
      </c>
      <c r="N585" t="n">
        <v>0</v>
      </c>
      <c r="O585" t="n">
        <v>0</v>
      </c>
      <c r="P585" t="n">
        <v>0</v>
      </c>
      <c r="Q585" t="n">
        <v>0</v>
      </c>
      <c r="R585" s="2" t="inlineStr"/>
    </row>
    <row r="586" ht="15" customHeight="1">
      <c r="A586" t="inlineStr">
        <is>
          <t>A 39496-2021</t>
        </is>
      </c>
      <c r="B586" s="1" t="n">
        <v>44414</v>
      </c>
      <c r="C586" s="1" t="n">
        <v>45657</v>
      </c>
      <c r="D586" t="inlineStr">
        <is>
          <t>STOCKHOLMS LÄN</t>
        </is>
      </c>
      <c r="E586" t="inlineStr">
        <is>
          <t>NORRTÄLJE</t>
        </is>
      </c>
      <c r="G586" t="n">
        <v>4.6</v>
      </c>
      <c r="H586" t="n">
        <v>0</v>
      </c>
      <c r="I586" t="n">
        <v>0</v>
      </c>
      <c r="J586" t="n">
        <v>0</v>
      </c>
      <c r="K586" t="n">
        <v>0</v>
      </c>
      <c r="L586" t="n">
        <v>0</v>
      </c>
      <c r="M586" t="n">
        <v>0</v>
      </c>
      <c r="N586" t="n">
        <v>0</v>
      </c>
      <c r="O586" t="n">
        <v>0</v>
      </c>
      <c r="P586" t="n">
        <v>0</v>
      </c>
      <c r="Q586" t="n">
        <v>0</v>
      </c>
      <c r="R586" s="2" t="inlineStr"/>
    </row>
    <row r="587" ht="15" customHeight="1">
      <c r="A587" t="inlineStr">
        <is>
          <t>A 39497-2021</t>
        </is>
      </c>
      <c r="B587" s="1" t="n">
        <v>44414</v>
      </c>
      <c r="C587" s="1" t="n">
        <v>45657</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40425-2021</t>
        </is>
      </c>
      <c r="B588" s="1" t="n">
        <v>44419</v>
      </c>
      <c r="C588" s="1" t="n">
        <v>45657</v>
      </c>
      <c r="D588" t="inlineStr">
        <is>
          <t>STOCKHOLMS LÄN</t>
        </is>
      </c>
      <c r="E588" t="inlineStr">
        <is>
          <t>NORRTÄLJE</t>
        </is>
      </c>
      <c r="G588" t="n">
        <v>5</v>
      </c>
      <c r="H588" t="n">
        <v>0</v>
      </c>
      <c r="I588" t="n">
        <v>0</v>
      </c>
      <c r="J588" t="n">
        <v>0</v>
      </c>
      <c r="K588" t="n">
        <v>0</v>
      </c>
      <c r="L588" t="n">
        <v>0</v>
      </c>
      <c r="M588" t="n">
        <v>0</v>
      </c>
      <c r="N588" t="n">
        <v>0</v>
      </c>
      <c r="O588" t="n">
        <v>0</v>
      </c>
      <c r="P588" t="n">
        <v>0</v>
      </c>
      <c r="Q588" t="n">
        <v>0</v>
      </c>
      <c r="R588" s="2" t="inlineStr"/>
    </row>
    <row r="589" ht="15" customHeight="1">
      <c r="A589" t="inlineStr">
        <is>
          <t>A 40542-2021</t>
        </is>
      </c>
      <c r="B589" s="1" t="n">
        <v>44420</v>
      </c>
      <c r="C589" s="1" t="n">
        <v>45657</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40546-2021</t>
        </is>
      </c>
      <c r="B590" s="1" t="n">
        <v>44420</v>
      </c>
      <c r="C590" s="1" t="n">
        <v>45657</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41595-2021</t>
        </is>
      </c>
      <c r="B591" s="1" t="n">
        <v>44425</v>
      </c>
      <c r="C591" s="1" t="n">
        <v>45657</v>
      </c>
      <c r="D591" t="inlineStr">
        <is>
          <t>STOCKHOLMS LÄN</t>
        </is>
      </c>
      <c r="E591" t="inlineStr">
        <is>
          <t>NORRTÄLJE</t>
        </is>
      </c>
      <c r="G591" t="n">
        <v>3.2</v>
      </c>
      <c r="H591" t="n">
        <v>0</v>
      </c>
      <c r="I591" t="n">
        <v>0</v>
      </c>
      <c r="J591" t="n">
        <v>0</v>
      </c>
      <c r="K591" t="n">
        <v>0</v>
      </c>
      <c r="L591" t="n">
        <v>0</v>
      </c>
      <c r="M591" t="n">
        <v>0</v>
      </c>
      <c r="N591" t="n">
        <v>0</v>
      </c>
      <c r="O591" t="n">
        <v>0</v>
      </c>
      <c r="P591" t="n">
        <v>0</v>
      </c>
      <c r="Q591" t="n">
        <v>0</v>
      </c>
      <c r="R591" s="2" t="inlineStr"/>
    </row>
    <row r="592" ht="15" customHeight="1">
      <c r="A592" t="inlineStr">
        <is>
          <t>A 41823-2021</t>
        </is>
      </c>
      <c r="B592" s="1" t="n">
        <v>44425</v>
      </c>
      <c r="C592" s="1" t="n">
        <v>45657</v>
      </c>
      <c r="D592" t="inlineStr">
        <is>
          <t>STOCKHOLMS LÄN</t>
        </is>
      </c>
      <c r="E592" t="inlineStr">
        <is>
          <t>NORRTÄLJE</t>
        </is>
      </c>
      <c r="G592" t="n">
        <v>2.4</v>
      </c>
      <c r="H592" t="n">
        <v>0</v>
      </c>
      <c r="I592" t="n">
        <v>0</v>
      </c>
      <c r="J592" t="n">
        <v>0</v>
      </c>
      <c r="K592" t="n">
        <v>0</v>
      </c>
      <c r="L592" t="n">
        <v>0</v>
      </c>
      <c r="M592" t="n">
        <v>0</v>
      </c>
      <c r="N592" t="n">
        <v>0</v>
      </c>
      <c r="O592" t="n">
        <v>0</v>
      </c>
      <c r="P592" t="n">
        <v>0</v>
      </c>
      <c r="Q592" t="n">
        <v>0</v>
      </c>
      <c r="R592" s="2" t="inlineStr"/>
    </row>
    <row r="593" ht="15" customHeight="1">
      <c r="A593" t="inlineStr">
        <is>
          <t>A 41822-2021</t>
        </is>
      </c>
      <c r="B593" s="1" t="n">
        <v>44425</v>
      </c>
      <c r="C593" s="1" t="n">
        <v>45657</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42396-2021</t>
        </is>
      </c>
      <c r="B594" s="1" t="n">
        <v>44427</v>
      </c>
      <c r="C594" s="1" t="n">
        <v>45657</v>
      </c>
      <c r="D594" t="inlineStr">
        <is>
          <t>STOCKHOLMS LÄN</t>
        </is>
      </c>
      <c r="E594" t="inlineStr">
        <is>
          <t>NORRTÄLJE</t>
        </is>
      </c>
      <c r="G594" t="n">
        <v>2</v>
      </c>
      <c r="H594" t="n">
        <v>0</v>
      </c>
      <c r="I594" t="n">
        <v>0</v>
      </c>
      <c r="J594" t="n">
        <v>0</v>
      </c>
      <c r="K594" t="n">
        <v>0</v>
      </c>
      <c r="L594" t="n">
        <v>0</v>
      </c>
      <c r="M594" t="n">
        <v>0</v>
      </c>
      <c r="N594" t="n">
        <v>0</v>
      </c>
      <c r="O594" t="n">
        <v>0</v>
      </c>
      <c r="P594" t="n">
        <v>0</v>
      </c>
      <c r="Q594" t="n">
        <v>0</v>
      </c>
      <c r="R594" s="2" t="inlineStr"/>
    </row>
    <row r="595" ht="15" customHeight="1">
      <c r="A595" t="inlineStr">
        <is>
          <t>A 43478-2021</t>
        </is>
      </c>
      <c r="B595" s="1" t="n">
        <v>44432</v>
      </c>
      <c r="C595" s="1" t="n">
        <v>45657</v>
      </c>
      <c r="D595" t="inlineStr">
        <is>
          <t>STOCKHOLMS LÄN</t>
        </is>
      </c>
      <c r="E595" t="inlineStr">
        <is>
          <t>NORRTÄLJE</t>
        </is>
      </c>
      <c r="G595" t="n">
        <v>0.7</v>
      </c>
      <c r="H595" t="n">
        <v>0</v>
      </c>
      <c r="I595" t="n">
        <v>0</v>
      </c>
      <c r="J595" t="n">
        <v>0</v>
      </c>
      <c r="K595" t="n">
        <v>0</v>
      </c>
      <c r="L595" t="n">
        <v>0</v>
      </c>
      <c r="M595" t="n">
        <v>0</v>
      </c>
      <c r="N595" t="n">
        <v>0</v>
      </c>
      <c r="O595" t="n">
        <v>0</v>
      </c>
      <c r="P595" t="n">
        <v>0</v>
      </c>
      <c r="Q595" t="n">
        <v>0</v>
      </c>
      <c r="R595" s="2" t="inlineStr"/>
    </row>
    <row r="596" ht="15" customHeight="1">
      <c r="A596" t="inlineStr">
        <is>
          <t>A 44274-2021</t>
        </is>
      </c>
      <c r="B596" s="1" t="n">
        <v>44435</v>
      </c>
      <c r="C596" s="1" t="n">
        <v>45657</v>
      </c>
      <c r="D596" t="inlineStr">
        <is>
          <t>STOCKHOLMS LÄN</t>
        </is>
      </c>
      <c r="E596" t="inlineStr">
        <is>
          <t>NORRTÄLJE</t>
        </is>
      </c>
      <c r="G596" t="n">
        <v>1</v>
      </c>
      <c r="H596" t="n">
        <v>0</v>
      </c>
      <c r="I596" t="n">
        <v>0</v>
      </c>
      <c r="J596" t="n">
        <v>0</v>
      </c>
      <c r="K596" t="n">
        <v>0</v>
      </c>
      <c r="L596" t="n">
        <v>0</v>
      </c>
      <c r="M596" t="n">
        <v>0</v>
      </c>
      <c r="N596" t="n">
        <v>0</v>
      </c>
      <c r="O596" t="n">
        <v>0</v>
      </c>
      <c r="P596" t="n">
        <v>0</v>
      </c>
      <c r="Q596" t="n">
        <v>0</v>
      </c>
      <c r="R596" s="2" t="inlineStr"/>
    </row>
    <row r="597" ht="15" customHeight="1">
      <c r="A597" t="inlineStr">
        <is>
          <t>A 47344-2021</t>
        </is>
      </c>
      <c r="B597" s="1" t="n">
        <v>44447</v>
      </c>
      <c r="C597" s="1" t="n">
        <v>45657</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47349-2021</t>
        </is>
      </c>
      <c r="B598" s="1" t="n">
        <v>44447</v>
      </c>
      <c r="C598" s="1" t="n">
        <v>45657</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47691-2021</t>
        </is>
      </c>
      <c r="B599" s="1" t="n">
        <v>44448</v>
      </c>
      <c r="C599" s="1" t="n">
        <v>45657</v>
      </c>
      <c r="D599" t="inlineStr">
        <is>
          <t>STOCKHOLMS LÄN</t>
        </is>
      </c>
      <c r="E599" t="inlineStr">
        <is>
          <t>NORRTÄLJE</t>
        </is>
      </c>
      <c r="G599" t="n">
        <v>2.8</v>
      </c>
      <c r="H599" t="n">
        <v>0</v>
      </c>
      <c r="I599" t="n">
        <v>0</v>
      </c>
      <c r="J599" t="n">
        <v>0</v>
      </c>
      <c r="K599" t="n">
        <v>0</v>
      </c>
      <c r="L599" t="n">
        <v>0</v>
      </c>
      <c r="M599" t="n">
        <v>0</v>
      </c>
      <c r="N599" t="n">
        <v>0</v>
      </c>
      <c r="O599" t="n">
        <v>0</v>
      </c>
      <c r="P599" t="n">
        <v>0</v>
      </c>
      <c r="Q599" t="n">
        <v>0</v>
      </c>
      <c r="R599" s="2" t="inlineStr"/>
    </row>
    <row r="600" ht="15" customHeight="1">
      <c r="A600" t="inlineStr">
        <is>
          <t>A 48384-2021</t>
        </is>
      </c>
      <c r="B600" s="1" t="n">
        <v>44451</v>
      </c>
      <c r="C600" s="1" t="n">
        <v>45657</v>
      </c>
      <c r="D600" t="inlineStr">
        <is>
          <t>STOCKHOLMS LÄN</t>
        </is>
      </c>
      <c r="E600" t="inlineStr">
        <is>
          <t>NORRTÄLJE</t>
        </is>
      </c>
      <c r="G600" t="n">
        <v>1.4</v>
      </c>
      <c r="H600" t="n">
        <v>0</v>
      </c>
      <c r="I600" t="n">
        <v>0</v>
      </c>
      <c r="J600" t="n">
        <v>0</v>
      </c>
      <c r="K600" t="n">
        <v>0</v>
      </c>
      <c r="L600" t="n">
        <v>0</v>
      </c>
      <c r="M600" t="n">
        <v>0</v>
      </c>
      <c r="N600" t="n">
        <v>0</v>
      </c>
      <c r="O600" t="n">
        <v>0</v>
      </c>
      <c r="P600" t="n">
        <v>0</v>
      </c>
      <c r="Q600" t="n">
        <v>0</v>
      </c>
      <c r="R600" s="2" t="inlineStr"/>
    </row>
    <row r="601" ht="15" customHeight="1">
      <c r="A601" t="inlineStr">
        <is>
          <t>A 48798-2021</t>
        </is>
      </c>
      <c r="B601" s="1" t="n">
        <v>44452</v>
      </c>
      <c r="C601" s="1" t="n">
        <v>45657</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48932-2021</t>
        </is>
      </c>
      <c r="B602" s="1" t="n">
        <v>44453</v>
      </c>
      <c r="C602" s="1" t="n">
        <v>45657</v>
      </c>
      <c r="D602" t="inlineStr">
        <is>
          <t>STOCKHOLMS LÄN</t>
        </is>
      </c>
      <c r="E602" t="inlineStr">
        <is>
          <t>NORRTÄLJE</t>
        </is>
      </c>
      <c r="G602" t="n">
        <v>11.2</v>
      </c>
      <c r="H602" t="n">
        <v>0</v>
      </c>
      <c r="I602" t="n">
        <v>0</v>
      </c>
      <c r="J602" t="n">
        <v>0</v>
      </c>
      <c r="K602" t="n">
        <v>0</v>
      </c>
      <c r="L602" t="n">
        <v>0</v>
      </c>
      <c r="M602" t="n">
        <v>0</v>
      </c>
      <c r="N602" t="n">
        <v>0</v>
      </c>
      <c r="O602" t="n">
        <v>0</v>
      </c>
      <c r="P602" t="n">
        <v>0</v>
      </c>
      <c r="Q602" t="n">
        <v>0</v>
      </c>
      <c r="R602" s="2" t="inlineStr"/>
    </row>
    <row r="603" ht="15" customHeight="1">
      <c r="A603" t="inlineStr">
        <is>
          <t>A 49113-2021</t>
        </is>
      </c>
      <c r="B603" s="1" t="n">
        <v>44453</v>
      </c>
      <c r="C603" s="1" t="n">
        <v>45657</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50038-2021</t>
        </is>
      </c>
      <c r="B604" s="1" t="n">
        <v>44456</v>
      </c>
      <c r="C604" s="1" t="n">
        <v>45657</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50108-2021</t>
        </is>
      </c>
      <c r="B605" s="1" t="n">
        <v>44456</v>
      </c>
      <c r="C605" s="1" t="n">
        <v>45657</v>
      </c>
      <c r="D605" t="inlineStr">
        <is>
          <t>STOCKHOLMS LÄN</t>
        </is>
      </c>
      <c r="E605" t="inlineStr">
        <is>
          <t>NORRTÄLJE</t>
        </is>
      </c>
      <c r="G605" t="n">
        <v>0.7</v>
      </c>
      <c r="H605" t="n">
        <v>0</v>
      </c>
      <c r="I605" t="n">
        <v>0</v>
      </c>
      <c r="J605" t="n">
        <v>0</v>
      </c>
      <c r="K605" t="n">
        <v>0</v>
      </c>
      <c r="L605" t="n">
        <v>0</v>
      </c>
      <c r="M605" t="n">
        <v>0</v>
      </c>
      <c r="N605" t="n">
        <v>0</v>
      </c>
      <c r="O605" t="n">
        <v>0</v>
      </c>
      <c r="P605" t="n">
        <v>0</v>
      </c>
      <c r="Q605" t="n">
        <v>0</v>
      </c>
      <c r="R605" s="2" t="inlineStr"/>
    </row>
    <row r="606" ht="15" customHeight="1">
      <c r="A606" t="inlineStr">
        <is>
          <t>A 50252-2021</t>
        </is>
      </c>
      <c r="B606" s="1" t="n">
        <v>44458</v>
      </c>
      <c r="C606" s="1" t="n">
        <v>45657</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50602-2021</t>
        </is>
      </c>
      <c r="B607" s="1" t="n">
        <v>44459</v>
      </c>
      <c r="C607" s="1" t="n">
        <v>45657</v>
      </c>
      <c r="D607" t="inlineStr">
        <is>
          <t>STOCKHOLMS LÄN</t>
        </is>
      </c>
      <c r="E607" t="inlineStr">
        <is>
          <t>NORRTÄLJE</t>
        </is>
      </c>
      <c r="F607" t="inlineStr">
        <is>
          <t>Holmen skog AB</t>
        </is>
      </c>
      <c r="G607" t="n">
        <v>2</v>
      </c>
      <c r="H607" t="n">
        <v>0</v>
      </c>
      <c r="I607" t="n">
        <v>0</v>
      </c>
      <c r="J607" t="n">
        <v>0</v>
      </c>
      <c r="K607" t="n">
        <v>0</v>
      </c>
      <c r="L607" t="n">
        <v>0</v>
      </c>
      <c r="M607" t="n">
        <v>0</v>
      </c>
      <c r="N607" t="n">
        <v>0</v>
      </c>
      <c r="O607" t="n">
        <v>0</v>
      </c>
      <c r="P607" t="n">
        <v>0</v>
      </c>
      <c r="Q607" t="n">
        <v>0</v>
      </c>
      <c r="R607" s="2" t="inlineStr"/>
    </row>
    <row r="608" ht="15" customHeight="1">
      <c r="A608" t="inlineStr">
        <is>
          <t>A 51279-2021</t>
        </is>
      </c>
      <c r="B608" s="1" t="n">
        <v>44461</v>
      </c>
      <c r="C608" s="1" t="n">
        <v>45657</v>
      </c>
      <c r="D608" t="inlineStr">
        <is>
          <t>STOCKHOLMS LÄN</t>
        </is>
      </c>
      <c r="E608" t="inlineStr">
        <is>
          <t>NORRTÄLJE</t>
        </is>
      </c>
      <c r="F608" t="inlineStr">
        <is>
          <t>Holmen skog AB</t>
        </is>
      </c>
      <c r="G608" t="n">
        <v>2.1</v>
      </c>
      <c r="H608" t="n">
        <v>0</v>
      </c>
      <c r="I608" t="n">
        <v>0</v>
      </c>
      <c r="J608" t="n">
        <v>0</v>
      </c>
      <c r="K608" t="n">
        <v>0</v>
      </c>
      <c r="L608" t="n">
        <v>0</v>
      </c>
      <c r="M608" t="n">
        <v>0</v>
      </c>
      <c r="N608" t="n">
        <v>0</v>
      </c>
      <c r="O608" t="n">
        <v>0</v>
      </c>
      <c r="P608" t="n">
        <v>0</v>
      </c>
      <c r="Q608" t="n">
        <v>0</v>
      </c>
      <c r="R608" s="2" t="inlineStr"/>
    </row>
    <row r="609" ht="15" customHeight="1">
      <c r="A609" t="inlineStr">
        <is>
          <t>A 51315-2021</t>
        </is>
      </c>
      <c r="B609" s="1" t="n">
        <v>44461</v>
      </c>
      <c r="C609" s="1" t="n">
        <v>45657</v>
      </c>
      <c r="D609" t="inlineStr">
        <is>
          <t>STOCKHOLMS LÄN</t>
        </is>
      </c>
      <c r="E609" t="inlineStr">
        <is>
          <t>NORRTÄLJE</t>
        </is>
      </c>
      <c r="F609" t="inlineStr">
        <is>
          <t>Holmen skog AB</t>
        </is>
      </c>
      <c r="G609" t="n">
        <v>2.2</v>
      </c>
      <c r="H609" t="n">
        <v>0</v>
      </c>
      <c r="I609" t="n">
        <v>0</v>
      </c>
      <c r="J609" t="n">
        <v>0</v>
      </c>
      <c r="K609" t="n">
        <v>0</v>
      </c>
      <c r="L609" t="n">
        <v>0</v>
      </c>
      <c r="M609" t="n">
        <v>0</v>
      </c>
      <c r="N609" t="n">
        <v>0</v>
      </c>
      <c r="O609" t="n">
        <v>0</v>
      </c>
      <c r="P609" t="n">
        <v>0</v>
      </c>
      <c r="Q609" t="n">
        <v>0</v>
      </c>
      <c r="R609" s="2" t="inlineStr"/>
    </row>
    <row r="610" ht="15" customHeight="1">
      <c r="A610" t="inlineStr">
        <is>
          <t>A 52090-2021</t>
        </is>
      </c>
      <c r="B610" s="1" t="n">
        <v>44463</v>
      </c>
      <c r="C610" s="1" t="n">
        <v>45657</v>
      </c>
      <c r="D610" t="inlineStr">
        <is>
          <t>STOCKHOLMS LÄN</t>
        </is>
      </c>
      <c r="E610" t="inlineStr">
        <is>
          <t>NORRTÄLJE</t>
        </is>
      </c>
      <c r="G610" t="n">
        <v>3.6</v>
      </c>
      <c r="H610" t="n">
        <v>0</v>
      </c>
      <c r="I610" t="n">
        <v>0</v>
      </c>
      <c r="J610" t="n">
        <v>0</v>
      </c>
      <c r="K610" t="n">
        <v>0</v>
      </c>
      <c r="L610" t="n">
        <v>0</v>
      </c>
      <c r="M610" t="n">
        <v>0</v>
      </c>
      <c r="N610" t="n">
        <v>0</v>
      </c>
      <c r="O610" t="n">
        <v>0</v>
      </c>
      <c r="P610" t="n">
        <v>0</v>
      </c>
      <c r="Q610" t="n">
        <v>0</v>
      </c>
      <c r="R610" s="2" t="inlineStr"/>
    </row>
    <row r="611" ht="15" customHeight="1">
      <c r="A611" t="inlineStr">
        <is>
          <t>A 52449-2021</t>
        </is>
      </c>
      <c r="B611" s="1" t="n">
        <v>44466</v>
      </c>
      <c r="C611" s="1" t="n">
        <v>45657</v>
      </c>
      <c r="D611" t="inlineStr">
        <is>
          <t>STOCKHOLMS LÄN</t>
        </is>
      </c>
      <c r="E611" t="inlineStr">
        <is>
          <t>NORRTÄLJE</t>
        </is>
      </c>
      <c r="F611" t="inlineStr">
        <is>
          <t>Holmen skog AB</t>
        </is>
      </c>
      <c r="G611" t="n">
        <v>1.8</v>
      </c>
      <c r="H611" t="n">
        <v>0</v>
      </c>
      <c r="I611" t="n">
        <v>0</v>
      </c>
      <c r="J611" t="n">
        <v>0</v>
      </c>
      <c r="K611" t="n">
        <v>0</v>
      </c>
      <c r="L611" t="n">
        <v>0</v>
      </c>
      <c r="M611" t="n">
        <v>0</v>
      </c>
      <c r="N611" t="n">
        <v>0</v>
      </c>
      <c r="O611" t="n">
        <v>0</v>
      </c>
      <c r="P611" t="n">
        <v>0</v>
      </c>
      <c r="Q611" t="n">
        <v>0</v>
      </c>
      <c r="R611" s="2" t="inlineStr"/>
    </row>
    <row r="612" ht="15" customHeight="1">
      <c r="A612" t="inlineStr">
        <is>
          <t>A 54276-2021</t>
        </is>
      </c>
      <c r="B612" s="1" t="n">
        <v>44470</v>
      </c>
      <c r="C612" s="1" t="n">
        <v>45657</v>
      </c>
      <c r="D612" t="inlineStr">
        <is>
          <t>STOCKHOLMS LÄN</t>
        </is>
      </c>
      <c r="E612" t="inlineStr">
        <is>
          <t>NORRTÄLJE</t>
        </is>
      </c>
      <c r="G612" t="n">
        <v>7.3</v>
      </c>
      <c r="H612" t="n">
        <v>0</v>
      </c>
      <c r="I612" t="n">
        <v>0</v>
      </c>
      <c r="J612" t="n">
        <v>0</v>
      </c>
      <c r="K612" t="n">
        <v>0</v>
      </c>
      <c r="L612" t="n">
        <v>0</v>
      </c>
      <c r="M612" t="n">
        <v>0</v>
      </c>
      <c r="N612" t="n">
        <v>0</v>
      </c>
      <c r="O612" t="n">
        <v>0</v>
      </c>
      <c r="P612" t="n">
        <v>0</v>
      </c>
      <c r="Q612" t="n">
        <v>0</v>
      </c>
      <c r="R612" s="2" t="inlineStr"/>
    </row>
    <row r="613" ht="15" customHeight="1">
      <c r="A613" t="inlineStr">
        <is>
          <t>A 54273-2021</t>
        </is>
      </c>
      <c r="B613" s="1" t="n">
        <v>44470</v>
      </c>
      <c r="C613" s="1" t="n">
        <v>45657</v>
      </c>
      <c r="D613" t="inlineStr">
        <is>
          <t>STOCKHOLMS LÄN</t>
        </is>
      </c>
      <c r="E613" t="inlineStr">
        <is>
          <t>NORRTÄLJE</t>
        </is>
      </c>
      <c r="G613" t="n">
        <v>2.7</v>
      </c>
      <c r="H613" t="n">
        <v>0</v>
      </c>
      <c r="I613" t="n">
        <v>0</v>
      </c>
      <c r="J613" t="n">
        <v>0</v>
      </c>
      <c r="K613" t="n">
        <v>0</v>
      </c>
      <c r="L613" t="n">
        <v>0</v>
      </c>
      <c r="M613" t="n">
        <v>0</v>
      </c>
      <c r="N613" t="n">
        <v>0</v>
      </c>
      <c r="O613" t="n">
        <v>0</v>
      </c>
      <c r="P613" t="n">
        <v>0</v>
      </c>
      <c r="Q613" t="n">
        <v>0</v>
      </c>
      <c r="R613" s="2" t="inlineStr"/>
    </row>
    <row r="614" ht="15" customHeight="1">
      <c r="A614" t="inlineStr">
        <is>
          <t>A 54272-2021</t>
        </is>
      </c>
      <c r="B614" s="1" t="n">
        <v>44470</v>
      </c>
      <c r="C614" s="1" t="n">
        <v>45657</v>
      </c>
      <c r="D614" t="inlineStr">
        <is>
          <t>STOCKHOLMS LÄN</t>
        </is>
      </c>
      <c r="E614" t="inlineStr">
        <is>
          <t>NORRTÄLJE</t>
        </is>
      </c>
      <c r="G614" t="n">
        <v>5.8</v>
      </c>
      <c r="H614" t="n">
        <v>0</v>
      </c>
      <c r="I614" t="n">
        <v>0</v>
      </c>
      <c r="J614" t="n">
        <v>0</v>
      </c>
      <c r="K614" t="n">
        <v>0</v>
      </c>
      <c r="L614" t="n">
        <v>0</v>
      </c>
      <c r="M614" t="n">
        <v>0</v>
      </c>
      <c r="N614" t="n">
        <v>0</v>
      </c>
      <c r="O614" t="n">
        <v>0</v>
      </c>
      <c r="P614" t="n">
        <v>0</v>
      </c>
      <c r="Q614" t="n">
        <v>0</v>
      </c>
      <c r="R614" s="2" t="inlineStr"/>
    </row>
    <row r="615" ht="15" customHeight="1">
      <c r="A615" t="inlineStr">
        <is>
          <t>A 54396-2021</t>
        </is>
      </c>
      <c r="B615" s="1" t="n">
        <v>44472</v>
      </c>
      <c r="C615" s="1" t="n">
        <v>45657</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55058-2021</t>
        </is>
      </c>
      <c r="B616" s="1" t="n">
        <v>44474</v>
      </c>
      <c r="C616" s="1" t="n">
        <v>45657</v>
      </c>
      <c r="D616" t="inlineStr">
        <is>
          <t>STOCKHOLMS LÄN</t>
        </is>
      </c>
      <c r="E616" t="inlineStr">
        <is>
          <t>NORRTÄLJE</t>
        </is>
      </c>
      <c r="G616" t="n">
        <v>1.9</v>
      </c>
      <c r="H616" t="n">
        <v>0</v>
      </c>
      <c r="I616" t="n">
        <v>0</v>
      </c>
      <c r="J616" t="n">
        <v>0</v>
      </c>
      <c r="K616" t="n">
        <v>0</v>
      </c>
      <c r="L616" t="n">
        <v>0</v>
      </c>
      <c r="M616" t="n">
        <v>0</v>
      </c>
      <c r="N616" t="n">
        <v>0</v>
      </c>
      <c r="O616" t="n">
        <v>0</v>
      </c>
      <c r="P616" t="n">
        <v>0</v>
      </c>
      <c r="Q616" t="n">
        <v>0</v>
      </c>
      <c r="R616" s="2" t="inlineStr"/>
    </row>
    <row r="617" ht="15" customHeight="1">
      <c r="A617" t="inlineStr">
        <is>
          <t>A 56219-2021</t>
        </is>
      </c>
      <c r="B617" s="1" t="n">
        <v>44477</v>
      </c>
      <c r="C617" s="1" t="n">
        <v>45657</v>
      </c>
      <c r="D617" t="inlineStr">
        <is>
          <t>STOCKHOLMS LÄN</t>
        </is>
      </c>
      <c r="E617" t="inlineStr">
        <is>
          <t>NORRTÄLJE</t>
        </is>
      </c>
      <c r="F617" t="inlineStr">
        <is>
          <t>Kommuner</t>
        </is>
      </c>
      <c r="G617" t="n">
        <v>2.3</v>
      </c>
      <c r="H617" t="n">
        <v>0</v>
      </c>
      <c r="I617" t="n">
        <v>0</v>
      </c>
      <c r="J617" t="n">
        <v>0</v>
      </c>
      <c r="K617" t="n">
        <v>0</v>
      </c>
      <c r="L617" t="n">
        <v>0</v>
      </c>
      <c r="M617" t="n">
        <v>0</v>
      </c>
      <c r="N617" t="n">
        <v>0</v>
      </c>
      <c r="O617" t="n">
        <v>0</v>
      </c>
      <c r="P617" t="n">
        <v>0</v>
      </c>
      <c r="Q617" t="n">
        <v>0</v>
      </c>
      <c r="R617" s="2" t="inlineStr"/>
    </row>
    <row r="618" ht="15" customHeight="1">
      <c r="A618" t="inlineStr">
        <is>
          <t>A 56225-2021</t>
        </is>
      </c>
      <c r="B618" s="1" t="n">
        <v>44478</v>
      </c>
      <c r="C618" s="1" t="n">
        <v>45657</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56878-2021</t>
        </is>
      </c>
      <c r="B619" s="1" t="n">
        <v>44481</v>
      </c>
      <c r="C619" s="1" t="n">
        <v>45657</v>
      </c>
      <c r="D619" t="inlineStr">
        <is>
          <t>STOCKHOLMS LÄN</t>
        </is>
      </c>
      <c r="E619" t="inlineStr">
        <is>
          <t>NORRTÄLJE</t>
        </is>
      </c>
      <c r="G619" t="n">
        <v>4.5</v>
      </c>
      <c r="H619" t="n">
        <v>0</v>
      </c>
      <c r="I619" t="n">
        <v>0</v>
      </c>
      <c r="J619" t="n">
        <v>0</v>
      </c>
      <c r="K619" t="n">
        <v>0</v>
      </c>
      <c r="L619" t="n">
        <v>0</v>
      </c>
      <c r="M619" t="n">
        <v>0</v>
      </c>
      <c r="N619" t="n">
        <v>0</v>
      </c>
      <c r="O619" t="n">
        <v>0</v>
      </c>
      <c r="P619" t="n">
        <v>0</v>
      </c>
      <c r="Q619" t="n">
        <v>0</v>
      </c>
      <c r="R619" s="2" t="inlineStr"/>
    </row>
    <row r="620" ht="15" customHeight="1">
      <c r="A620" t="inlineStr">
        <is>
          <t>A 57442-2021</t>
        </is>
      </c>
      <c r="B620" s="1" t="n">
        <v>44483</v>
      </c>
      <c r="C620" s="1" t="n">
        <v>45657</v>
      </c>
      <c r="D620" t="inlineStr">
        <is>
          <t>STOCKHOLMS LÄN</t>
        </is>
      </c>
      <c r="E620" t="inlineStr">
        <is>
          <t>NORRTÄLJE</t>
        </is>
      </c>
      <c r="G620" t="n">
        <v>3.3</v>
      </c>
      <c r="H620" t="n">
        <v>0</v>
      </c>
      <c r="I620" t="n">
        <v>0</v>
      </c>
      <c r="J620" t="n">
        <v>0</v>
      </c>
      <c r="K620" t="n">
        <v>0</v>
      </c>
      <c r="L620" t="n">
        <v>0</v>
      </c>
      <c r="M620" t="n">
        <v>0</v>
      </c>
      <c r="N620" t="n">
        <v>0</v>
      </c>
      <c r="O620" t="n">
        <v>0</v>
      </c>
      <c r="P620" t="n">
        <v>0</v>
      </c>
      <c r="Q620" t="n">
        <v>0</v>
      </c>
      <c r="R620" s="2" t="inlineStr"/>
    </row>
    <row r="621" ht="15" customHeight="1">
      <c r="A621" t="inlineStr">
        <is>
          <t>A 57507-2021</t>
        </is>
      </c>
      <c r="B621" s="1" t="n">
        <v>44483</v>
      </c>
      <c r="C621" s="1" t="n">
        <v>45657</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58989-2021</t>
        </is>
      </c>
      <c r="B622" s="1" t="n">
        <v>44490</v>
      </c>
      <c r="C622" s="1" t="n">
        <v>45657</v>
      </c>
      <c r="D622" t="inlineStr">
        <is>
          <t>STOCKHOLMS LÄN</t>
        </is>
      </c>
      <c r="E622" t="inlineStr">
        <is>
          <t>NORRTÄLJE</t>
        </is>
      </c>
      <c r="G622" t="n">
        <v>0.3</v>
      </c>
      <c r="H622" t="n">
        <v>0</v>
      </c>
      <c r="I622" t="n">
        <v>0</v>
      </c>
      <c r="J622" t="n">
        <v>0</v>
      </c>
      <c r="K622" t="n">
        <v>0</v>
      </c>
      <c r="L622" t="n">
        <v>0</v>
      </c>
      <c r="M622" t="n">
        <v>0</v>
      </c>
      <c r="N622" t="n">
        <v>0</v>
      </c>
      <c r="O622" t="n">
        <v>0</v>
      </c>
      <c r="P622" t="n">
        <v>0</v>
      </c>
      <c r="Q622" t="n">
        <v>0</v>
      </c>
      <c r="R622" s="2" t="inlineStr"/>
    </row>
    <row r="623" ht="15" customHeight="1">
      <c r="A623" t="inlineStr">
        <is>
          <t>A 58990-2021</t>
        </is>
      </c>
      <c r="B623" s="1" t="n">
        <v>44490</v>
      </c>
      <c r="C623" s="1" t="n">
        <v>45657</v>
      </c>
      <c r="D623" t="inlineStr">
        <is>
          <t>STOCKHOLMS LÄN</t>
        </is>
      </c>
      <c r="E623" t="inlineStr">
        <is>
          <t>NORRTÄLJE</t>
        </is>
      </c>
      <c r="G623" t="n">
        <v>4.2</v>
      </c>
      <c r="H623" t="n">
        <v>0</v>
      </c>
      <c r="I623" t="n">
        <v>0</v>
      </c>
      <c r="J623" t="n">
        <v>0</v>
      </c>
      <c r="K623" t="n">
        <v>0</v>
      </c>
      <c r="L623" t="n">
        <v>0</v>
      </c>
      <c r="M623" t="n">
        <v>0</v>
      </c>
      <c r="N623" t="n">
        <v>0</v>
      </c>
      <c r="O623" t="n">
        <v>0</v>
      </c>
      <c r="P623" t="n">
        <v>0</v>
      </c>
      <c r="Q623" t="n">
        <v>0</v>
      </c>
      <c r="R623" s="2" t="inlineStr"/>
    </row>
    <row r="624" ht="15" customHeight="1">
      <c r="A624" t="inlineStr">
        <is>
          <t>A 60217-2021</t>
        </is>
      </c>
      <c r="B624" s="1" t="n">
        <v>44495</v>
      </c>
      <c r="C624" s="1" t="n">
        <v>45657</v>
      </c>
      <c r="D624" t="inlineStr">
        <is>
          <t>STOCKHOLMS LÄN</t>
        </is>
      </c>
      <c r="E624" t="inlineStr">
        <is>
          <t>NORRTÄLJE</t>
        </is>
      </c>
      <c r="G624" t="n">
        <v>4.3</v>
      </c>
      <c r="H624" t="n">
        <v>0</v>
      </c>
      <c r="I624" t="n">
        <v>0</v>
      </c>
      <c r="J624" t="n">
        <v>0</v>
      </c>
      <c r="K624" t="n">
        <v>0</v>
      </c>
      <c r="L624" t="n">
        <v>0</v>
      </c>
      <c r="M624" t="n">
        <v>0</v>
      </c>
      <c r="N624" t="n">
        <v>0</v>
      </c>
      <c r="O624" t="n">
        <v>0</v>
      </c>
      <c r="P624" t="n">
        <v>0</v>
      </c>
      <c r="Q624" t="n">
        <v>0</v>
      </c>
      <c r="R624" s="2" t="inlineStr"/>
    </row>
    <row r="625" ht="15" customHeight="1">
      <c r="A625" t="inlineStr">
        <is>
          <t>A 60184-2021</t>
        </is>
      </c>
      <c r="B625" s="1" t="n">
        <v>44495</v>
      </c>
      <c r="C625" s="1" t="n">
        <v>45657</v>
      </c>
      <c r="D625" t="inlineStr">
        <is>
          <t>STOCKHOLMS LÄN</t>
        </is>
      </c>
      <c r="E625" t="inlineStr">
        <is>
          <t>NORRTÄLJE</t>
        </is>
      </c>
      <c r="G625" t="n">
        <v>1.8</v>
      </c>
      <c r="H625" t="n">
        <v>0</v>
      </c>
      <c r="I625" t="n">
        <v>0</v>
      </c>
      <c r="J625" t="n">
        <v>0</v>
      </c>
      <c r="K625" t="n">
        <v>0</v>
      </c>
      <c r="L625" t="n">
        <v>0</v>
      </c>
      <c r="M625" t="n">
        <v>0</v>
      </c>
      <c r="N625" t="n">
        <v>0</v>
      </c>
      <c r="O625" t="n">
        <v>0</v>
      </c>
      <c r="P625" t="n">
        <v>0</v>
      </c>
      <c r="Q625" t="n">
        <v>0</v>
      </c>
      <c r="R625" s="2" t="inlineStr"/>
    </row>
    <row r="626" ht="15" customHeight="1">
      <c r="A626" t="inlineStr">
        <is>
          <t>A 60186-2021</t>
        </is>
      </c>
      <c r="B626" s="1" t="n">
        <v>44495</v>
      </c>
      <c r="C626" s="1" t="n">
        <v>45657</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60209-2021</t>
        </is>
      </c>
      <c r="B627" s="1" t="n">
        <v>44495</v>
      </c>
      <c r="C627" s="1" t="n">
        <v>45657</v>
      </c>
      <c r="D627" t="inlineStr">
        <is>
          <t>STOCKHOLMS LÄN</t>
        </is>
      </c>
      <c r="E627" t="inlineStr">
        <is>
          <t>NORRTÄLJE</t>
        </is>
      </c>
      <c r="G627" t="n">
        <v>4.3</v>
      </c>
      <c r="H627" t="n">
        <v>0</v>
      </c>
      <c r="I627" t="n">
        <v>0</v>
      </c>
      <c r="J627" t="n">
        <v>0</v>
      </c>
      <c r="K627" t="n">
        <v>0</v>
      </c>
      <c r="L627" t="n">
        <v>0</v>
      </c>
      <c r="M627" t="n">
        <v>0</v>
      </c>
      <c r="N627" t="n">
        <v>0</v>
      </c>
      <c r="O627" t="n">
        <v>0</v>
      </c>
      <c r="P627" t="n">
        <v>0</v>
      </c>
      <c r="Q627" t="n">
        <v>0</v>
      </c>
      <c r="R627" s="2" t="inlineStr"/>
    </row>
    <row r="628" ht="15" customHeight="1">
      <c r="A628" t="inlineStr">
        <is>
          <t>A 60671-2021</t>
        </is>
      </c>
      <c r="B628" s="1" t="n">
        <v>44496</v>
      </c>
      <c r="C628" s="1" t="n">
        <v>45657</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60733-2021</t>
        </is>
      </c>
      <c r="B629" s="1" t="n">
        <v>44496</v>
      </c>
      <c r="C629" s="1" t="n">
        <v>45657</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60813-2021</t>
        </is>
      </c>
      <c r="B630" s="1" t="n">
        <v>44496</v>
      </c>
      <c r="C630" s="1" t="n">
        <v>45657</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60822-2021</t>
        </is>
      </c>
      <c r="B631" s="1" t="n">
        <v>44496</v>
      </c>
      <c r="C631" s="1" t="n">
        <v>45657</v>
      </c>
      <c r="D631" t="inlineStr">
        <is>
          <t>STOCKHOLMS LÄN</t>
        </is>
      </c>
      <c r="E631" t="inlineStr">
        <is>
          <t>NORRTÄLJE</t>
        </is>
      </c>
      <c r="G631" t="n">
        <v>7.6</v>
      </c>
      <c r="H631" t="n">
        <v>0</v>
      </c>
      <c r="I631" t="n">
        <v>0</v>
      </c>
      <c r="J631" t="n">
        <v>0</v>
      </c>
      <c r="K631" t="n">
        <v>0</v>
      </c>
      <c r="L631" t="n">
        <v>0</v>
      </c>
      <c r="M631" t="n">
        <v>0</v>
      </c>
      <c r="N631" t="n">
        <v>0</v>
      </c>
      <c r="O631" t="n">
        <v>0</v>
      </c>
      <c r="P631" t="n">
        <v>0</v>
      </c>
      <c r="Q631" t="n">
        <v>0</v>
      </c>
      <c r="R631" s="2" t="inlineStr"/>
    </row>
    <row r="632" ht="15" customHeight="1">
      <c r="A632" t="inlineStr">
        <is>
          <t>A 62030-2021</t>
        </is>
      </c>
      <c r="B632" s="1" t="n">
        <v>44502</v>
      </c>
      <c r="C632" s="1" t="n">
        <v>45657</v>
      </c>
      <c r="D632" t="inlineStr">
        <is>
          <t>STOCKHOLMS LÄN</t>
        </is>
      </c>
      <c r="E632" t="inlineStr">
        <is>
          <t>NORRTÄLJE</t>
        </is>
      </c>
      <c r="G632" t="n">
        <v>4.7</v>
      </c>
      <c r="H632" t="n">
        <v>0</v>
      </c>
      <c r="I632" t="n">
        <v>0</v>
      </c>
      <c r="J632" t="n">
        <v>0</v>
      </c>
      <c r="K632" t="n">
        <v>0</v>
      </c>
      <c r="L632" t="n">
        <v>0</v>
      </c>
      <c r="M632" t="n">
        <v>0</v>
      </c>
      <c r="N632" t="n">
        <v>0</v>
      </c>
      <c r="O632" t="n">
        <v>0</v>
      </c>
      <c r="P632" t="n">
        <v>0</v>
      </c>
      <c r="Q632" t="n">
        <v>0</v>
      </c>
      <c r="R632" s="2" t="inlineStr"/>
    </row>
    <row r="633" ht="15" customHeight="1">
      <c r="A633" t="inlineStr">
        <is>
          <t>A 63530-2021</t>
        </is>
      </c>
      <c r="B633" s="1" t="n">
        <v>44508</v>
      </c>
      <c r="C633" s="1" t="n">
        <v>45657</v>
      </c>
      <c r="D633" t="inlineStr">
        <is>
          <t>STOCKHOLMS LÄN</t>
        </is>
      </c>
      <c r="E633" t="inlineStr">
        <is>
          <t>NORRTÄLJE</t>
        </is>
      </c>
      <c r="G633" t="n">
        <v>8.9</v>
      </c>
      <c r="H633" t="n">
        <v>0</v>
      </c>
      <c r="I633" t="n">
        <v>0</v>
      </c>
      <c r="J633" t="n">
        <v>0</v>
      </c>
      <c r="K633" t="n">
        <v>0</v>
      </c>
      <c r="L633" t="n">
        <v>0</v>
      </c>
      <c r="M633" t="n">
        <v>0</v>
      </c>
      <c r="N633" t="n">
        <v>0</v>
      </c>
      <c r="O633" t="n">
        <v>0</v>
      </c>
      <c r="P633" t="n">
        <v>0</v>
      </c>
      <c r="Q633" t="n">
        <v>0</v>
      </c>
      <c r="R633" s="2" t="inlineStr"/>
    </row>
    <row r="634" ht="15" customHeight="1">
      <c r="A634" t="inlineStr">
        <is>
          <t>A 64137-2021</t>
        </is>
      </c>
      <c r="B634" s="1" t="n">
        <v>44510</v>
      </c>
      <c r="C634" s="1" t="n">
        <v>45657</v>
      </c>
      <c r="D634" t="inlineStr">
        <is>
          <t>STOCKHOLMS LÄN</t>
        </is>
      </c>
      <c r="E634" t="inlineStr">
        <is>
          <t>NORRTÄLJE</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64212-2021</t>
        </is>
      </c>
      <c r="B635" s="1" t="n">
        <v>44510</v>
      </c>
      <c r="C635" s="1" t="n">
        <v>45657</v>
      </c>
      <c r="D635" t="inlineStr">
        <is>
          <t>STOCKHOLMS LÄN</t>
        </is>
      </c>
      <c r="E635" t="inlineStr">
        <is>
          <t>NORRTÄLJE</t>
        </is>
      </c>
      <c r="G635" t="n">
        <v>28.7</v>
      </c>
      <c r="H635" t="n">
        <v>0</v>
      </c>
      <c r="I635" t="n">
        <v>0</v>
      </c>
      <c r="J635" t="n">
        <v>0</v>
      </c>
      <c r="K635" t="n">
        <v>0</v>
      </c>
      <c r="L635" t="n">
        <v>0</v>
      </c>
      <c r="M635" t="n">
        <v>0</v>
      </c>
      <c r="N635" t="n">
        <v>0</v>
      </c>
      <c r="O635" t="n">
        <v>0</v>
      </c>
      <c r="P635" t="n">
        <v>0</v>
      </c>
      <c r="Q635" t="n">
        <v>0</v>
      </c>
      <c r="R635" s="2" t="inlineStr"/>
    </row>
    <row r="636" ht="15" customHeight="1">
      <c r="A636" t="inlineStr">
        <is>
          <t>A 64074-2021</t>
        </is>
      </c>
      <c r="B636" s="1" t="n">
        <v>44510</v>
      </c>
      <c r="C636" s="1" t="n">
        <v>45657</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64145-2021</t>
        </is>
      </c>
      <c r="B637" s="1" t="n">
        <v>44510</v>
      </c>
      <c r="C637" s="1" t="n">
        <v>45657</v>
      </c>
      <c r="D637" t="inlineStr">
        <is>
          <t>STOCKHOLMS LÄN</t>
        </is>
      </c>
      <c r="E637" t="inlineStr">
        <is>
          <t>NORRTÄLJE</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64600-2021</t>
        </is>
      </c>
      <c r="B638" s="1" t="n">
        <v>44511</v>
      </c>
      <c r="C638" s="1" t="n">
        <v>45657</v>
      </c>
      <c r="D638" t="inlineStr">
        <is>
          <t>STOCKHOLMS LÄN</t>
        </is>
      </c>
      <c r="E638" t="inlineStr">
        <is>
          <t>NORRTÄLJE</t>
        </is>
      </c>
      <c r="G638" t="n">
        <v>6.2</v>
      </c>
      <c r="H638" t="n">
        <v>0</v>
      </c>
      <c r="I638" t="n">
        <v>0</v>
      </c>
      <c r="J638" t="n">
        <v>0</v>
      </c>
      <c r="K638" t="n">
        <v>0</v>
      </c>
      <c r="L638" t="n">
        <v>0</v>
      </c>
      <c r="M638" t="n">
        <v>0</v>
      </c>
      <c r="N638" t="n">
        <v>0</v>
      </c>
      <c r="O638" t="n">
        <v>0</v>
      </c>
      <c r="P638" t="n">
        <v>0</v>
      </c>
      <c r="Q638" t="n">
        <v>0</v>
      </c>
      <c r="R638" s="2" t="inlineStr"/>
    </row>
    <row r="639" ht="15" customHeight="1">
      <c r="A639" t="inlineStr">
        <is>
          <t>A 64599-2021</t>
        </is>
      </c>
      <c r="B639" s="1" t="n">
        <v>44511</v>
      </c>
      <c r="C639" s="1" t="n">
        <v>45657</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64628-2021</t>
        </is>
      </c>
      <c r="B640" s="1" t="n">
        <v>44511</v>
      </c>
      <c r="C640" s="1" t="n">
        <v>45657</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64915-2021</t>
        </is>
      </c>
      <c r="B641" s="1" t="n">
        <v>44512</v>
      </c>
      <c r="C641" s="1" t="n">
        <v>45657</v>
      </c>
      <c r="D641" t="inlineStr">
        <is>
          <t>STOCKHOLMS LÄN</t>
        </is>
      </c>
      <c r="E641" t="inlineStr">
        <is>
          <t>NORRTÄLJE</t>
        </is>
      </c>
      <c r="G641" t="n">
        <v>2.8</v>
      </c>
      <c r="H641" t="n">
        <v>0</v>
      </c>
      <c r="I641" t="n">
        <v>0</v>
      </c>
      <c r="J641" t="n">
        <v>0</v>
      </c>
      <c r="K641" t="n">
        <v>0</v>
      </c>
      <c r="L641" t="n">
        <v>0</v>
      </c>
      <c r="M641" t="n">
        <v>0</v>
      </c>
      <c r="N641" t="n">
        <v>0</v>
      </c>
      <c r="O641" t="n">
        <v>0</v>
      </c>
      <c r="P641" t="n">
        <v>0</v>
      </c>
      <c r="Q641" t="n">
        <v>0</v>
      </c>
      <c r="R641" s="2" t="inlineStr"/>
    </row>
    <row r="642" ht="15" customHeight="1">
      <c r="A642" t="inlineStr">
        <is>
          <t>A 65359-2021</t>
        </is>
      </c>
      <c r="B642" s="1" t="n">
        <v>44515</v>
      </c>
      <c r="C642" s="1" t="n">
        <v>45657</v>
      </c>
      <c r="D642" t="inlineStr">
        <is>
          <t>STOCKHOLMS LÄN</t>
        </is>
      </c>
      <c r="E642" t="inlineStr">
        <is>
          <t>NORRTÄLJE</t>
        </is>
      </c>
      <c r="F642" t="inlineStr">
        <is>
          <t>Kyrkan</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65499-2021</t>
        </is>
      </c>
      <c r="B643" s="1" t="n">
        <v>44516</v>
      </c>
      <c r="C643" s="1" t="n">
        <v>45657</v>
      </c>
      <c r="D643" t="inlineStr">
        <is>
          <t>STOCKHOLMS LÄN</t>
        </is>
      </c>
      <c r="E643" t="inlineStr">
        <is>
          <t>NORRTÄLJE</t>
        </is>
      </c>
      <c r="F643" t="inlineStr">
        <is>
          <t>Kommuner</t>
        </is>
      </c>
      <c r="G643" t="n">
        <v>5.2</v>
      </c>
      <c r="H643" t="n">
        <v>0</v>
      </c>
      <c r="I643" t="n">
        <v>0</v>
      </c>
      <c r="J643" t="n">
        <v>0</v>
      </c>
      <c r="K643" t="n">
        <v>0</v>
      </c>
      <c r="L643" t="n">
        <v>0</v>
      </c>
      <c r="M643" t="n">
        <v>0</v>
      </c>
      <c r="N643" t="n">
        <v>0</v>
      </c>
      <c r="O643" t="n">
        <v>0</v>
      </c>
      <c r="P643" t="n">
        <v>0</v>
      </c>
      <c r="Q643" t="n">
        <v>0</v>
      </c>
      <c r="R643" s="2" t="inlineStr"/>
    </row>
    <row r="644" ht="15" customHeight="1">
      <c r="A644" t="inlineStr">
        <is>
          <t>A 65513-2021</t>
        </is>
      </c>
      <c r="B644" s="1" t="n">
        <v>44516</v>
      </c>
      <c r="C644" s="1" t="n">
        <v>45657</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65511-2021</t>
        </is>
      </c>
      <c r="B645" s="1" t="n">
        <v>44516</v>
      </c>
      <c r="C645" s="1" t="n">
        <v>45657</v>
      </c>
      <c r="D645" t="inlineStr">
        <is>
          <t>STOCKHOLMS LÄN</t>
        </is>
      </c>
      <c r="E645" t="inlineStr">
        <is>
          <t>NORRTÄLJE</t>
        </is>
      </c>
      <c r="F645" t="inlineStr">
        <is>
          <t>Kommuner</t>
        </is>
      </c>
      <c r="G645" t="n">
        <v>2.8</v>
      </c>
      <c r="H645" t="n">
        <v>0</v>
      </c>
      <c r="I645" t="n">
        <v>0</v>
      </c>
      <c r="J645" t="n">
        <v>0</v>
      </c>
      <c r="K645" t="n">
        <v>0</v>
      </c>
      <c r="L645" t="n">
        <v>0</v>
      </c>
      <c r="M645" t="n">
        <v>0</v>
      </c>
      <c r="N645" t="n">
        <v>0</v>
      </c>
      <c r="O645" t="n">
        <v>0</v>
      </c>
      <c r="P645" t="n">
        <v>0</v>
      </c>
      <c r="Q645" t="n">
        <v>0</v>
      </c>
      <c r="R645" s="2" t="inlineStr"/>
    </row>
    <row r="646" ht="15" customHeight="1">
      <c r="A646" t="inlineStr">
        <is>
          <t>A 65501-2021</t>
        </is>
      </c>
      <c r="B646" s="1" t="n">
        <v>44516</v>
      </c>
      <c r="C646" s="1" t="n">
        <v>45657</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65509-2021</t>
        </is>
      </c>
      <c r="B647" s="1" t="n">
        <v>44516</v>
      </c>
      <c r="C647" s="1" t="n">
        <v>45657</v>
      </c>
      <c r="D647" t="inlineStr">
        <is>
          <t>STOCKHOLMS LÄN</t>
        </is>
      </c>
      <c r="E647" t="inlineStr">
        <is>
          <t>NORRTÄLJE</t>
        </is>
      </c>
      <c r="F647" t="inlineStr">
        <is>
          <t>Kommuner</t>
        </is>
      </c>
      <c r="G647" t="n">
        <v>1</v>
      </c>
      <c r="H647" t="n">
        <v>0</v>
      </c>
      <c r="I647" t="n">
        <v>0</v>
      </c>
      <c r="J647" t="n">
        <v>0</v>
      </c>
      <c r="K647" t="n">
        <v>0</v>
      </c>
      <c r="L647" t="n">
        <v>0</v>
      </c>
      <c r="M647" t="n">
        <v>0</v>
      </c>
      <c r="N647" t="n">
        <v>0</v>
      </c>
      <c r="O647" t="n">
        <v>0</v>
      </c>
      <c r="P647" t="n">
        <v>0</v>
      </c>
      <c r="Q647" t="n">
        <v>0</v>
      </c>
      <c r="R647" s="2" t="inlineStr"/>
    </row>
    <row r="648" ht="15" customHeight="1">
      <c r="A648" t="inlineStr">
        <is>
          <t>A 65611-2021</t>
        </is>
      </c>
      <c r="B648" s="1" t="n">
        <v>44516</v>
      </c>
      <c r="C648" s="1" t="n">
        <v>45657</v>
      </c>
      <c r="D648" t="inlineStr">
        <is>
          <t>STOCKHOLMS LÄN</t>
        </is>
      </c>
      <c r="E648" t="inlineStr">
        <is>
          <t>NORRTÄLJE</t>
        </is>
      </c>
      <c r="G648" t="n">
        <v>2.5</v>
      </c>
      <c r="H648" t="n">
        <v>0</v>
      </c>
      <c r="I648" t="n">
        <v>0</v>
      </c>
      <c r="J648" t="n">
        <v>0</v>
      </c>
      <c r="K648" t="n">
        <v>0</v>
      </c>
      <c r="L648" t="n">
        <v>0</v>
      </c>
      <c r="M648" t="n">
        <v>0</v>
      </c>
      <c r="N648" t="n">
        <v>0</v>
      </c>
      <c r="O648" t="n">
        <v>0</v>
      </c>
      <c r="P648" t="n">
        <v>0</v>
      </c>
      <c r="Q648" t="n">
        <v>0</v>
      </c>
      <c r="R648" s="2" t="inlineStr"/>
    </row>
    <row r="649" ht="15" customHeight="1">
      <c r="A649" t="inlineStr">
        <is>
          <t>A 65737-2021</t>
        </is>
      </c>
      <c r="B649" s="1" t="n">
        <v>44516</v>
      </c>
      <c r="C649" s="1" t="n">
        <v>45657</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66450-2021</t>
        </is>
      </c>
      <c r="B650" s="1" t="n">
        <v>44518</v>
      </c>
      <c r="C650" s="1" t="n">
        <v>45657</v>
      </c>
      <c r="D650" t="inlineStr">
        <is>
          <t>STOCKHOLMS LÄN</t>
        </is>
      </c>
      <c r="E650" t="inlineStr">
        <is>
          <t>NORRTÄLJE</t>
        </is>
      </c>
      <c r="G650" t="n">
        <v>9.1</v>
      </c>
      <c r="H650" t="n">
        <v>0</v>
      </c>
      <c r="I650" t="n">
        <v>0</v>
      </c>
      <c r="J650" t="n">
        <v>0</v>
      </c>
      <c r="K650" t="n">
        <v>0</v>
      </c>
      <c r="L650" t="n">
        <v>0</v>
      </c>
      <c r="M650" t="n">
        <v>0</v>
      </c>
      <c r="N650" t="n">
        <v>0</v>
      </c>
      <c r="O650" t="n">
        <v>0</v>
      </c>
      <c r="P650" t="n">
        <v>0</v>
      </c>
      <c r="Q650" t="n">
        <v>0</v>
      </c>
      <c r="R650" s="2" t="inlineStr"/>
    </row>
    <row r="651" ht="15" customHeight="1">
      <c r="A651" t="inlineStr">
        <is>
          <t>A 66608-2021</t>
        </is>
      </c>
      <c r="B651" s="1" t="n">
        <v>44519</v>
      </c>
      <c r="C651" s="1" t="n">
        <v>45657</v>
      </c>
      <c r="D651" t="inlineStr">
        <is>
          <t>STOCKHOLMS LÄN</t>
        </is>
      </c>
      <c r="E651" t="inlineStr">
        <is>
          <t>NORRTÄLJE</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66592-2021</t>
        </is>
      </c>
      <c r="B652" s="1" t="n">
        <v>44519</v>
      </c>
      <c r="C652" s="1" t="n">
        <v>45657</v>
      </c>
      <c r="D652" t="inlineStr">
        <is>
          <t>STOCKHOLMS LÄN</t>
        </is>
      </c>
      <c r="E652" t="inlineStr">
        <is>
          <t>NORRTÄLJE</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66769-2021</t>
        </is>
      </c>
      <c r="B653" s="1" t="n">
        <v>44521</v>
      </c>
      <c r="C653" s="1" t="n">
        <v>45657</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67285-2021</t>
        </is>
      </c>
      <c r="B654" s="1" t="n">
        <v>44523</v>
      </c>
      <c r="C654" s="1" t="n">
        <v>45657</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67525-2021</t>
        </is>
      </c>
      <c r="B655" s="1" t="n">
        <v>44524</v>
      </c>
      <c r="C655" s="1" t="n">
        <v>45657</v>
      </c>
      <c r="D655" t="inlineStr">
        <is>
          <t>STOCKHOLMS LÄN</t>
        </is>
      </c>
      <c r="E655" t="inlineStr">
        <is>
          <t>NORRTÄLJE</t>
        </is>
      </c>
      <c r="G655" t="n">
        <v>0.8</v>
      </c>
      <c r="H655" t="n">
        <v>0</v>
      </c>
      <c r="I655" t="n">
        <v>0</v>
      </c>
      <c r="J655" t="n">
        <v>0</v>
      </c>
      <c r="K655" t="n">
        <v>0</v>
      </c>
      <c r="L655" t="n">
        <v>0</v>
      </c>
      <c r="M655" t="n">
        <v>0</v>
      </c>
      <c r="N655" t="n">
        <v>0</v>
      </c>
      <c r="O655" t="n">
        <v>0</v>
      </c>
      <c r="P655" t="n">
        <v>0</v>
      </c>
      <c r="Q655" t="n">
        <v>0</v>
      </c>
      <c r="R655" s="2" t="inlineStr"/>
    </row>
    <row r="656" ht="15" customHeight="1">
      <c r="A656" t="inlineStr">
        <is>
          <t>A 67598-2021</t>
        </is>
      </c>
      <c r="B656" s="1" t="n">
        <v>44524</v>
      </c>
      <c r="C656" s="1" t="n">
        <v>45657</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67921-2021</t>
        </is>
      </c>
      <c r="B657" s="1" t="n">
        <v>44525</v>
      </c>
      <c r="C657" s="1" t="n">
        <v>45657</v>
      </c>
      <c r="D657" t="inlineStr">
        <is>
          <t>STOCKHOLMS LÄN</t>
        </is>
      </c>
      <c r="E657" t="inlineStr">
        <is>
          <t>NORRTÄLJE</t>
        </is>
      </c>
      <c r="G657" t="n">
        <v>6.3</v>
      </c>
      <c r="H657" t="n">
        <v>0</v>
      </c>
      <c r="I657" t="n">
        <v>0</v>
      </c>
      <c r="J657" t="n">
        <v>0</v>
      </c>
      <c r="K657" t="n">
        <v>0</v>
      </c>
      <c r="L657" t="n">
        <v>0</v>
      </c>
      <c r="M657" t="n">
        <v>0</v>
      </c>
      <c r="N657" t="n">
        <v>0</v>
      </c>
      <c r="O657" t="n">
        <v>0</v>
      </c>
      <c r="P657" t="n">
        <v>0</v>
      </c>
      <c r="Q657" t="n">
        <v>0</v>
      </c>
      <c r="R657" s="2" t="inlineStr"/>
    </row>
    <row r="658" ht="15" customHeight="1">
      <c r="A658" t="inlineStr">
        <is>
          <t>A 67990-2021</t>
        </is>
      </c>
      <c r="B658" s="1" t="n">
        <v>44525</v>
      </c>
      <c r="C658" s="1" t="n">
        <v>45657</v>
      </c>
      <c r="D658" t="inlineStr">
        <is>
          <t>STOCKHOLMS LÄN</t>
        </is>
      </c>
      <c r="E658" t="inlineStr">
        <is>
          <t>NORRTÄLJE</t>
        </is>
      </c>
      <c r="F658" t="inlineStr">
        <is>
          <t>Sveaskog</t>
        </is>
      </c>
      <c r="G658" t="n">
        <v>7.8</v>
      </c>
      <c r="H658" t="n">
        <v>0</v>
      </c>
      <c r="I658" t="n">
        <v>0</v>
      </c>
      <c r="J658" t="n">
        <v>0</v>
      </c>
      <c r="K658" t="n">
        <v>0</v>
      </c>
      <c r="L658" t="n">
        <v>0</v>
      </c>
      <c r="M658" t="n">
        <v>0</v>
      </c>
      <c r="N658" t="n">
        <v>0</v>
      </c>
      <c r="O658" t="n">
        <v>0</v>
      </c>
      <c r="P658" t="n">
        <v>0</v>
      </c>
      <c r="Q658" t="n">
        <v>0</v>
      </c>
      <c r="R658" s="2" t="inlineStr"/>
    </row>
    <row r="659" ht="15" customHeight="1">
      <c r="A659" t="inlineStr">
        <is>
          <t>A 67992-2021</t>
        </is>
      </c>
      <c r="B659" s="1" t="n">
        <v>44525</v>
      </c>
      <c r="C659" s="1" t="n">
        <v>45657</v>
      </c>
      <c r="D659" t="inlineStr">
        <is>
          <t>STOCKHOLMS LÄN</t>
        </is>
      </c>
      <c r="E659" t="inlineStr">
        <is>
          <t>NORRTÄLJE</t>
        </is>
      </c>
      <c r="F659" t="inlineStr">
        <is>
          <t>Sveaskog</t>
        </is>
      </c>
      <c r="G659" t="n">
        <v>4.6</v>
      </c>
      <c r="H659" t="n">
        <v>0</v>
      </c>
      <c r="I659" t="n">
        <v>0</v>
      </c>
      <c r="J659" t="n">
        <v>0</v>
      </c>
      <c r="K659" t="n">
        <v>0</v>
      </c>
      <c r="L659" t="n">
        <v>0</v>
      </c>
      <c r="M659" t="n">
        <v>0</v>
      </c>
      <c r="N659" t="n">
        <v>0</v>
      </c>
      <c r="O659" t="n">
        <v>0</v>
      </c>
      <c r="P659" t="n">
        <v>0</v>
      </c>
      <c r="Q659" t="n">
        <v>0</v>
      </c>
      <c r="R659" s="2" t="inlineStr"/>
    </row>
    <row r="660" ht="15" customHeight="1">
      <c r="A660" t="inlineStr">
        <is>
          <t>A 67993-2021</t>
        </is>
      </c>
      <c r="B660" s="1" t="n">
        <v>44525</v>
      </c>
      <c r="C660" s="1" t="n">
        <v>45657</v>
      </c>
      <c r="D660" t="inlineStr">
        <is>
          <t>STOCKHOLMS LÄN</t>
        </is>
      </c>
      <c r="E660" t="inlineStr">
        <is>
          <t>NORRTÄLJE</t>
        </is>
      </c>
      <c r="F660" t="inlineStr">
        <is>
          <t>Sveaskog</t>
        </is>
      </c>
      <c r="G660" t="n">
        <v>3.4</v>
      </c>
      <c r="H660" t="n">
        <v>0</v>
      </c>
      <c r="I660" t="n">
        <v>0</v>
      </c>
      <c r="J660" t="n">
        <v>0</v>
      </c>
      <c r="K660" t="n">
        <v>0</v>
      </c>
      <c r="L660" t="n">
        <v>0</v>
      </c>
      <c r="M660" t="n">
        <v>0</v>
      </c>
      <c r="N660" t="n">
        <v>0</v>
      </c>
      <c r="O660" t="n">
        <v>0</v>
      </c>
      <c r="P660" t="n">
        <v>0</v>
      </c>
      <c r="Q660" t="n">
        <v>0</v>
      </c>
      <c r="R660" s="2" t="inlineStr"/>
    </row>
    <row r="661" ht="15" customHeight="1">
      <c r="A661" t="inlineStr">
        <is>
          <t>A 68273-2021</t>
        </is>
      </c>
      <c r="B661" s="1" t="n">
        <v>44526</v>
      </c>
      <c r="C661" s="1" t="n">
        <v>45657</v>
      </c>
      <c r="D661" t="inlineStr">
        <is>
          <t>STOCKHOLMS LÄN</t>
        </is>
      </c>
      <c r="E661" t="inlineStr">
        <is>
          <t>NORRTÄLJE</t>
        </is>
      </c>
      <c r="G661" t="n">
        <v>5.3</v>
      </c>
      <c r="H661" t="n">
        <v>0</v>
      </c>
      <c r="I661" t="n">
        <v>0</v>
      </c>
      <c r="J661" t="n">
        <v>0</v>
      </c>
      <c r="K661" t="n">
        <v>0</v>
      </c>
      <c r="L661" t="n">
        <v>0</v>
      </c>
      <c r="M661" t="n">
        <v>0</v>
      </c>
      <c r="N661" t="n">
        <v>0</v>
      </c>
      <c r="O661" t="n">
        <v>0</v>
      </c>
      <c r="P661" t="n">
        <v>0</v>
      </c>
      <c r="Q661" t="n">
        <v>0</v>
      </c>
      <c r="R661" s="2" t="inlineStr"/>
    </row>
    <row r="662" ht="15" customHeight="1">
      <c r="A662" t="inlineStr">
        <is>
          <t>A 68361-2021</t>
        </is>
      </c>
      <c r="B662" s="1" t="n">
        <v>44528</v>
      </c>
      <c r="C662" s="1" t="n">
        <v>45657</v>
      </c>
      <c r="D662" t="inlineStr">
        <is>
          <t>STOCKHOLMS LÄN</t>
        </is>
      </c>
      <c r="E662" t="inlineStr">
        <is>
          <t>NORRTÄLJE</t>
        </is>
      </c>
      <c r="G662" t="n">
        <v>1.9</v>
      </c>
      <c r="H662" t="n">
        <v>0</v>
      </c>
      <c r="I662" t="n">
        <v>0</v>
      </c>
      <c r="J662" t="n">
        <v>0</v>
      </c>
      <c r="K662" t="n">
        <v>0</v>
      </c>
      <c r="L662" t="n">
        <v>0</v>
      </c>
      <c r="M662" t="n">
        <v>0</v>
      </c>
      <c r="N662" t="n">
        <v>0</v>
      </c>
      <c r="O662" t="n">
        <v>0</v>
      </c>
      <c r="P662" t="n">
        <v>0</v>
      </c>
      <c r="Q662" t="n">
        <v>0</v>
      </c>
      <c r="R662" s="2" t="inlineStr"/>
    </row>
    <row r="663" ht="15" customHeight="1">
      <c r="A663" t="inlineStr">
        <is>
          <t>A 69034-2021</t>
        </is>
      </c>
      <c r="B663" s="1" t="n">
        <v>44529</v>
      </c>
      <c r="C663" s="1" t="n">
        <v>45657</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69539-2021</t>
        </is>
      </c>
      <c r="B664" s="1" t="n">
        <v>44531</v>
      </c>
      <c r="C664" s="1" t="n">
        <v>45657</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69723-2021</t>
        </is>
      </c>
      <c r="B665" s="1" t="n">
        <v>44532</v>
      </c>
      <c r="C665" s="1" t="n">
        <v>45657</v>
      </c>
      <c r="D665" t="inlineStr">
        <is>
          <t>STOCKHOLMS LÄN</t>
        </is>
      </c>
      <c r="E665" t="inlineStr">
        <is>
          <t>NORRTÄLJE</t>
        </is>
      </c>
      <c r="G665" t="n">
        <v>1.6</v>
      </c>
      <c r="H665" t="n">
        <v>0</v>
      </c>
      <c r="I665" t="n">
        <v>0</v>
      </c>
      <c r="J665" t="n">
        <v>0</v>
      </c>
      <c r="K665" t="n">
        <v>0</v>
      </c>
      <c r="L665" t="n">
        <v>0</v>
      </c>
      <c r="M665" t="n">
        <v>0</v>
      </c>
      <c r="N665" t="n">
        <v>0</v>
      </c>
      <c r="O665" t="n">
        <v>0</v>
      </c>
      <c r="P665" t="n">
        <v>0</v>
      </c>
      <c r="Q665" t="n">
        <v>0</v>
      </c>
      <c r="R665" s="2" t="inlineStr"/>
    </row>
    <row r="666" ht="15" customHeight="1">
      <c r="A666" t="inlineStr">
        <is>
          <t>A 69816-2021</t>
        </is>
      </c>
      <c r="B666" s="1" t="n">
        <v>44532</v>
      </c>
      <c r="C666" s="1" t="n">
        <v>45657</v>
      </c>
      <c r="D666" t="inlineStr">
        <is>
          <t>STOCKHOLMS LÄN</t>
        </is>
      </c>
      <c r="E666" t="inlineStr">
        <is>
          <t>NORRTÄLJE</t>
        </is>
      </c>
      <c r="G666" t="n">
        <v>4.9</v>
      </c>
      <c r="H666" t="n">
        <v>0</v>
      </c>
      <c r="I666" t="n">
        <v>0</v>
      </c>
      <c r="J666" t="n">
        <v>0</v>
      </c>
      <c r="K666" t="n">
        <v>0</v>
      </c>
      <c r="L666" t="n">
        <v>0</v>
      </c>
      <c r="M666" t="n">
        <v>0</v>
      </c>
      <c r="N666" t="n">
        <v>0</v>
      </c>
      <c r="O666" t="n">
        <v>0</v>
      </c>
      <c r="P666" t="n">
        <v>0</v>
      </c>
      <c r="Q666" t="n">
        <v>0</v>
      </c>
      <c r="R666" s="2" t="inlineStr"/>
    </row>
    <row r="667" ht="15" customHeight="1">
      <c r="A667" t="inlineStr">
        <is>
          <t>A 70170-2021</t>
        </is>
      </c>
      <c r="B667" s="1" t="n">
        <v>44533</v>
      </c>
      <c r="C667" s="1" t="n">
        <v>45657</v>
      </c>
      <c r="D667" t="inlineStr">
        <is>
          <t>STOCKHOLMS LÄN</t>
        </is>
      </c>
      <c r="E667" t="inlineStr">
        <is>
          <t>NORRTÄLJE</t>
        </is>
      </c>
      <c r="G667" t="n">
        <v>2.7</v>
      </c>
      <c r="H667" t="n">
        <v>0</v>
      </c>
      <c r="I667" t="n">
        <v>0</v>
      </c>
      <c r="J667" t="n">
        <v>0</v>
      </c>
      <c r="K667" t="n">
        <v>0</v>
      </c>
      <c r="L667" t="n">
        <v>0</v>
      </c>
      <c r="M667" t="n">
        <v>0</v>
      </c>
      <c r="N667" t="n">
        <v>0</v>
      </c>
      <c r="O667" t="n">
        <v>0</v>
      </c>
      <c r="P667" t="n">
        <v>0</v>
      </c>
      <c r="Q667" t="n">
        <v>0</v>
      </c>
      <c r="R667" s="2" t="inlineStr"/>
    </row>
    <row r="668" ht="15" customHeight="1">
      <c r="A668" t="inlineStr">
        <is>
          <t>A 69988-2021</t>
        </is>
      </c>
      <c r="B668" s="1" t="n">
        <v>44533</v>
      </c>
      <c r="C668" s="1" t="n">
        <v>45657</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70469-2021</t>
        </is>
      </c>
      <c r="B669" s="1" t="n">
        <v>44536</v>
      </c>
      <c r="C669" s="1" t="n">
        <v>45657</v>
      </c>
      <c r="D669" t="inlineStr">
        <is>
          <t>STOCKHOLMS LÄN</t>
        </is>
      </c>
      <c r="E669" t="inlineStr">
        <is>
          <t>NORRTÄLJE</t>
        </is>
      </c>
      <c r="F669" t="inlineStr">
        <is>
          <t>Holmen skog AB</t>
        </is>
      </c>
      <c r="G669" t="n">
        <v>2.5</v>
      </c>
      <c r="H669" t="n">
        <v>0</v>
      </c>
      <c r="I669" t="n">
        <v>0</v>
      </c>
      <c r="J669" t="n">
        <v>0</v>
      </c>
      <c r="K669" t="n">
        <v>0</v>
      </c>
      <c r="L669" t="n">
        <v>0</v>
      </c>
      <c r="M669" t="n">
        <v>0</v>
      </c>
      <c r="N669" t="n">
        <v>0</v>
      </c>
      <c r="O669" t="n">
        <v>0</v>
      </c>
      <c r="P669" t="n">
        <v>0</v>
      </c>
      <c r="Q669" t="n">
        <v>0</v>
      </c>
      <c r="R669" s="2" t="inlineStr"/>
    </row>
    <row r="670" ht="15" customHeight="1">
      <c r="A670" t="inlineStr">
        <is>
          <t>A 71325-2021</t>
        </is>
      </c>
      <c r="B670" s="1" t="n">
        <v>44539</v>
      </c>
      <c r="C670" s="1" t="n">
        <v>45657</v>
      </c>
      <c r="D670" t="inlineStr">
        <is>
          <t>STOCKHOLMS LÄN</t>
        </is>
      </c>
      <c r="E670" t="inlineStr">
        <is>
          <t>NORRTÄLJE</t>
        </is>
      </c>
      <c r="G670" t="n">
        <v>2.1</v>
      </c>
      <c r="H670" t="n">
        <v>0</v>
      </c>
      <c r="I670" t="n">
        <v>0</v>
      </c>
      <c r="J670" t="n">
        <v>0</v>
      </c>
      <c r="K670" t="n">
        <v>0</v>
      </c>
      <c r="L670" t="n">
        <v>0</v>
      </c>
      <c r="M670" t="n">
        <v>0</v>
      </c>
      <c r="N670" t="n">
        <v>0</v>
      </c>
      <c r="O670" t="n">
        <v>0</v>
      </c>
      <c r="P670" t="n">
        <v>0</v>
      </c>
      <c r="Q670" t="n">
        <v>0</v>
      </c>
      <c r="R670" s="2" t="inlineStr"/>
    </row>
    <row r="671" ht="15" customHeight="1">
      <c r="A671" t="inlineStr">
        <is>
          <t>A 71552-2021</t>
        </is>
      </c>
      <c r="B671" s="1" t="n">
        <v>44540</v>
      </c>
      <c r="C671" s="1" t="n">
        <v>45657</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71479-2021</t>
        </is>
      </c>
      <c r="B672" s="1" t="n">
        <v>44540</v>
      </c>
      <c r="C672" s="1" t="n">
        <v>45657</v>
      </c>
      <c r="D672" t="inlineStr">
        <is>
          <t>STOCKHOLMS LÄN</t>
        </is>
      </c>
      <c r="E672" t="inlineStr">
        <is>
          <t>NORRTÄLJE</t>
        </is>
      </c>
      <c r="G672" t="n">
        <v>3</v>
      </c>
      <c r="H672" t="n">
        <v>0</v>
      </c>
      <c r="I672" t="n">
        <v>0</v>
      </c>
      <c r="J672" t="n">
        <v>0</v>
      </c>
      <c r="K672" t="n">
        <v>0</v>
      </c>
      <c r="L672" t="n">
        <v>0</v>
      </c>
      <c r="M672" t="n">
        <v>0</v>
      </c>
      <c r="N672" t="n">
        <v>0</v>
      </c>
      <c r="O672" t="n">
        <v>0</v>
      </c>
      <c r="P672" t="n">
        <v>0</v>
      </c>
      <c r="Q672" t="n">
        <v>0</v>
      </c>
      <c r="R672" s="2" t="inlineStr"/>
    </row>
    <row r="673" ht="15" customHeight="1">
      <c r="A673" t="inlineStr">
        <is>
          <t>A 71543-2021</t>
        </is>
      </c>
      <c r="B673" s="1" t="n">
        <v>44540</v>
      </c>
      <c r="C673" s="1" t="n">
        <v>45657</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71873-2021</t>
        </is>
      </c>
      <c r="B674" s="1" t="n">
        <v>44543</v>
      </c>
      <c r="C674" s="1" t="n">
        <v>45657</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71876-2021</t>
        </is>
      </c>
      <c r="B675" s="1" t="n">
        <v>44543</v>
      </c>
      <c r="C675" s="1" t="n">
        <v>45657</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71880-2021</t>
        </is>
      </c>
      <c r="B676" s="1" t="n">
        <v>44543</v>
      </c>
      <c r="C676" s="1" t="n">
        <v>45657</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71871-2021</t>
        </is>
      </c>
      <c r="B677" s="1" t="n">
        <v>44543</v>
      </c>
      <c r="C677" s="1" t="n">
        <v>45657</v>
      </c>
      <c r="D677" t="inlineStr">
        <is>
          <t>STOCKHOLMS LÄN</t>
        </is>
      </c>
      <c r="E677" t="inlineStr">
        <is>
          <t>NORRTÄLJE</t>
        </is>
      </c>
      <c r="G677" t="n">
        <v>2.5</v>
      </c>
      <c r="H677" t="n">
        <v>0</v>
      </c>
      <c r="I677" t="n">
        <v>0</v>
      </c>
      <c r="J677" t="n">
        <v>0</v>
      </c>
      <c r="K677" t="n">
        <v>0</v>
      </c>
      <c r="L677" t="n">
        <v>0</v>
      </c>
      <c r="M677" t="n">
        <v>0</v>
      </c>
      <c r="N677" t="n">
        <v>0</v>
      </c>
      <c r="O677" t="n">
        <v>0</v>
      </c>
      <c r="P677" t="n">
        <v>0</v>
      </c>
      <c r="Q677" t="n">
        <v>0</v>
      </c>
      <c r="R677" s="2" t="inlineStr"/>
    </row>
    <row r="678" ht="15" customHeight="1">
      <c r="A678" t="inlineStr">
        <is>
          <t>A 71878-2021</t>
        </is>
      </c>
      <c r="B678" s="1" t="n">
        <v>44543</v>
      </c>
      <c r="C678" s="1" t="n">
        <v>45657</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72085-2021</t>
        </is>
      </c>
      <c r="B679" s="1" t="n">
        <v>44544</v>
      </c>
      <c r="C679" s="1" t="n">
        <v>45657</v>
      </c>
      <c r="D679" t="inlineStr">
        <is>
          <t>STOCKHOLMS LÄN</t>
        </is>
      </c>
      <c r="E679" t="inlineStr">
        <is>
          <t>NORRTÄLJE</t>
        </is>
      </c>
      <c r="G679" t="n">
        <v>4.9</v>
      </c>
      <c r="H679" t="n">
        <v>0</v>
      </c>
      <c r="I679" t="n">
        <v>0</v>
      </c>
      <c r="J679" t="n">
        <v>0</v>
      </c>
      <c r="K679" t="n">
        <v>0</v>
      </c>
      <c r="L679" t="n">
        <v>0</v>
      </c>
      <c r="M679" t="n">
        <v>0</v>
      </c>
      <c r="N679" t="n">
        <v>0</v>
      </c>
      <c r="O679" t="n">
        <v>0</v>
      </c>
      <c r="P679" t="n">
        <v>0</v>
      </c>
      <c r="Q679" t="n">
        <v>0</v>
      </c>
      <c r="R679" s="2" t="inlineStr"/>
    </row>
    <row r="680" ht="15" customHeight="1">
      <c r="A680" t="inlineStr">
        <is>
          <t>A 72202-2021</t>
        </is>
      </c>
      <c r="B680" s="1" t="n">
        <v>44544</v>
      </c>
      <c r="C680" s="1" t="n">
        <v>45657</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72308-2021</t>
        </is>
      </c>
      <c r="B681" s="1" t="n">
        <v>44545</v>
      </c>
      <c r="C681" s="1" t="n">
        <v>45657</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72343-2021</t>
        </is>
      </c>
      <c r="B682" s="1" t="n">
        <v>44545</v>
      </c>
      <c r="C682" s="1" t="n">
        <v>45657</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72357-2021</t>
        </is>
      </c>
      <c r="B683" s="1" t="n">
        <v>44545</v>
      </c>
      <c r="C683" s="1" t="n">
        <v>45657</v>
      </c>
      <c r="D683" t="inlineStr">
        <is>
          <t>STOCKHOLMS LÄN</t>
        </is>
      </c>
      <c r="E683" t="inlineStr">
        <is>
          <t>NORRTÄLJE</t>
        </is>
      </c>
      <c r="G683" t="n">
        <v>5.1</v>
      </c>
      <c r="H683" t="n">
        <v>0</v>
      </c>
      <c r="I683" t="n">
        <v>0</v>
      </c>
      <c r="J683" t="n">
        <v>0</v>
      </c>
      <c r="K683" t="n">
        <v>0</v>
      </c>
      <c r="L683" t="n">
        <v>0</v>
      </c>
      <c r="M683" t="n">
        <v>0</v>
      </c>
      <c r="N683" t="n">
        <v>0</v>
      </c>
      <c r="O683" t="n">
        <v>0</v>
      </c>
      <c r="P683" t="n">
        <v>0</v>
      </c>
      <c r="Q683" t="n">
        <v>0</v>
      </c>
      <c r="R683" s="2" t="inlineStr"/>
    </row>
    <row r="684" ht="15" customHeight="1">
      <c r="A684" t="inlineStr">
        <is>
          <t>A 72355-2021</t>
        </is>
      </c>
      <c r="B684" s="1" t="n">
        <v>44545</v>
      </c>
      <c r="C684" s="1" t="n">
        <v>45657</v>
      </c>
      <c r="D684" t="inlineStr">
        <is>
          <t>STOCKHOLMS LÄN</t>
        </is>
      </c>
      <c r="E684" t="inlineStr">
        <is>
          <t>NORRTÄLJE</t>
        </is>
      </c>
      <c r="G684" t="n">
        <v>3.6</v>
      </c>
      <c r="H684" t="n">
        <v>0</v>
      </c>
      <c r="I684" t="n">
        <v>0</v>
      </c>
      <c r="J684" t="n">
        <v>0</v>
      </c>
      <c r="K684" t="n">
        <v>0</v>
      </c>
      <c r="L684" t="n">
        <v>0</v>
      </c>
      <c r="M684" t="n">
        <v>0</v>
      </c>
      <c r="N684" t="n">
        <v>0</v>
      </c>
      <c r="O684" t="n">
        <v>0</v>
      </c>
      <c r="P684" t="n">
        <v>0</v>
      </c>
      <c r="Q684" t="n">
        <v>0</v>
      </c>
      <c r="R684" s="2" t="inlineStr"/>
    </row>
    <row r="685" ht="15" customHeight="1">
      <c r="A685" t="inlineStr">
        <is>
          <t>A 72353-2021</t>
        </is>
      </c>
      <c r="B685" s="1" t="n">
        <v>44545</v>
      </c>
      <c r="C685" s="1" t="n">
        <v>45657</v>
      </c>
      <c r="D685" t="inlineStr">
        <is>
          <t>STOCKHOLMS LÄN</t>
        </is>
      </c>
      <c r="E685" t="inlineStr">
        <is>
          <t>NORRTÄLJE</t>
        </is>
      </c>
      <c r="G685" t="n">
        <v>1</v>
      </c>
      <c r="H685" t="n">
        <v>0</v>
      </c>
      <c r="I685" t="n">
        <v>0</v>
      </c>
      <c r="J685" t="n">
        <v>0</v>
      </c>
      <c r="K685" t="n">
        <v>0</v>
      </c>
      <c r="L685" t="n">
        <v>0</v>
      </c>
      <c r="M685" t="n">
        <v>0</v>
      </c>
      <c r="N685" t="n">
        <v>0</v>
      </c>
      <c r="O685" t="n">
        <v>0</v>
      </c>
      <c r="P685" t="n">
        <v>0</v>
      </c>
      <c r="Q685" t="n">
        <v>0</v>
      </c>
      <c r="R685" s="2" t="inlineStr"/>
    </row>
    <row r="686" ht="15" customHeight="1">
      <c r="A686" t="inlineStr">
        <is>
          <t>A 72747-2021</t>
        </is>
      </c>
      <c r="B686" s="1" t="n">
        <v>44546</v>
      </c>
      <c r="C686" s="1" t="n">
        <v>45657</v>
      </c>
      <c r="D686" t="inlineStr">
        <is>
          <t>STOCKHOLMS LÄN</t>
        </is>
      </c>
      <c r="E686" t="inlineStr">
        <is>
          <t>NORRTÄLJE</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72704-2021</t>
        </is>
      </c>
      <c r="B687" s="1" t="n">
        <v>44546</v>
      </c>
      <c r="C687" s="1" t="n">
        <v>45657</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72890-2021</t>
        </is>
      </c>
      <c r="B688" s="1" t="n">
        <v>44547</v>
      </c>
      <c r="C688" s="1" t="n">
        <v>45657</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73311-2021</t>
        </is>
      </c>
      <c r="B689" s="1" t="n">
        <v>44549</v>
      </c>
      <c r="C689" s="1" t="n">
        <v>45657</v>
      </c>
      <c r="D689" t="inlineStr">
        <is>
          <t>STOCKHOLMS LÄN</t>
        </is>
      </c>
      <c r="E689" t="inlineStr">
        <is>
          <t>NORRTÄLJE</t>
        </is>
      </c>
      <c r="G689" t="n">
        <v>5.2</v>
      </c>
      <c r="H689" t="n">
        <v>0</v>
      </c>
      <c r="I689" t="n">
        <v>0</v>
      </c>
      <c r="J689" t="n">
        <v>0</v>
      </c>
      <c r="K689" t="n">
        <v>0</v>
      </c>
      <c r="L689" t="n">
        <v>0</v>
      </c>
      <c r="M689" t="n">
        <v>0</v>
      </c>
      <c r="N689" t="n">
        <v>0</v>
      </c>
      <c r="O689" t="n">
        <v>0</v>
      </c>
      <c r="P689" t="n">
        <v>0</v>
      </c>
      <c r="Q689" t="n">
        <v>0</v>
      </c>
      <c r="R689" s="2" t="inlineStr"/>
    </row>
    <row r="690" ht="15" customHeight="1">
      <c r="A690" t="inlineStr">
        <is>
          <t>A 73307-2021</t>
        </is>
      </c>
      <c r="B690" s="1" t="n">
        <v>44549</v>
      </c>
      <c r="C690" s="1" t="n">
        <v>45657</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73271-2021</t>
        </is>
      </c>
      <c r="B691" s="1" t="n">
        <v>44550</v>
      </c>
      <c r="C691" s="1" t="n">
        <v>45657</v>
      </c>
      <c r="D691" t="inlineStr">
        <is>
          <t>STOCKHOLMS LÄN</t>
        </is>
      </c>
      <c r="E691" t="inlineStr">
        <is>
          <t>NORRTÄLJE</t>
        </is>
      </c>
      <c r="G691" t="n">
        <v>2</v>
      </c>
      <c r="H691" t="n">
        <v>0</v>
      </c>
      <c r="I691" t="n">
        <v>0</v>
      </c>
      <c r="J691" t="n">
        <v>0</v>
      </c>
      <c r="K691" t="n">
        <v>0</v>
      </c>
      <c r="L691" t="n">
        <v>0</v>
      </c>
      <c r="M691" t="n">
        <v>0</v>
      </c>
      <c r="N691" t="n">
        <v>0</v>
      </c>
      <c r="O691" t="n">
        <v>0</v>
      </c>
      <c r="P691" t="n">
        <v>0</v>
      </c>
      <c r="Q691" t="n">
        <v>0</v>
      </c>
      <c r="R691" s="2" t="inlineStr"/>
    </row>
    <row r="692" ht="15" customHeight="1">
      <c r="A692" t="inlineStr">
        <is>
          <t>A 73504-2021</t>
        </is>
      </c>
      <c r="B692" s="1" t="n">
        <v>44551</v>
      </c>
      <c r="C692" s="1" t="n">
        <v>45657</v>
      </c>
      <c r="D692" t="inlineStr">
        <is>
          <t>STOCKHOLMS LÄN</t>
        </is>
      </c>
      <c r="E692" t="inlineStr">
        <is>
          <t>NORRTÄLJE</t>
        </is>
      </c>
      <c r="G692" t="n">
        <v>4.7</v>
      </c>
      <c r="H692" t="n">
        <v>0</v>
      </c>
      <c r="I692" t="n">
        <v>0</v>
      </c>
      <c r="J692" t="n">
        <v>0</v>
      </c>
      <c r="K692" t="n">
        <v>0</v>
      </c>
      <c r="L692" t="n">
        <v>0</v>
      </c>
      <c r="M692" t="n">
        <v>0</v>
      </c>
      <c r="N692" t="n">
        <v>0</v>
      </c>
      <c r="O692" t="n">
        <v>0</v>
      </c>
      <c r="P692" t="n">
        <v>0</v>
      </c>
      <c r="Q692" t="n">
        <v>0</v>
      </c>
      <c r="R692" s="2" t="inlineStr"/>
    </row>
    <row r="693" ht="15" customHeight="1">
      <c r="A693" t="inlineStr">
        <is>
          <t>A 73855-2021</t>
        </is>
      </c>
      <c r="B693" s="1" t="n">
        <v>44552</v>
      </c>
      <c r="C693" s="1" t="n">
        <v>45657</v>
      </c>
      <c r="D693" t="inlineStr">
        <is>
          <t>STOCKHOLMS LÄN</t>
        </is>
      </c>
      <c r="E693" t="inlineStr">
        <is>
          <t>NORRTÄLJE</t>
        </is>
      </c>
      <c r="F693" t="inlineStr">
        <is>
          <t>Övriga Aktiebolag</t>
        </is>
      </c>
      <c r="G693" t="n">
        <v>4</v>
      </c>
      <c r="H693" t="n">
        <v>0</v>
      </c>
      <c r="I693" t="n">
        <v>0</v>
      </c>
      <c r="J693" t="n">
        <v>0</v>
      </c>
      <c r="K693" t="n">
        <v>0</v>
      </c>
      <c r="L693" t="n">
        <v>0</v>
      </c>
      <c r="M693" t="n">
        <v>0</v>
      </c>
      <c r="N693" t="n">
        <v>0</v>
      </c>
      <c r="O693" t="n">
        <v>0</v>
      </c>
      <c r="P693" t="n">
        <v>0</v>
      </c>
      <c r="Q693" t="n">
        <v>0</v>
      </c>
      <c r="R693" s="2" t="inlineStr"/>
    </row>
    <row r="694" ht="15" customHeight="1">
      <c r="A694" t="inlineStr">
        <is>
          <t>A 73992-2021</t>
        </is>
      </c>
      <c r="B694" s="1" t="n">
        <v>44556</v>
      </c>
      <c r="C694" s="1" t="n">
        <v>45657</v>
      </c>
      <c r="D694" t="inlineStr">
        <is>
          <t>STOCKHOLMS LÄN</t>
        </is>
      </c>
      <c r="E694" t="inlineStr">
        <is>
          <t>NORRTÄLJE</t>
        </is>
      </c>
      <c r="G694" t="n">
        <v>12.5</v>
      </c>
      <c r="H694" t="n">
        <v>0</v>
      </c>
      <c r="I694" t="n">
        <v>0</v>
      </c>
      <c r="J694" t="n">
        <v>0</v>
      </c>
      <c r="K694" t="n">
        <v>0</v>
      </c>
      <c r="L694" t="n">
        <v>0</v>
      </c>
      <c r="M694" t="n">
        <v>0</v>
      </c>
      <c r="N694" t="n">
        <v>0</v>
      </c>
      <c r="O694" t="n">
        <v>0</v>
      </c>
      <c r="P694" t="n">
        <v>0</v>
      </c>
      <c r="Q694" t="n">
        <v>0</v>
      </c>
      <c r="R694" s="2" t="inlineStr"/>
    </row>
    <row r="695" ht="15" customHeight="1">
      <c r="A695" t="inlineStr">
        <is>
          <t>A 73993-2021</t>
        </is>
      </c>
      <c r="B695" s="1" t="n">
        <v>44556</v>
      </c>
      <c r="C695" s="1" t="n">
        <v>45657</v>
      </c>
      <c r="D695" t="inlineStr">
        <is>
          <t>STOCKHOLMS LÄN</t>
        </is>
      </c>
      <c r="E695" t="inlineStr">
        <is>
          <t>NORRTÄLJE</t>
        </is>
      </c>
      <c r="G695" t="n">
        <v>5</v>
      </c>
      <c r="H695" t="n">
        <v>0</v>
      </c>
      <c r="I695" t="n">
        <v>0</v>
      </c>
      <c r="J695" t="n">
        <v>0</v>
      </c>
      <c r="K695" t="n">
        <v>0</v>
      </c>
      <c r="L695" t="n">
        <v>0</v>
      </c>
      <c r="M695" t="n">
        <v>0</v>
      </c>
      <c r="N695" t="n">
        <v>0</v>
      </c>
      <c r="O695" t="n">
        <v>0</v>
      </c>
      <c r="P695" t="n">
        <v>0</v>
      </c>
      <c r="Q695" t="n">
        <v>0</v>
      </c>
      <c r="R695" s="2" t="inlineStr"/>
    </row>
    <row r="696" ht="15" customHeight="1">
      <c r="A696" t="inlineStr">
        <is>
          <t>A 74468-2021</t>
        </is>
      </c>
      <c r="B696" s="1" t="n">
        <v>44560</v>
      </c>
      <c r="C696" s="1" t="n">
        <v>45657</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185-2022</t>
        </is>
      </c>
      <c r="B697" s="1" t="n">
        <v>44564</v>
      </c>
      <c r="C697" s="1" t="n">
        <v>45657</v>
      </c>
      <c r="D697" t="inlineStr">
        <is>
          <t>STOCKHOLMS LÄN</t>
        </is>
      </c>
      <c r="E697" t="inlineStr">
        <is>
          <t>NORRTÄLJE</t>
        </is>
      </c>
      <c r="G697" t="n">
        <v>3.8</v>
      </c>
      <c r="H697" t="n">
        <v>0</v>
      </c>
      <c r="I697" t="n">
        <v>0</v>
      </c>
      <c r="J697" t="n">
        <v>0</v>
      </c>
      <c r="K697" t="n">
        <v>0</v>
      </c>
      <c r="L697" t="n">
        <v>0</v>
      </c>
      <c r="M697" t="n">
        <v>0</v>
      </c>
      <c r="N697" t="n">
        <v>0</v>
      </c>
      <c r="O697" t="n">
        <v>0</v>
      </c>
      <c r="P697" t="n">
        <v>0</v>
      </c>
      <c r="Q697" t="n">
        <v>0</v>
      </c>
      <c r="R697" s="2" t="inlineStr"/>
    </row>
    <row r="698" ht="15" customHeight="1">
      <c r="A698" t="inlineStr">
        <is>
          <t>A 190-2022</t>
        </is>
      </c>
      <c r="B698" s="1" t="n">
        <v>44564</v>
      </c>
      <c r="C698" s="1" t="n">
        <v>45657</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187-2022</t>
        </is>
      </c>
      <c r="B699" s="1" t="n">
        <v>44564</v>
      </c>
      <c r="C699" s="1" t="n">
        <v>45657</v>
      </c>
      <c r="D699" t="inlineStr">
        <is>
          <t>STOCKHOLMS LÄN</t>
        </is>
      </c>
      <c r="E699" t="inlineStr">
        <is>
          <t>NORRTÄLJE</t>
        </is>
      </c>
      <c r="G699" t="n">
        <v>2.6</v>
      </c>
      <c r="H699" t="n">
        <v>0</v>
      </c>
      <c r="I699" t="n">
        <v>0</v>
      </c>
      <c r="J699" t="n">
        <v>0</v>
      </c>
      <c r="K699" t="n">
        <v>0</v>
      </c>
      <c r="L699" t="n">
        <v>0</v>
      </c>
      <c r="M699" t="n">
        <v>0</v>
      </c>
      <c r="N699" t="n">
        <v>0</v>
      </c>
      <c r="O699" t="n">
        <v>0</v>
      </c>
      <c r="P699" t="n">
        <v>0</v>
      </c>
      <c r="Q699" t="n">
        <v>0</v>
      </c>
      <c r="R699" s="2" t="inlineStr"/>
    </row>
    <row r="700" ht="15" customHeight="1">
      <c r="A700" t="inlineStr">
        <is>
          <t>A 77-2022</t>
        </is>
      </c>
      <c r="B700" s="1" t="n">
        <v>44564</v>
      </c>
      <c r="C700" s="1" t="n">
        <v>45657</v>
      </c>
      <c r="D700" t="inlineStr">
        <is>
          <t>STOCKHOLMS LÄN</t>
        </is>
      </c>
      <c r="E700" t="inlineStr">
        <is>
          <t>NORRTÄLJE</t>
        </is>
      </c>
      <c r="G700" t="n">
        <v>4.1</v>
      </c>
      <c r="H700" t="n">
        <v>0</v>
      </c>
      <c r="I700" t="n">
        <v>0</v>
      </c>
      <c r="J700" t="n">
        <v>0</v>
      </c>
      <c r="K700" t="n">
        <v>0</v>
      </c>
      <c r="L700" t="n">
        <v>0</v>
      </c>
      <c r="M700" t="n">
        <v>0</v>
      </c>
      <c r="N700" t="n">
        <v>0</v>
      </c>
      <c r="O700" t="n">
        <v>0</v>
      </c>
      <c r="P700" t="n">
        <v>0</v>
      </c>
      <c r="Q700" t="n">
        <v>0</v>
      </c>
      <c r="R700" s="2" t="inlineStr"/>
    </row>
    <row r="701" ht="15" customHeight="1">
      <c r="A701" t="inlineStr">
        <is>
          <t>A 459-2022</t>
        </is>
      </c>
      <c r="B701" s="1" t="n">
        <v>44565</v>
      </c>
      <c r="C701" s="1" t="n">
        <v>45657</v>
      </c>
      <c r="D701" t="inlineStr">
        <is>
          <t>STOCKHOLMS LÄN</t>
        </is>
      </c>
      <c r="E701" t="inlineStr">
        <is>
          <t>NORRTÄLJE</t>
        </is>
      </c>
      <c r="F701" t="inlineStr">
        <is>
          <t>Övriga Aktiebolag</t>
        </is>
      </c>
      <c r="G701" t="n">
        <v>17.3</v>
      </c>
      <c r="H701" t="n">
        <v>0</v>
      </c>
      <c r="I701" t="n">
        <v>0</v>
      </c>
      <c r="J701" t="n">
        <v>0</v>
      </c>
      <c r="K701" t="n">
        <v>0</v>
      </c>
      <c r="L701" t="n">
        <v>0</v>
      </c>
      <c r="M701" t="n">
        <v>0</v>
      </c>
      <c r="N701" t="n">
        <v>0</v>
      </c>
      <c r="O701" t="n">
        <v>0</v>
      </c>
      <c r="P701" t="n">
        <v>0</v>
      </c>
      <c r="Q701" t="n">
        <v>0</v>
      </c>
      <c r="R701" s="2" t="inlineStr"/>
    </row>
    <row r="702" ht="15" customHeight="1">
      <c r="A702" t="inlineStr">
        <is>
          <t>A 1058-2022</t>
        </is>
      </c>
      <c r="B702" s="1" t="n">
        <v>44571</v>
      </c>
      <c r="C702" s="1" t="n">
        <v>45657</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1051-2022</t>
        </is>
      </c>
      <c r="B703" s="1" t="n">
        <v>44571</v>
      </c>
      <c r="C703" s="1" t="n">
        <v>45657</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1054-2022</t>
        </is>
      </c>
      <c r="B704" s="1" t="n">
        <v>44571</v>
      </c>
      <c r="C704" s="1" t="n">
        <v>45657</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1229-2022</t>
        </is>
      </c>
      <c r="B705" s="1" t="n">
        <v>44572</v>
      </c>
      <c r="C705" s="1" t="n">
        <v>45657</v>
      </c>
      <c r="D705" t="inlineStr">
        <is>
          <t>STOCKHOLMS LÄN</t>
        </is>
      </c>
      <c r="E705" t="inlineStr">
        <is>
          <t>NORRTÄLJE</t>
        </is>
      </c>
      <c r="G705" t="n">
        <v>11.5</v>
      </c>
      <c r="H705" t="n">
        <v>0</v>
      </c>
      <c r="I705" t="n">
        <v>0</v>
      </c>
      <c r="J705" t="n">
        <v>0</v>
      </c>
      <c r="K705" t="n">
        <v>0</v>
      </c>
      <c r="L705" t="n">
        <v>0</v>
      </c>
      <c r="M705" t="n">
        <v>0</v>
      </c>
      <c r="N705" t="n">
        <v>0</v>
      </c>
      <c r="O705" t="n">
        <v>0</v>
      </c>
      <c r="P705" t="n">
        <v>0</v>
      </c>
      <c r="Q705" t="n">
        <v>0</v>
      </c>
      <c r="R705" s="2" t="inlineStr"/>
    </row>
    <row r="706" ht="15" customHeight="1">
      <c r="A706" t="inlineStr">
        <is>
          <t>A 1704-2022</t>
        </is>
      </c>
      <c r="B706" s="1" t="n">
        <v>44574</v>
      </c>
      <c r="C706" s="1" t="n">
        <v>45657</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1968-2022</t>
        </is>
      </c>
      <c r="B707" s="1" t="n">
        <v>44575</v>
      </c>
      <c r="C707" s="1" t="n">
        <v>45657</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2182-2022</t>
        </is>
      </c>
      <c r="B708" s="1" t="n">
        <v>44578</v>
      </c>
      <c r="C708" s="1" t="n">
        <v>45657</v>
      </c>
      <c r="D708" t="inlineStr">
        <is>
          <t>STOCKHOLMS LÄN</t>
        </is>
      </c>
      <c r="E708" t="inlineStr">
        <is>
          <t>NORRTÄLJE</t>
        </is>
      </c>
      <c r="G708" t="n">
        <v>7.2</v>
      </c>
      <c r="H708" t="n">
        <v>0</v>
      </c>
      <c r="I708" t="n">
        <v>0</v>
      </c>
      <c r="J708" t="n">
        <v>0</v>
      </c>
      <c r="K708" t="n">
        <v>0</v>
      </c>
      <c r="L708" t="n">
        <v>0</v>
      </c>
      <c r="M708" t="n">
        <v>0</v>
      </c>
      <c r="N708" t="n">
        <v>0</v>
      </c>
      <c r="O708" t="n">
        <v>0</v>
      </c>
      <c r="P708" t="n">
        <v>0</v>
      </c>
      <c r="Q708" t="n">
        <v>0</v>
      </c>
      <c r="R708" s="2" t="inlineStr"/>
    </row>
    <row r="709" ht="15" customHeight="1">
      <c r="A709" t="inlineStr">
        <is>
          <t>A 2549-2022</t>
        </is>
      </c>
      <c r="B709" s="1" t="n">
        <v>44580</v>
      </c>
      <c r="C709" s="1" t="n">
        <v>45657</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2732-2022</t>
        </is>
      </c>
      <c r="B710" s="1" t="n">
        <v>44580</v>
      </c>
      <c r="C710" s="1" t="n">
        <v>45657</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2888-2022</t>
        </is>
      </c>
      <c r="B711" s="1" t="n">
        <v>44581</v>
      </c>
      <c r="C711" s="1" t="n">
        <v>45657</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2977-2022</t>
        </is>
      </c>
      <c r="B712" s="1" t="n">
        <v>44581</v>
      </c>
      <c r="C712" s="1" t="n">
        <v>45657</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3300-2022</t>
        </is>
      </c>
      <c r="B713" s="1" t="n">
        <v>44584</v>
      </c>
      <c r="C713" s="1" t="n">
        <v>45657</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3310-2022</t>
        </is>
      </c>
      <c r="B714" s="1" t="n">
        <v>44584</v>
      </c>
      <c r="C714" s="1" t="n">
        <v>45657</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3396-2022</t>
        </is>
      </c>
      <c r="B715" s="1" t="n">
        <v>44585</v>
      </c>
      <c r="C715" s="1" t="n">
        <v>45657</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3509-2022</t>
        </is>
      </c>
      <c r="B716" s="1" t="n">
        <v>44585</v>
      </c>
      <c r="C716" s="1" t="n">
        <v>45657</v>
      </c>
      <c r="D716" t="inlineStr">
        <is>
          <t>STOCKHOLMS LÄN</t>
        </is>
      </c>
      <c r="E716" t="inlineStr">
        <is>
          <t>NORRTÄLJE</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4860-2022</t>
        </is>
      </c>
      <c r="B717" s="1" t="n">
        <v>44592</v>
      </c>
      <c r="C717" s="1" t="n">
        <v>45657</v>
      </c>
      <c r="D717" t="inlineStr">
        <is>
          <t>STOCKHOLMS LÄN</t>
        </is>
      </c>
      <c r="E717" t="inlineStr">
        <is>
          <t>NORRTÄLJE</t>
        </is>
      </c>
      <c r="G717" t="n">
        <v>22.3</v>
      </c>
      <c r="H717" t="n">
        <v>0</v>
      </c>
      <c r="I717" t="n">
        <v>0</v>
      </c>
      <c r="J717" t="n">
        <v>0</v>
      </c>
      <c r="K717" t="n">
        <v>0</v>
      </c>
      <c r="L717" t="n">
        <v>0</v>
      </c>
      <c r="M717" t="n">
        <v>0</v>
      </c>
      <c r="N717" t="n">
        <v>0</v>
      </c>
      <c r="O717" t="n">
        <v>0</v>
      </c>
      <c r="P717" t="n">
        <v>0</v>
      </c>
      <c r="Q717" t="n">
        <v>0</v>
      </c>
      <c r="R717" s="2" t="inlineStr"/>
    </row>
    <row r="718" ht="15" customHeight="1">
      <c r="A718" t="inlineStr">
        <is>
          <t>A 5351-2022</t>
        </is>
      </c>
      <c r="B718" s="1" t="n">
        <v>44594</v>
      </c>
      <c r="C718" s="1" t="n">
        <v>45657</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5513-2022</t>
        </is>
      </c>
      <c r="B719" s="1" t="n">
        <v>44595</v>
      </c>
      <c r="C719" s="1" t="n">
        <v>45657</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5611-2022</t>
        </is>
      </c>
      <c r="B720" s="1" t="n">
        <v>44595</v>
      </c>
      <c r="C720" s="1" t="n">
        <v>45657</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5831-2022</t>
        </is>
      </c>
      <c r="B721" s="1" t="n">
        <v>44596</v>
      </c>
      <c r="C721" s="1" t="n">
        <v>45657</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5867-2022</t>
        </is>
      </c>
      <c r="B722" s="1" t="n">
        <v>44596</v>
      </c>
      <c r="C722" s="1" t="n">
        <v>45657</v>
      </c>
      <c r="D722" t="inlineStr">
        <is>
          <t>STOCKHOLMS LÄN</t>
        </is>
      </c>
      <c r="E722" t="inlineStr">
        <is>
          <t>NORRTÄLJE</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6070-2022</t>
        </is>
      </c>
      <c r="B723" s="1" t="n">
        <v>44599</v>
      </c>
      <c r="C723" s="1" t="n">
        <v>45657</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6332-2022</t>
        </is>
      </c>
      <c r="B724" s="1" t="n">
        <v>44600</v>
      </c>
      <c r="C724" s="1" t="n">
        <v>45657</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7301-2022</t>
        </is>
      </c>
      <c r="B725" s="1" t="n">
        <v>44606</v>
      </c>
      <c r="C725" s="1" t="n">
        <v>45657</v>
      </c>
      <c r="D725" t="inlineStr">
        <is>
          <t>STOCKHOLMS LÄN</t>
        </is>
      </c>
      <c r="E725" t="inlineStr">
        <is>
          <t>NORRTÄLJE</t>
        </is>
      </c>
      <c r="G725" t="n">
        <v>6.1</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45657</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8049-2022</t>
        </is>
      </c>
      <c r="B727" s="1" t="n">
        <v>44609</v>
      </c>
      <c r="C727" s="1" t="n">
        <v>45657</v>
      </c>
      <c r="D727" t="inlineStr">
        <is>
          <t>STOCKHOLMS LÄN</t>
        </is>
      </c>
      <c r="E727" t="inlineStr">
        <is>
          <t>NORRTÄLJE</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8160-2022</t>
        </is>
      </c>
      <c r="B728" s="1" t="n">
        <v>44609</v>
      </c>
      <c r="C728" s="1" t="n">
        <v>45657</v>
      </c>
      <c r="D728" t="inlineStr">
        <is>
          <t>STOCKHOLMS LÄN</t>
        </is>
      </c>
      <c r="E728" t="inlineStr">
        <is>
          <t>NORRTÄLJE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8433-2022</t>
        </is>
      </c>
      <c r="B729" s="1" t="n">
        <v>44611</v>
      </c>
      <c r="C729" s="1" t="n">
        <v>45657</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9668-2022</t>
        </is>
      </c>
      <c r="B730" s="1" t="n">
        <v>44617</v>
      </c>
      <c r="C730" s="1" t="n">
        <v>45657</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9654-2022</t>
        </is>
      </c>
      <c r="B731" s="1" t="n">
        <v>44617</v>
      </c>
      <c r="C731" s="1" t="n">
        <v>45657</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9749-2022</t>
        </is>
      </c>
      <c r="B732" s="1" t="n">
        <v>44618</v>
      </c>
      <c r="C732" s="1" t="n">
        <v>45657</v>
      </c>
      <c r="D732" t="inlineStr">
        <is>
          <t>STOCKHOLMS LÄN</t>
        </is>
      </c>
      <c r="E732" t="inlineStr">
        <is>
          <t>NORRTÄLJE</t>
        </is>
      </c>
      <c r="G732" t="n">
        <v>7.2</v>
      </c>
      <c r="H732" t="n">
        <v>0</v>
      </c>
      <c r="I732" t="n">
        <v>0</v>
      </c>
      <c r="J732" t="n">
        <v>0</v>
      </c>
      <c r="K732" t="n">
        <v>0</v>
      </c>
      <c r="L732" t="n">
        <v>0</v>
      </c>
      <c r="M732" t="n">
        <v>0</v>
      </c>
      <c r="N732" t="n">
        <v>0</v>
      </c>
      <c r="O732" t="n">
        <v>0</v>
      </c>
      <c r="P732" t="n">
        <v>0</v>
      </c>
      <c r="Q732" t="n">
        <v>0</v>
      </c>
      <c r="R732" s="2" t="inlineStr"/>
    </row>
    <row r="733" ht="15" customHeight="1">
      <c r="A733" t="inlineStr">
        <is>
          <t>A 9988-2022</t>
        </is>
      </c>
      <c r="B733" s="1" t="n">
        <v>44621</v>
      </c>
      <c r="C733" s="1" t="n">
        <v>45657</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10090-2022</t>
        </is>
      </c>
      <c r="B734" s="1" t="n">
        <v>44621</v>
      </c>
      <c r="C734" s="1" t="n">
        <v>45657</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10098-2022</t>
        </is>
      </c>
      <c r="B735" s="1" t="n">
        <v>44621</v>
      </c>
      <c r="C735" s="1" t="n">
        <v>45657</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10521-2022</t>
        </is>
      </c>
      <c r="B736" s="1" t="n">
        <v>44623</v>
      </c>
      <c r="C736" s="1" t="n">
        <v>45657</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10653-2022</t>
        </is>
      </c>
      <c r="B737" s="1" t="n">
        <v>44624</v>
      </c>
      <c r="C737" s="1" t="n">
        <v>45657</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10710-2022</t>
        </is>
      </c>
      <c r="B738" s="1" t="n">
        <v>44626</v>
      </c>
      <c r="C738" s="1" t="n">
        <v>45657</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10711-2022</t>
        </is>
      </c>
      <c r="B739" s="1" t="n">
        <v>44626</v>
      </c>
      <c r="C739" s="1" t="n">
        <v>45657</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11150-2022</t>
        </is>
      </c>
      <c r="B740" s="1" t="n">
        <v>44629</v>
      </c>
      <c r="C740" s="1" t="n">
        <v>45657</v>
      </c>
      <c r="D740" t="inlineStr">
        <is>
          <t>STOCKHOLMS LÄN</t>
        </is>
      </c>
      <c r="E740" t="inlineStr">
        <is>
          <t>NORRTÄLJE</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11229-2022</t>
        </is>
      </c>
      <c r="B741" s="1" t="n">
        <v>44629</v>
      </c>
      <c r="C741" s="1" t="n">
        <v>45657</v>
      </c>
      <c r="D741" t="inlineStr">
        <is>
          <t>STOCKHOLMS LÄN</t>
        </is>
      </c>
      <c r="E741" t="inlineStr">
        <is>
          <t>NORRTÄLJE</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11533-2022</t>
        </is>
      </c>
      <c r="B742" s="1" t="n">
        <v>44631</v>
      </c>
      <c r="C742" s="1" t="n">
        <v>45657</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11821-2022</t>
        </is>
      </c>
      <c r="B743" s="1" t="n">
        <v>44634</v>
      </c>
      <c r="C743" s="1" t="n">
        <v>45657</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45657</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45657</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12270-2022</t>
        </is>
      </c>
      <c r="B746" s="1" t="n">
        <v>44637</v>
      </c>
      <c r="C746" s="1" t="n">
        <v>45657</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12314-2022</t>
        </is>
      </c>
      <c r="B747" s="1" t="n">
        <v>44637</v>
      </c>
      <c r="C747" s="1" t="n">
        <v>45657</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12268-2022</t>
        </is>
      </c>
      <c r="B748" s="1" t="n">
        <v>44637</v>
      </c>
      <c r="C748" s="1" t="n">
        <v>45657</v>
      </c>
      <c r="D748" t="inlineStr">
        <is>
          <t>STOCKHOLMS LÄN</t>
        </is>
      </c>
      <c r="E748" t="inlineStr">
        <is>
          <t>NORRTÄLJE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12357-2022</t>
        </is>
      </c>
      <c r="B749" s="1" t="n">
        <v>44637</v>
      </c>
      <c r="C749" s="1" t="n">
        <v>45657</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62765-2022</t>
        </is>
      </c>
      <c r="B750" s="1" t="n">
        <v>44637</v>
      </c>
      <c r="C750" s="1" t="n">
        <v>45657</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12874-2022</t>
        </is>
      </c>
      <c r="B751" s="1" t="n">
        <v>44642</v>
      </c>
      <c r="C751" s="1" t="n">
        <v>45657</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12816-2022</t>
        </is>
      </c>
      <c r="B752" s="1" t="n">
        <v>44642</v>
      </c>
      <c r="C752" s="1" t="n">
        <v>45657</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12877-2022</t>
        </is>
      </c>
      <c r="B753" s="1" t="n">
        <v>44642</v>
      </c>
      <c r="C753" s="1" t="n">
        <v>45657</v>
      </c>
      <c r="D753" t="inlineStr">
        <is>
          <t>STOCKHOLMS LÄN</t>
        </is>
      </c>
      <c r="E753" t="inlineStr">
        <is>
          <t>NORRTÄLJE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v>
      </c>
      <c r="C754" s="1" t="n">
        <v>45657</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13077-2022</t>
        </is>
      </c>
      <c r="B755" s="1" t="n">
        <v>44643</v>
      </c>
      <c r="C755" s="1" t="n">
        <v>45657</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13053-2022</t>
        </is>
      </c>
      <c r="B756" s="1" t="n">
        <v>44643</v>
      </c>
      <c r="C756" s="1" t="n">
        <v>45657</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13089-2022</t>
        </is>
      </c>
      <c r="B757" s="1" t="n">
        <v>44643</v>
      </c>
      <c r="C757" s="1" t="n">
        <v>45657</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13106-2022</t>
        </is>
      </c>
      <c r="B758" s="1" t="n">
        <v>44644</v>
      </c>
      <c r="C758" s="1" t="n">
        <v>45657</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13278-2022</t>
        </is>
      </c>
      <c r="B759" s="1" t="n">
        <v>44644</v>
      </c>
      <c r="C759" s="1" t="n">
        <v>45657</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13276-2022</t>
        </is>
      </c>
      <c r="B760" s="1" t="n">
        <v>44644</v>
      </c>
      <c r="C760" s="1" t="n">
        <v>45657</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13395-2022</t>
        </is>
      </c>
      <c r="B761" s="1" t="n">
        <v>44645</v>
      </c>
      <c r="C761" s="1" t="n">
        <v>45657</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13696-2022</t>
        </is>
      </c>
      <c r="B762" s="1" t="n">
        <v>44648</v>
      </c>
      <c r="C762" s="1" t="n">
        <v>45657</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13701-2022</t>
        </is>
      </c>
      <c r="B763" s="1" t="n">
        <v>44648</v>
      </c>
      <c r="C763" s="1" t="n">
        <v>45657</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13718-2022</t>
        </is>
      </c>
      <c r="B764" s="1" t="n">
        <v>44649</v>
      </c>
      <c r="C764" s="1" t="n">
        <v>45657</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14036-2022</t>
        </is>
      </c>
      <c r="B765" s="1" t="n">
        <v>44650</v>
      </c>
      <c r="C765" s="1" t="n">
        <v>45657</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14033-2022</t>
        </is>
      </c>
      <c r="B766" s="1" t="n">
        <v>44650</v>
      </c>
      <c r="C766" s="1" t="n">
        <v>45657</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14034-2022</t>
        </is>
      </c>
      <c r="B767" s="1" t="n">
        <v>44650</v>
      </c>
      <c r="C767" s="1" t="n">
        <v>45657</v>
      </c>
      <c r="D767" t="inlineStr">
        <is>
          <t>STOCKHOLMS LÄN</t>
        </is>
      </c>
      <c r="E767" t="inlineStr">
        <is>
          <t>NORRTÄLJE</t>
        </is>
      </c>
      <c r="G767" t="n">
        <v>6.1</v>
      </c>
      <c r="H767" t="n">
        <v>0</v>
      </c>
      <c r="I767" t="n">
        <v>0</v>
      </c>
      <c r="J767" t="n">
        <v>0</v>
      </c>
      <c r="K767" t="n">
        <v>0</v>
      </c>
      <c r="L767" t="n">
        <v>0</v>
      </c>
      <c r="M767" t="n">
        <v>0</v>
      </c>
      <c r="N767" t="n">
        <v>0</v>
      </c>
      <c r="O767" t="n">
        <v>0</v>
      </c>
      <c r="P767" t="n">
        <v>0</v>
      </c>
      <c r="Q767" t="n">
        <v>0</v>
      </c>
      <c r="R767" s="2" t="inlineStr"/>
    </row>
    <row r="768" ht="15" customHeight="1">
      <c r="A768" t="inlineStr">
        <is>
          <t>A 14051-2022</t>
        </is>
      </c>
      <c r="B768" s="1" t="n">
        <v>44651</v>
      </c>
      <c r="C768" s="1" t="n">
        <v>45657</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14166-2022</t>
        </is>
      </c>
      <c r="B769" s="1" t="n">
        <v>44651</v>
      </c>
      <c r="C769" s="1" t="n">
        <v>45657</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14543-2022</t>
        </is>
      </c>
      <c r="B770" s="1" t="n">
        <v>44655</v>
      </c>
      <c r="C770" s="1" t="n">
        <v>45657</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14724-2022</t>
        </is>
      </c>
      <c r="B771" s="1" t="n">
        <v>44656</v>
      </c>
      <c r="C771" s="1" t="n">
        <v>45657</v>
      </c>
      <c r="D771" t="inlineStr">
        <is>
          <t>STOCKHOLMS LÄN</t>
        </is>
      </c>
      <c r="E771" t="inlineStr">
        <is>
          <t>NORRTÄLJE</t>
        </is>
      </c>
      <c r="F771" t="inlineStr">
        <is>
          <t>Sveaskog</t>
        </is>
      </c>
      <c r="G771" t="n">
        <v>9</v>
      </c>
      <c r="H771" t="n">
        <v>0</v>
      </c>
      <c r="I771" t="n">
        <v>0</v>
      </c>
      <c r="J771" t="n">
        <v>0</v>
      </c>
      <c r="K771" t="n">
        <v>0</v>
      </c>
      <c r="L771" t="n">
        <v>0</v>
      </c>
      <c r="M771" t="n">
        <v>0</v>
      </c>
      <c r="N771" t="n">
        <v>0</v>
      </c>
      <c r="O771" t="n">
        <v>0</v>
      </c>
      <c r="P771" t="n">
        <v>0</v>
      </c>
      <c r="Q771" t="n">
        <v>0</v>
      </c>
      <c r="R771" s="2" t="inlineStr"/>
    </row>
    <row r="772" ht="15" customHeight="1">
      <c r="A772" t="inlineStr">
        <is>
          <t>A 14716-2022</t>
        </is>
      </c>
      <c r="B772" s="1" t="n">
        <v>44656</v>
      </c>
      <c r="C772" s="1" t="n">
        <v>45657</v>
      </c>
      <c r="D772" t="inlineStr">
        <is>
          <t>STOCKHOLMS LÄN</t>
        </is>
      </c>
      <c r="E772" t="inlineStr">
        <is>
          <t>NORRTÄLJE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14869-2022</t>
        </is>
      </c>
      <c r="B773" s="1" t="n">
        <v>44656</v>
      </c>
      <c r="C773" s="1" t="n">
        <v>45657</v>
      </c>
      <c r="D773" t="inlineStr">
        <is>
          <t>STOCKHOLMS LÄN</t>
        </is>
      </c>
      <c r="E773" t="inlineStr">
        <is>
          <t>NORRTÄLJE</t>
        </is>
      </c>
      <c r="F773" t="inlineStr">
        <is>
          <t>Holmen skog AB</t>
        </is>
      </c>
      <c r="G773" t="n">
        <v>9.1</v>
      </c>
      <c r="H773" t="n">
        <v>0</v>
      </c>
      <c r="I773" t="n">
        <v>0</v>
      </c>
      <c r="J773" t="n">
        <v>0</v>
      </c>
      <c r="K773" t="n">
        <v>0</v>
      </c>
      <c r="L773" t="n">
        <v>0</v>
      </c>
      <c r="M773" t="n">
        <v>0</v>
      </c>
      <c r="N773" t="n">
        <v>0</v>
      </c>
      <c r="O773" t="n">
        <v>0</v>
      </c>
      <c r="P773" t="n">
        <v>0</v>
      </c>
      <c r="Q773" t="n">
        <v>0</v>
      </c>
      <c r="R773" s="2" t="inlineStr"/>
    </row>
    <row r="774" ht="15" customHeight="1">
      <c r="A774" t="inlineStr">
        <is>
          <t>A 15225-2022</t>
        </is>
      </c>
      <c r="B774" s="1" t="n">
        <v>44658</v>
      </c>
      <c r="C774" s="1" t="n">
        <v>45657</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15226-2022</t>
        </is>
      </c>
      <c r="B775" s="1" t="n">
        <v>44658</v>
      </c>
      <c r="C775" s="1" t="n">
        <v>45657</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15861-2022</t>
        </is>
      </c>
      <c r="B776" s="1" t="n">
        <v>44664</v>
      </c>
      <c r="C776" s="1" t="n">
        <v>45657</v>
      </c>
      <c r="D776" t="inlineStr">
        <is>
          <t>STOCKHOLMS LÄN</t>
        </is>
      </c>
      <c r="E776" t="inlineStr">
        <is>
          <t>NORRTÄLJE</t>
        </is>
      </c>
      <c r="G776" t="n">
        <v>10.2</v>
      </c>
      <c r="H776" t="n">
        <v>0</v>
      </c>
      <c r="I776" t="n">
        <v>0</v>
      </c>
      <c r="J776" t="n">
        <v>0</v>
      </c>
      <c r="K776" t="n">
        <v>0</v>
      </c>
      <c r="L776" t="n">
        <v>0</v>
      </c>
      <c r="M776" t="n">
        <v>0</v>
      </c>
      <c r="N776" t="n">
        <v>0</v>
      </c>
      <c r="O776" t="n">
        <v>0</v>
      </c>
      <c r="P776" t="n">
        <v>0</v>
      </c>
      <c r="Q776" t="n">
        <v>0</v>
      </c>
      <c r="R776" s="2" t="inlineStr"/>
    </row>
    <row r="777" ht="15" customHeight="1">
      <c r="A777" t="inlineStr">
        <is>
          <t>A 16117-2022</t>
        </is>
      </c>
      <c r="B777" s="1" t="n">
        <v>44665</v>
      </c>
      <c r="C777" s="1" t="n">
        <v>45657</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16119-2022</t>
        </is>
      </c>
      <c r="B778" s="1" t="n">
        <v>44665</v>
      </c>
      <c r="C778" s="1" t="n">
        <v>45657</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16132-2022</t>
        </is>
      </c>
      <c r="B779" s="1" t="n">
        <v>44665</v>
      </c>
      <c r="C779" s="1" t="n">
        <v>45657</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16224-2022</t>
        </is>
      </c>
      <c r="B780" s="1" t="n">
        <v>44670</v>
      </c>
      <c r="C780" s="1" t="n">
        <v>45657</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16202-2022</t>
        </is>
      </c>
      <c r="B781" s="1" t="n">
        <v>44670</v>
      </c>
      <c r="C781" s="1" t="n">
        <v>45657</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v>
      </c>
      <c r="C782" s="1" t="n">
        <v>45657</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16442-2022</t>
        </is>
      </c>
      <c r="B783" s="1" t="n">
        <v>44671</v>
      </c>
      <c r="C783" s="1" t="n">
        <v>45657</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16534-2022</t>
        </is>
      </c>
      <c r="B784" s="1" t="n">
        <v>44672</v>
      </c>
      <c r="C784" s="1" t="n">
        <v>45657</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16835-2022</t>
        </is>
      </c>
      <c r="B785" s="1" t="n">
        <v>44673</v>
      </c>
      <c r="C785" s="1" t="n">
        <v>45657</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17391-2022</t>
        </is>
      </c>
      <c r="B786" s="1" t="n">
        <v>44678</v>
      </c>
      <c r="C786" s="1" t="n">
        <v>45657</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17388-2022</t>
        </is>
      </c>
      <c r="B787" s="1" t="n">
        <v>44678</v>
      </c>
      <c r="C787" s="1" t="n">
        <v>45657</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17390-2022</t>
        </is>
      </c>
      <c r="B788" s="1" t="n">
        <v>44678</v>
      </c>
      <c r="C788" s="1" t="n">
        <v>45657</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17612-2022</t>
        </is>
      </c>
      <c r="B789" s="1" t="n">
        <v>44680</v>
      </c>
      <c r="C789" s="1" t="n">
        <v>45657</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17629-2022</t>
        </is>
      </c>
      <c r="B790" s="1" t="n">
        <v>44680</v>
      </c>
      <c r="C790" s="1" t="n">
        <v>45657</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17771-2022</t>
        </is>
      </c>
      <c r="B791" s="1" t="n">
        <v>44682</v>
      </c>
      <c r="C791" s="1" t="n">
        <v>45657</v>
      </c>
      <c r="D791" t="inlineStr">
        <is>
          <t>STOCKHOLMS LÄN</t>
        </is>
      </c>
      <c r="E791" t="inlineStr">
        <is>
          <t>NORRTÄLJE</t>
        </is>
      </c>
      <c r="G791" t="n">
        <v>13.3</v>
      </c>
      <c r="H791" t="n">
        <v>0</v>
      </c>
      <c r="I791" t="n">
        <v>0</v>
      </c>
      <c r="J791" t="n">
        <v>0</v>
      </c>
      <c r="K791" t="n">
        <v>0</v>
      </c>
      <c r="L791" t="n">
        <v>0</v>
      </c>
      <c r="M791" t="n">
        <v>0</v>
      </c>
      <c r="N791" t="n">
        <v>0</v>
      </c>
      <c r="O791" t="n">
        <v>0</v>
      </c>
      <c r="P791" t="n">
        <v>0</v>
      </c>
      <c r="Q791" t="n">
        <v>0</v>
      </c>
      <c r="R791" s="2" t="inlineStr"/>
    </row>
    <row r="792" ht="15" customHeight="1">
      <c r="A792" t="inlineStr">
        <is>
          <t>A 17775-2022</t>
        </is>
      </c>
      <c r="B792" s="1" t="n">
        <v>44682</v>
      </c>
      <c r="C792" s="1" t="n">
        <v>45657</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17773-2022</t>
        </is>
      </c>
      <c r="B793" s="1" t="n">
        <v>44682</v>
      </c>
      <c r="C793" s="1" t="n">
        <v>45657</v>
      </c>
      <c r="D793" t="inlineStr">
        <is>
          <t>STOCKHOLMS LÄN</t>
        </is>
      </c>
      <c r="E793" t="inlineStr">
        <is>
          <t>NORRTÄLJE</t>
        </is>
      </c>
      <c r="G793" t="n">
        <v>10.8</v>
      </c>
      <c r="H793" t="n">
        <v>0</v>
      </c>
      <c r="I793" t="n">
        <v>0</v>
      </c>
      <c r="J793" t="n">
        <v>0</v>
      </c>
      <c r="K793" t="n">
        <v>0</v>
      </c>
      <c r="L793" t="n">
        <v>0</v>
      </c>
      <c r="M793" t="n">
        <v>0</v>
      </c>
      <c r="N793" t="n">
        <v>0</v>
      </c>
      <c r="O793" t="n">
        <v>0</v>
      </c>
      <c r="P793" t="n">
        <v>0</v>
      </c>
      <c r="Q793" t="n">
        <v>0</v>
      </c>
      <c r="R793" s="2" t="inlineStr"/>
    </row>
    <row r="794" ht="15" customHeight="1">
      <c r="A794" t="inlineStr">
        <is>
          <t>A 17772-2022</t>
        </is>
      </c>
      <c r="B794" s="1" t="n">
        <v>44682</v>
      </c>
      <c r="C794" s="1" t="n">
        <v>45657</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17777-2022</t>
        </is>
      </c>
      <c r="B795" s="1" t="n">
        <v>44682</v>
      </c>
      <c r="C795" s="1" t="n">
        <v>45657</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17803-2022</t>
        </is>
      </c>
      <c r="B796" s="1" t="n">
        <v>44683</v>
      </c>
      <c r="C796" s="1" t="n">
        <v>45657</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17952-2022</t>
        </is>
      </c>
      <c r="B797" s="1" t="n">
        <v>44683</v>
      </c>
      <c r="C797" s="1" t="n">
        <v>45657</v>
      </c>
      <c r="D797" t="inlineStr">
        <is>
          <t>STOCKHOLMS LÄN</t>
        </is>
      </c>
      <c r="E797" t="inlineStr">
        <is>
          <t>NORRTÄLJE</t>
        </is>
      </c>
      <c r="G797" t="n">
        <v>51.1</v>
      </c>
      <c r="H797" t="n">
        <v>0</v>
      </c>
      <c r="I797" t="n">
        <v>0</v>
      </c>
      <c r="J797" t="n">
        <v>0</v>
      </c>
      <c r="K797" t="n">
        <v>0</v>
      </c>
      <c r="L797" t="n">
        <v>0</v>
      </c>
      <c r="M797" t="n">
        <v>0</v>
      </c>
      <c r="N797" t="n">
        <v>0</v>
      </c>
      <c r="O797" t="n">
        <v>0</v>
      </c>
      <c r="P797" t="n">
        <v>0</v>
      </c>
      <c r="Q797" t="n">
        <v>0</v>
      </c>
      <c r="R797" s="2" t="inlineStr"/>
    </row>
    <row r="798" ht="15" customHeight="1">
      <c r="A798" t="inlineStr">
        <is>
          <t>A 18092-2022</t>
        </is>
      </c>
      <c r="B798" s="1" t="n">
        <v>44684</v>
      </c>
      <c r="C798" s="1" t="n">
        <v>45657</v>
      </c>
      <c r="D798" t="inlineStr">
        <is>
          <t>STOCKHOLMS LÄN</t>
        </is>
      </c>
      <c r="E798" t="inlineStr">
        <is>
          <t>NORRTÄLJE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18103-2022</t>
        </is>
      </c>
      <c r="B799" s="1" t="n">
        <v>44684</v>
      </c>
      <c r="C799" s="1" t="n">
        <v>45657</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18350-2022</t>
        </is>
      </c>
      <c r="B800" s="1" t="n">
        <v>44685</v>
      </c>
      <c r="C800" s="1" t="n">
        <v>45657</v>
      </c>
      <c r="D800" t="inlineStr">
        <is>
          <t>STOCKHOLMS LÄN</t>
        </is>
      </c>
      <c r="E800" t="inlineStr">
        <is>
          <t>NORRTÄLJE</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18546-2022</t>
        </is>
      </c>
      <c r="B801" s="1" t="n">
        <v>44686</v>
      </c>
      <c r="C801" s="1" t="n">
        <v>45657</v>
      </c>
      <c r="D801" t="inlineStr">
        <is>
          <t>STOCKHOLMS LÄN</t>
        </is>
      </c>
      <c r="E801" t="inlineStr">
        <is>
          <t>NORRTÄLJE</t>
        </is>
      </c>
      <c r="G801" t="n">
        <v>15.2</v>
      </c>
      <c r="H801" t="n">
        <v>0</v>
      </c>
      <c r="I801" t="n">
        <v>0</v>
      </c>
      <c r="J801" t="n">
        <v>0</v>
      </c>
      <c r="K801" t="n">
        <v>0</v>
      </c>
      <c r="L801" t="n">
        <v>0</v>
      </c>
      <c r="M801" t="n">
        <v>0</v>
      </c>
      <c r="N801" t="n">
        <v>0</v>
      </c>
      <c r="O801" t="n">
        <v>0</v>
      </c>
      <c r="P801" t="n">
        <v>0</v>
      </c>
      <c r="Q801" t="n">
        <v>0</v>
      </c>
      <c r="R801" s="2" t="inlineStr"/>
    </row>
    <row r="802" ht="15" customHeight="1">
      <c r="A802" t="inlineStr">
        <is>
          <t>A 18665-2022</t>
        </is>
      </c>
      <c r="B802" s="1" t="n">
        <v>44687</v>
      </c>
      <c r="C802" s="1" t="n">
        <v>45657</v>
      </c>
      <c r="D802" t="inlineStr">
        <is>
          <t>STOCKHOLMS LÄN</t>
        </is>
      </c>
      <c r="E802" t="inlineStr">
        <is>
          <t>NORRTÄLJE</t>
        </is>
      </c>
      <c r="F802" t="inlineStr">
        <is>
          <t>Kyrkan</t>
        </is>
      </c>
      <c r="G802" t="n">
        <v>1.1</v>
      </c>
      <c r="H802" t="n">
        <v>0</v>
      </c>
      <c r="I802" t="n">
        <v>0</v>
      </c>
      <c r="J802" t="n">
        <v>0</v>
      </c>
      <c r="K802" t="n">
        <v>0</v>
      </c>
      <c r="L802" t="n">
        <v>0</v>
      </c>
      <c r="M802" t="n">
        <v>0</v>
      </c>
      <c r="N802" t="n">
        <v>0</v>
      </c>
      <c r="O802" t="n">
        <v>0</v>
      </c>
      <c r="P802" t="n">
        <v>0</v>
      </c>
      <c r="Q802" t="n">
        <v>0</v>
      </c>
      <c r="R802" s="2" t="inlineStr"/>
    </row>
    <row r="803" ht="15" customHeight="1">
      <c r="A803" t="inlineStr">
        <is>
          <t>A 18787-2022</t>
        </is>
      </c>
      <c r="B803" s="1" t="n">
        <v>44687</v>
      </c>
      <c r="C803" s="1" t="n">
        <v>45657</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18846-2022</t>
        </is>
      </c>
      <c r="B804" s="1" t="n">
        <v>44690</v>
      </c>
      <c r="C804" s="1" t="n">
        <v>45657</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18905-2022</t>
        </is>
      </c>
      <c r="B805" s="1" t="n">
        <v>44690</v>
      </c>
      <c r="C805" s="1" t="n">
        <v>45657</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18894-2022</t>
        </is>
      </c>
      <c r="B806" s="1" t="n">
        <v>44690</v>
      </c>
      <c r="C806" s="1" t="n">
        <v>45657</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19116-2022</t>
        </is>
      </c>
      <c r="B807" s="1" t="n">
        <v>44691</v>
      </c>
      <c r="C807" s="1" t="n">
        <v>45657</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19118-2022</t>
        </is>
      </c>
      <c r="B808" s="1" t="n">
        <v>44691</v>
      </c>
      <c r="C808" s="1" t="n">
        <v>45657</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19580-2022</t>
        </is>
      </c>
      <c r="B809" s="1" t="n">
        <v>44693</v>
      </c>
      <c r="C809" s="1" t="n">
        <v>45657</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19729-2022</t>
        </is>
      </c>
      <c r="B810" s="1" t="n">
        <v>44694</v>
      </c>
      <c r="C810" s="1" t="n">
        <v>45657</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19728-2022</t>
        </is>
      </c>
      <c r="B811" s="1" t="n">
        <v>44694</v>
      </c>
      <c r="C811" s="1" t="n">
        <v>45657</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19982-2022</t>
        </is>
      </c>
      <c r="B812" s="1" t="n">
        <v>44697</v>
      </c>
      <c r="C812" s="1" t="n">
        <v>45657</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19983-2022</t>
        </is>
      </c>
      <c r="B813" s="1" t="n">
        <v>44697</v>
      </c>
      <c r="C813" s="1" t="n">
        <v>45657</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20121-2022</t>
        </is>
      </c>
      <c r="B814" s="1" t="n">
        <v>44698</v>
      </c>
      <c r="C814" s="1" t="n">
        <v>45657</v>
      </c>
      <c r="D814" t="inlineStr">
        <is>
          <t>STOCKHOLMS LÄN</t>
        </is>
      </c>
      <c r="E814" t="inlineStr">
        <is>
          <t>NORRTÄLJE</t>
        </is>
      </c>
      <c r="G814" t="n">
        <v>4.2</v>
      </c>
      <c r="H814" t="n">
        <v>0</v>
      </c>
      <c r="I814" t="n">
        <v>0</v>
      </c>
      <c r="J814" t="n">
        <v>0</v>
      </c>
      <c r="K814" t="n">
        <v>0</v>
      </c>
      <c r="L814" t="n">
        <v>0</v>
      </c>
      <c r="M814" t="n">
        <v>0</v>
      </c>
      <c r="N814" t="n">
        <v>0</v>
      </c>
      <c r="O814" t="n">
        <v>0</v>
      </c>
      <c r="P814" t="n">
        <v>0</v>
      </c>
      <c r="Q814" t="n">
        <v>0</v>
      </c>
      <c r="R814" s="2" t="inlineStr"/>
    </row>
    <row r="815" ht="15" customHeight="1">
      <c r="A815" t="inlineStr">
        <is>
          <t>A 20129-2022</t>
        </is>
      </c>
      <c r="B815" s="1" t="n">
        <v>44698</v>
      </c>
      <c r="C815" s="1" t="n">
        <v>45657</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20291-2022</t>
        </is>
      </c>
      <c r="B816" s="1" t="n">
        <v>44698</v>
      </c>
      <c r="C816" s="1" t="n">
        <v>45657</v>
      </c>
      <c r="D816" t="inlineStr">
        <is>
          <t>STOCKHOLMS LÄN</t>
        </is>
      </c>
      <c r="E816" t="inlineStr">
        <is>
          <t>NORRTÄLJE</t>
        </is>
      </c>
      <c r="F816" t="inlineStr">
        <is>
          <t>Naturvårdsverket</t>
        </is>
      </c>
      <c r="G816" t="n">
        <v>2</v>
      </c>
      <c r="H816" t="n">
        <v>0</v>
      </c>
      <c r="I816" t="n">
        <v>0</v>
      </c>
      <c r="J816" t="n">
        <v>0</v>
      </c>
      <c r="K816" t="n">
        <v>0</v>
      </c>
      <c r="L816" t="n">
        <v>0</v>
      </c>
      <c r="M816" t="n">
        <v>0</v>
      </c>
      <c r="N816" t="n">
        <v>0</v>
      </c>
      <c r="O816" t="n">
        <v>0</v>
      </c>
      <c r="P816" t="n">
        <v>0</v>
      </c>
      <c r="Q816" t="n">
        <v>0</v>
      </c>
      <c r="R816" s="2" t="inlineStr"/>
    </row>
    <row r="817" ht="15" customHeight="1">
      <c r="A817" t="inlineStr">
        <is>
          <t>A 20294-2022</t>
        </is>
      </c>
      <c r="B817" s="1" t="n">
        <v>44698</v>
      </c>
      <c r="C817" s="1" t="n">
        <v>45657</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20295-2022</t>
        </is>
      </c>
      <c r="B818" s="1" t="n">
        <v>44698</v>
      </c>
      <c r="C818" s="1" t="n">
        <v>45657</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20618-2022</t>
        </is>
      </c>
      <c r="B819" s="1" t="n">
        <v>44700</v>
      </c>
      <c r="C819" s="1" t="n">
        <v>45657</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21102-2022</t>
        </is>
      </c>
      <c r="B820" s="1" t="n">
        <v>44704</v>
      </c>
      <c r="C820" s="1" t="n">
        <v>45657</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21158-2022</t>
        </is>
      </c>
      <c r="B821" s="1" t="n">
        <v>44704</v>
      </c>
      <c r="C821" s="1" t="n">
        <v>45657</v>
      </c>
      <c r="D821" t="inlineStr">
        <is>
          <t>STOCKHOLMS LÄN</t>
        </is>
      </c>
      <c r="E821" t="inlineStr">
        <is>
          <t>NORRTÄLJE</t>
        </is>
      </c>
      <c r="G821" t="n">
        <v>17.8</v>
      </c>
      <c r="H821" t="n">
        <v>0</v>
      </c>
      <c r="I821" t="n">
        <v>0</v>
      </c>
      <c r="J821" t="n">
        <v>0</v>
      </c>
      <c r="K821" t="n">
        <v>0</v>
      </c>
      <c r="L821" t="n">
        <v>0</v>
      </c>
      <c r="M821" t="n">
        <v>0</v>
      </c>
      <c r="N821" t="n">
        <v>0</v>
      </c>
      <c r="O821" t="n">
        <v>0</v>
      </c>
      <c r="P821" t="n">
        <v>0</v>
      </c>
      <c r="Q821" t="n">
        <v>0</v>
      </c>
      <c r="R821" s="2" t="inlineStr"/>
    </row>
    <row r="822" ht="15" customHeight="1">
      <c r="A822" t="inlineStr">
        <is>
          <t>A 21174-2022</t>
        </is>
      </c>
      <c r="B822" s="1" t="n">
        <v>44704</v>
      </c>
      <c r="C822" s="1" t="n">
        <v>45657</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21480-2022</t>
        </is>
      </c>
      <c r="B823" s="1" t="n">
        <v>44704</v>
      </c>
      <c r="C823" s="1" t="n">
        <v>45657</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21178-2022</t>
        </is>
      </c>
      <c r="B824" s="1" t="n">
        <v>44704</v>
      </c>
      <c r="C824" s="1" t="n">
        <v>45657</v>
      </c>
      <c r="D824" t="inlineStr">
        <is>
          <t>STOCKHOLMS LÄN</t>
        </is>
      </c>
      <c r="E824" t="inlineStr">
        <is>
          <t>NORRTÄLJE</t>
        </is>
      </c>
      <c r="G824" t="n">
        <v>6</v>
      </c>
      <c r="H824" t="n">
        <v>0</v>
      </c>
      <c r="I824" t="n">
        <v>0</v>
      </c>
      <c r="J824" t="n">
        <v>0</v>
      </c>
      <c r="K824" t="n">
        <v>0</v>
      </c>
      <c r="L824" t="n">
        <v>0</v>
      </c>
      <c r="M824" t="n">
        <v>0</v>
      </c>
      <c r="N824" t="n">
        <v>0</v>
      </c>
      <c r="O824" t="n">
        <v>0</v>
      </c>
      <c r="P824" t="n">
        <v>0</v>
      </c>
      <c r="Q824" t="n">
        <v>0</v>
      </c>
      <c r="R824" s="2" t="inlineStr"/>
    </row>
    <row r="825" ht="15" customHeight="1">
      <c r="A825" t="inlineStr">
        <is>
          <t>A 21329-2022</t>
        </is>
      </c>
      <c r="B825" s="1" t="n">
        <v>44705</v>
      </c>
      <c r="C825" s="1" t="n">
        <v>45657</v>
      </c>
      <c r="D825" t="inlineStr">
        <is>
          <t>STOCKHOLMS LÄN</t>
        </is>
      </c>
      <c r="E825" t="inlineStr">
        <is>
          <t>NORRTÄLJE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21739-2022</t>
        </is>
      </c>
      <c r="B826" s="1" t="n">
        <v>44708</v>
      </c>
      <c r="C826" s="1" t="n">
        <v>45657</v>
      </c>
      <c r="D826" t="inlineStr">
        <is>
          <t>STOCKHOLMS LÄN</t>
        </is>
      </c>
      <c r="E826" t="inlineStr">
        <is>
          <t>NORRTÄLJE</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21723-2022</t>
        </is>
      </c>
      <c r="B827" s="1" t="n">
        <v>44708</v>
      </c>
      <c r="C827" s="1" t="n">
        <v>45657</v>
      </c>
      <c r="D827" t="inlineStr">
        <is>
          <t>STOCKHOLMS LÄN</t>
        </is>
      </c>
      <c r="E827" t="inlineStr">
        <is>
          <t>NORRTÄLJE</t>
        </is>
      </c>
      <c r="G827" t="n">
        <v>0.3</v>
      </c>
      <c r="H827" t="n">
        <v>0</v>
      </c>
      <c r="I827" t="n">
        <v>0</v>
      </c>
      <c r="J827" t="n">
        <v>0</v>
      </c>
      <c r="K827" t="n">
        <v>0</v>
      </c>
      <c r="L827" t="n">
        <v>0</v>
      </c>
      <c r="M827" t="n">
        <v>0</v>
      </c>
      <c r="N827" t="n">
        <v>0</v>
      </c>
      <c r="O827" t="n">
        <v>0</v>
      </c>
      <c r="P827" t="n">
        <v>0</v>
      </c>
      <c r="Q827" t="n">
        <v>0</v>
      </c>
      <c r="R827" s="2" t="inlineStr"/>
    </row>
    <row r="828" ht="15" customHeight="1">
      <c r="A828" t="inlineStr">
        <is>
          <t>A 21726-2022</t>
        </is>
      </c>
      <c r="B828" s="1" t="n">
        <v>44708</v>
      </c>
      <c r="C828" s="1" t="n">
        <v>45657</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21803-2022</t>
        </is>
      </c>
      <c r="B829" s="1" t="n">
        <v>44708</v>
      </c>
      <c r="C829" s="1" t="n">
        <v>45657</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21970-2022</t>
        </is>
      </c>
      <c r="B830" s="1" t="n">
        <v>44711</v>
      </c>
      <c r="C830" s="1" t="n">
        <v>45657</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22072-2022</t>
        </is>
      </c>
      <c r="B831" s="1" t="n">
        <v>44711</v>
      </c>
      <c r="C831" s="1" t="n">
        <v>45657</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22071-2022</t>
        </is>
      </c>
      <c r="B832" s="1" t="n">
        <v>44711</v>
      </c>
      <c r="C832" s="1" t="n">
        <v>45657</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22269-2022</t>
        </is>
      </c>
      <c r="B833" s="1" t="n">
        <v>44712</v>
      </c>
      <c r="C833" s="1" t="n">
        <v>45657</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22316-2022</t>
        </is>
      </c>
      <c r="B834" s="1" t="n">
        <v>44712</v>
      </c>
      <c r="C834" s="1" t="n">
        <v>45657</v>
      </c>
      <c r="D834" t="inlineStr">
        <is>
          <t>STOCKHOLMS LÄN</t>
        </is>
      </c>
      <c r="E834" t="inlineStr">
        <is>
          <t>NORRTÄLJE</t>
        </is>
      </c>
      <c r="G834" t="n">
        <v>6.3</v>
      </c>
      <c r="H834" t="n">
        <v>0</v>
      </c>
      <c r="I834" t="n">
        <v>0</v>
      </c>
      <c r="J834" t="n">
        <v>0</v>
      </c>
      <c r="K834" t="n">
        <v>0</v>
      </c>
      <c r="L834" t="n">
        <v>0</v>
      </c>
      <c r="M834" t="n">
        <v>0</v>
      </c>
      <c r="N834" t="n">
        <v>0</v>
      </c>
      <c r="O834" t="n">
        <v>0</v>
      </c>
      <c r="P834" t="n">
        <v>0</v>
      </c>
      <c r="Q834" t="n">
        <v>0</v>
      </c>
      <c r="R834" s="2" t="inlineStr"/>
    </row>
    <row r="835" ht="15" customHeight="1">
      <c r="A835" t="inlineStr">
        <is>
          <t>A 22503-2022</t>
        </is>
      </c>
      <c r="B835" s="1" t="n">
        <v>44713</v>
      </c>
      <c r="C835" s="1" t="n">
        <v>45657</v>
      </c>
      <c r="D835" t="inlineStr">
        <is>
          <t>STOCKHOLMS LÄN</t>
        </is>
      </c>
      <c r="E835" t="inlineStr">
        <is>
          <t>NORRTÄLJE</t>
        </is>
      </c>
      <c r="G835" t="n">
        <v>5.1</v>
      </c>
      <c r="H835" t="n">
        <v>0</v>
      </c>
      <c r="I835" t="n">
        <v>0</v>
      </c>
      <c r="J835" t="n">
        <v>0</v>
      </c>
      <c r="K835" t="n">
        <v>0</v>
      </c>
      <c r="L835" t="n">
        <v>0</v>
      </c>
      <c r="M835" t="n">
        <v>0</v>
      </c>
      <c r="N835" t="n">
        <v>0</v>
      </c>
      <c r="O835" t="n">
        <v>0</v>
      </c>
      <c r="P835" t="n">
        <v>0</v>
      </c>
      <c r="Q835" t="n">
        <v>0</v>
      </c>
      <c r="R835" s="2" t="inlineStr"/>
    </row>
    <row r="836" ht="15" customHeight="1">
      <c r="A836" t="inlineStr">
        <is>
          <t>A 22697-2022</t>
        </is>
      </c>
      <c r="B836" s="1" t="n">
        <v>44714</v>
      </c>
      <c r="C836" s="1" t="n">
        <v>45657</v>
      </c>
      <c r="D836" t="inlineStr">
        <is>
          <t>STOCKHOLMS LÄN</t>
        </is>
      </c>
      <c r="E836" t="inlineStr">
        <is>
          <t>NORRTÄLJE</t>
        </is>
      </c>
      <c r="G836" t="n">
        <v>5.6</v>
      </c>
      <c r="H836" t="n">
        <v>0</v>
      </c>
      <c r="I836" t="n">
        <v>0</v>
      </c>
      <c r="J836" t="n">
        <v>0</v>
      </c>
      <c r="K836" t="n">
        <v>0</v>
      </c>
      <c r="L836" t="n">
        <v>0</v>
      </c>
      <c r="M836" t="n">
        <v>0</v>
      </c>
      <c r="N836" t="n">
        <v>0</v>
      </c>
      <c r="O836" t="n">
        <v>0</v>
      </c>
      <c r="P836" t="n">
        <v>0</v>
      </c>
      <c r="Q836" t="n">
        <v>0</v>
      </c>
      <c r="R836" s="2" t="inlineStr"/>
    </row>
    <row r="837" ht="15" customHeight="1">
      <c r="A837" t="inlineStr">
        <is>
          <t>A 22628-2022</t>
        </is>
      </c>
      <c r="B837" s="1" t="n">
        <v>44714</v>
      </c>
      <c r="C837" s="1" t="n">
        <v>45657</v>
      </c>
      <c r="D837" t="inlineStr">
        <is>
          <t>STOCKHOLMS LÄN</t>
        </is>
      </c>
      <c r="E837" t="inlineStr">
        <is>
          <t>NORRTÄLJE</t>
        </is>
      </c>
      <c r="G837" t="n">
        <v>11.4</v>
      </c>
      <c r="H837" t="n">
        <v>0</v>
      </c>
      <c r="I837" t="n">
        <v>0</v>
      </c>
      <c r="J837" t="n">
        <v>0</v>
      </c>
      <c r="K837" t="n">
        <v>0</v>
      </c>
      <c r="L837" t="n">
        <v>0</v>
      </c>
      <c r="M837" t="n">
        <v>0</v>
      </c>
      <c r="N837" t="n">
        <v>0</v>
      </c>
      <c r="O837" t="n">
        <v>0</v>
      </c>
      <c r="P837" t="n">
        <v>0</v>
      </c>
      <c r="Q837" t="n">
        <v>0</v>
      </c>
      <c r="R837" s="2" t="inlineStr"/>
    </row>
    <row r="838" ht="15" customHeight="1">
      <c r="A838" t="inlineStr">
        <is>
          <t>A 22636-2022</t>
        </is>
      </c>
      <c r="B838" s="1" t="n">
        <v>44714</v>
      </c>
      <c r="C838" s="1" t="n">
        <v>45657</v>
      </c>
      <c r="D838" t="inlineStr">
        <is>
          <t>STOCKHOLMS LÄN</t>
        </is>
      </c>
      <c r="E838" t="inlineStr">
        <is>
          <t>NORRTÄLJE</t>
        </is>
      </c>
      <c r="G838" t="n">
        <v>16.6</v>
      </c>
      <c r="H838" t="n">
        <v>0</v>
      </c>
      <c r="I838" t="n">
        <v>0</v>
      </c>
      <c r="J838" t="n">
        <v>0</v>
      </c>
      <c r="K838" t="n">
        <v>0</v>
      </c>
      <c r="L838" t="n">
        <v>0</v>
      </c>
      <c r="M838" t="n">
        <v>0</v>
      </c>
      <c r="N838" t="n">
        <v>0</v>
      </c>
      <c r="O838" t="n">
        <v>0</v>
      </c>
      <c r="P838" t="n">
        <v>0</v>
      </c>
      <c r="Q838" t="n">
        <v>0</v>
      </c>
      <c r="R838" s="2" t="inlineStr"/>
    </row>
    <row r="839" ht="15" customHeight="1">
      <c r="A839" t="inlineStr">
        <is>
          <t>A 22716-2022</t>
        </is>
      </c>
      <c r="B839" s="1" t="n">
        <v>44714</v>
      </c>
      <c r="C839" s="1" t="n">
        <v>45657</v>
      </c>
      <c r="D839" t="inlineStr">
        <is>
          <t>STOCKHOLMS LÄN</t>
        </is>
      </c>
      <c r="E839" t="inlineStr">
        <is>
          <t>NORRTÄLJE</t>
        </is>
      </c>
      <c r="G839" t="n">
        <v>13.5</v>
      </c>
      <c r="H839" t="n">
        <v>0</v>
      </c>
      <c r="I839" t="n">
        <v>0</v>
      </c>
      <c r="J839" t="n">
        <v>0</v>
      </c>
      <c r="K839" t="n">
        <v>0</v>
      </c>
      <c r="L839" t="n">
        <v>0</v>
      </c>
      <c r="M839" t="n">
        <v>0</v>
      </c>
      <c r="N839" t="n">
        <v>0</v>
      </c>
      <c r="O839" t="n">
        <v>0</v>
      </c>
      <c r="P839" t="n">
        <v>0</v>
      </c>
      <c r="Q839" t="n">
        <v>0</v>
      </c>
      <c r="R839" s="2" t="inlineStr"/>
    </row>
    <row r="840" ht="15" customHeight="1">
      <c r="A840" t="inlineStr">
        <is>
          <t>A 22756-2022</t>
        </is>
      </c>
      <c r="B840" s="1" t="n">
        <v>44715</v>
      </c>
      <c r="C840" s="1" t="n">
        <v>45657</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23125-2022</t>
        </is>
      </c>
      <c r="B841" s="1" t="n">
        <v>44719</v>
      </c>
      <c r="C841" s="1" t="n">
        <v>45657</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23770-2022</t>
        </is>
      </c>
      <c r="B842" s="1" t="n">
        <v>44722</v>
      </c>
      <c r="C842" s="1" t="n">
        <v>45657</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23801-2022</t>
        </is>
      </c>
      <c r="B843" s="1" t="n">
        <v>44722</v>
      </c>
      <c r="C843" s="1" t="n">
        <v>45657</v>
      </c>
      <c r="D843" t="inlineStr">
        <is>
          <t>STOCKHOLMS LÄN</t>
        </is>
      </c>
      <c r="E843" t="inlineStr">
        <is>
          <t>NORRTÄLJE</t>
        </is>
      </c>
      <c r="G843" t="n">
        <v>6.8</v>
      </c>
      <c r="H843" t="n">
        <v>0</v>
      </c>
      <c r="I843" t="n">
        <v>0</v>
      </c>
      <c r="J843" t="n">
        <v>0</v>
      </c>
      <c r="K843" t="n">
        <v>0</v>
      </c>
      <c r="L843" t="n">
        <v>0</v>
      </c>
      <c r="M843" t="n">
        <v>0</v>
      </c>
      <c r="N843" t="n">
        <v>0</v>
      </c>
      <c r="O843" t="n">
        <v>0</v>
      </c>
      <c r="P843" t="n">
        <v>0</v>
      </c>
      <c r="Q843" t="n">
        <v>0</v>
      </c>
      <c r="R843" s="2" t="inlineStr"/>
    </row>
    <row r="844" ht="15" customHeight="1">
      <c r="A844" t="inlineStr">
        <is>
          <t>A 24101-2022</t>
        </is>
      </c>
      <c r="B844" s="1" t="n">
        <v>44725</v>
      </c>
      <c r="C844" s="1" t="n">
        <v>45657</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24162-2022</t>
        </is>
      </c>
      <c r="B845" s="1" t="n">
        <v>44725</v>
      </c>
      <c r="C845" s="1" t="n">
        <v>45657</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24167-2022</t>
        </is>
      </c>
      <c r="B846" s="1" t="n">
        <v>44725</v>
      </c>
      <c r="C846" s="1" t="n">
        <v>45657</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24152-2022</t>
        </is>
      </c>
      <c r="B847" s="1" t="n">
        <v>44725</v>
      </c>
      <c r="C847" s="1" t="n">
        <v>45657</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24534-2022</t>
        </is>
      </c>
      <c r="B848" s="1" t="n">
        <v>44727</v>
      </c>
      <c r="C848" s="1" t="n">
        <v>45657</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24977-2022</t>
        </is>
      </c>
      <c r="B849" s="1" t="n">
        <v>44728</v>
      </c>
      <c r="C849" s="1" t="n">
        <v>45657</v>
      </c>
      <c r="D849" t="inlineStr">
        <is>
          <t>STOCKHOLMS LÄN</t>
        </is>
      </c>
      <c r="E849" t="inlineStr">
        <is>
          <t>NORRTÄLJE</t>
        </is>
      </c>
      <c r="F849" t="inlineStr">
        <is>
          <t>Kyrkan</t>
        </is>
      </c>
      <c r="G849" t="n">
        <v>1</v>
      </c>
      <c r="H849" t="n">
        <v>0</v>
      </c>
      <c r="I849" t="n">
        <v>0</v>
      </c>
      <c r="J849" t="n">
        <v>0</v>
      </c>
      <c r="K849" t="n">
        <v>0</v>
      </c>
      <c r="L849" t="n">
        <v>0</v>
      </c>
      <c r="M849" t="n">
        <v>0</v>
      </c>
      <c r="N849" t="n">
        <v>0</v>
      </c>
      <c r="O849" t="n">
        <v>0</v>
      </c>
      <c r="P849" t="n">
        <v>0</v>
      </c>
      <c r="Q849" t="n">
        <v>0</v>
      </c>
      <c r="R849" s="2" t="inlineStr"/>
    </row>
    <row r="850" ht="15" customHeight="1">
      <c r="A850" t="inlineStr">
        <is>
          <t>A 25525-2022</t>
        </is>
      </c>
      <c r="B850" s="1" t="n">
        <v>44732</v>
      </c>
      <c r="C850" s="1" t="n">
        <v>45657</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25621-2022</t>
        </is>
      </c>
      <c r="B851" s="1" t="n">
        <v>44732</v>
      </c>
      <c r="C851" s="1" t="n">
        <v>45657</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25619-2022</t>
        </is>
      </c>
      <c r="B852" s="1" t="n">
        <v>44732</v>
      </c>
      <c r="C852" s="1" t="n">
        <v>45657</v>
      </c>
      <c r="D852" t="inlineStr">
        <is>
          <t>STOCKHOLMS LÄN</t>
        </is>
      </c>
      <c r="E852" t="inlineStr">
        <is>
          <t>NORRTÄLJE</t>
        </is>
      </c>
      <c r="G852" t="n">
        <v>3.9</v>
      </c>
      <c r="H852" t="n">
        <v>0</v>
      </c>
      <c r="I852" t="n">
        <v>0</v>
      </c>
      <c r="J852" t="n">
        <v>0</v>
      </c>
      <c r="K852" t="n">
        <v>0</v>
      </c>
      <c r="L852" t="n">
        <v>0</v>
      </c>
      <c r="M852" t="n">
        <v>0</v>
      </c>
      <c r="N852" t="n">
        <v>0</v>
      </c>
      <c r="O852" t="n">
        <v>0</v>
      </c>
      <c r="P852" t="n">
        <v>0</v>
      </c>
      <c r="Q852" t="n">
        <v>0</v>
      </c>
      <c r="R852" s="2" t="inlineStr"/>
    </row>
    <row r="853" ht="15" customHeight="1">
      <c r="A853" t="inlineStr">
        <is>
          <t>A 26328-2022</t>
        </is>
      </c>
      <c r="B853" s="1" t="n">
        <v>44735</v>
      </c>
      <c r="C853" s="1" t="n">
        <v>45657</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26335-2022</t>
        </is>
      </c>
      <c r="B854" s="1" t="n">
        <v>44735</v>
      </c>
      <c r="C854" s="1" t="n">
        <v>45657</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27538-2022</t>
        </is>
      </c>
      <c r="B855" s="1" t="n">
        <v>44742</v>
      </c>
      <c r="C855" s="1" t="n">
        <v>45657</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v>
      </c>
      <c r="C856" s="1" t="n">
        <v>45657</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27827-2022</t>
        </is>
      </c>
      <c r="B857" s="1" t="n">
        <v>44743</v>
      </c>
      <c r="C857" s="1" t="n">
        <v>45657</v>
      </c>
      <c r="D857" t="inlineStr">
        <is>
          <t>STOCKHOLMS LÄN</t>
        </is>
      </c>
      <c r="E857" t="inlineStr">
        <is>
          <t>NORRTÄLJE</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27870-2022</t>
        </is>
      </c>
      <c r="B858" s="1" t="n">
        <v>44743</v>
      </c>
      <c r="C858" s="1" t="n">
        <v>45657</v>
      </c>
      <c r="D858" t="inlineStr">
        <is>
          <t>STOCKHOLMS LÄN</t>
        </is>
      </c>
      <c r="E858" t="inlineStr">
        <is>
          <t>NORRTÄLJE</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27828-2022</t>
        </is>
      </c>
      <c r="B859" s="1" t="n">
        <v>44743</v>
      </c>
      <c r="C859" s="1" t="n">
        <v>45657</v>
      </c>
      <c r="D859" t="inlineStr">
        <is>
          <t>STOCKHOLMS LÄN</t>
        </is>
      </c>
      <c r="E859" t="inlineStr">
        <is>
          <t>NORRTÄLJE</t>
        </is>
      </c>
      <c r="F859" t="inlineStr">
        <is>
          <t>Kommuner</t>
        </is>
      </c>
      <c r="G859" t="n">
        <v>1.6</v>
      </c>
      <c r="H859" t="n">
        <v>0</v>
      </c>
      <c r="I859" t="n">
        <v>0</v>
      </c>
      <c r="J859" t="n">
        <v>0</v>
      </c>
      <c r="K859" t="n">
        <v>0</v>
      </c>
      <c r="L859" t="n">
        <v>0</v>
      </c>
      <c r="M859" t="n">
        <v>0</v>
      </c>
      <c r="N859" t="n">
        <v>0</v>
      </c>
      <c r="O859" t="n">
        <v>0</v>
      </c>
      <c r="P859" t="n">
        <v>0</v>
      </c>
      <c r="Q859" t="n">
        <v>0</v>
      </c>
      <c r="R859" s="2" t="inlineStr"/>
    </row>
    <row r="860" ht="15" customHeight="1">
      <c r="A860" t="inlineStr">
        <is>
          <t>A 27824-2022</t>
        </is>
      </c>
      <c r="B860" s="1" t="n">
        <v>44743</v>
      </c>
      <c r="C860" s="1" t="n">
        <v>45657</v>
      </c>
      <c r="D860" t="inlineStr">
        <is>
          <t>STOCKHOLMS LÄN</t>
        </is>
      </c>
      <c r="E860" t="inlineStr">
        <is>
          <t>NORRTÄLJE</t>
        </is>
      </c>
      <c r="F860" t="inlineStr">
        <is>
          <t>Kommuner</t>
        </is>
      </c>
      <c r="G860" t="n">
        <v>3.1</v>
      </c>
      <c r="H860" t="n">
        <v>0</v>
      </c>
      <c r="I860" t="n">
        <v>0</v>
      </c>
      <c r="J860" t="n">
        <v>0</v>
      </c>
      <c r="K860" t="n">
        <v>0</v>
      </c>
      <c r="L860" t="n">
        <v>0</v>
      </c>
      <c r="M860" t="n">
        <v>0</v>
      </c>
      <c r="N860" t="n">
        <v>0</v>
      </c>
      <c r="O860" t="n">
        <v>0</v>
      </c>
      <c r="P860" t="n">
        <v>0</v>
      </c>
      <c r="Q860" t="n">
        <v>0</v>
      </c>
      <c r="R860" s="2" t="inlineStr"/>
    </row>
    <row r="861" ht="15" customHeight="1">
      <c r="A861" t="inlineStr">
        <is>
          <t>A 27831-2022</t>
        </is>
      </c>
      <c r="B861" s="1" t="n">
        <v>44743</v>
      </c>
      <c r="C861" s="1" t="n">
        <v>45657</v>
      </c>
      <c r="D861" t="inlineStr">
        <is>
          <t>STOCKHOLMS LÄN</t>
        </is>
      </c>
      <c r="E861" t="inlineStr">
        <is>
          <t>NORRTÄLJE</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27885-2022</t>
        </is>
      </c>
      <c r="B862" s="1" t="n">
        <v>44743</v>
      </c>
      <c r="C862" s="1" t="n">
        <v>45657</v>
      </c>
      <c r="D862" t="inlineStr">
        <is>
          <t>STOCKHOLMS LÄN</t>
        </is>
      </c>
      <c r="E862" t="inlineStr">
        <is>
          <t>NORRTÄLJE</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27867-2022</t>
        </is>
      </c>
      <c r="B863" s="1" t="n">
        <v>44743</v>
      </c>
      <c r="C863" s="1" t="n">
        <v>45657</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28042-2022</t>
        </is>
      </c>
      <c r="B864" s="1" t="n">
        <v>44744</v>
      </c>
      <c r="C864" s="1" t="n">
        <v>45657</v>
      </c>
      <c r="D864" t="inlineStr">
        <is>
          <t>STOCKHOLMS LÄN</t>
        </is>
      </c>
      <c r="E864" t="inlineStr">
        <is>
          <t>NORRTÄLJE</t>
        </is>
      </c>
      <c r="G864" t="n">
        <v>0.2</v>
      </c>
      <c r="H864" t="n">
        <v>0</v>
      </c>
      <c r="I864" t="n">
        <v>0</v>
      </c>
      <c r="J864" t="n">
        <v>0</v>
      </c>
      <c r="K864" t="n">
        <v>0</v>
      </c>
      <c r="L864" t="n">
        <v>0</v>
      </c>
      <c r="M864" t="n">
        <v>0</v>
      </c>
      <c r="N864" t="n">
        <v>0</v>
      </c>
      <c r="O864" t="n">
        <v>0</v>
      </c>
      <c r="P864" t="n">
        <v>0</v>
      </c>
      <c r="Q864" t="n">
        <v>0</v>
      </c>
      <c r="R864" s="2" t="inlineStr"/>
    </row>
    <row r="865" ht="15" customHeight="1">
      <c r="A865" t="inlineStr">
        <is>
          <t>A 28100-2022</t>
        </is>
      </c>
      <c r="B865" s="1" t="n">
        <v>44746</v>
      </c>
      <c r="C865" s="1" t="n">
        <v>45657</v>
      </c>
      <c r="D865" t="inlineStr">
        <is>
          <t>STOCKHOLMS LÄN</t>
        </is>
      </c>
      <c r="E865" t="inlineStr">
        <is>
          <t>NORRTÄLJE</t>
        </is>
      </c>
      <c r="F865" t="inlineStr">
        <is>
          <t>Holmen skog AB</t>
        </is>
      </c>
      <c r="G865" t="n">
        <v>5.8</v>
      </c>
      <c r="H865" t="n">
        <v>0</v>
      </c>
      <c r="I865" t="n">
        <v>0</v>
      </c>
      <c r="J865" t="n">
        <v>0</v>
      </c>
      <c r="K865" t="n">
        <v>0</v>
      </c>
      <c r="L865" t="n">
        <v>0</v>
      </c>
      <c r="M865" t="n">
        <v>0</v>
      </c>
      <c r="N865" t="n">
        <v>0</v>
      </c>
      <c r="O865" t="n">
        <v>0</v>
      </c>
      <c r="P865" t="n">
        <v>0</v>
      </c>
      <c r="Q865" t="n">
        <v>0</v>
      </c>
      <c r="R865" s="2" t="inlineStr"/>
    </row>
    <row r="866" ht="15" customHeight="1">
      <c r="A866" t="inlineStr">
        <is>
          <t>A 28182-2022</t>
        </is>
      </c>
      <c r="B866" s="1" t="n">
        <v>44746</v>
      </c>
      <c r="C866" s="1" t="n">
        <v>45657</v>
      </c>
      <c r="D866" t="inlineStr">
        <is>
          <t>STOCKHOLMS LÄN</t>
        </is>
      </c>
      <c r="E866" t="inlineStr">
        <is>
          <t>NORRTÄLJE</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28209-2022</t>
        </is>
      </c>
      <c r="B867" s="1" t="n">
        <v>44746</v>
      </c>
      <c r="C867" s="1" t="n">
        <v>45657</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28365-2022</t>
        </is>
      </c>
      <c r="B868" s="1" t="n">
        <v>44747</v>
      </c>
      <c r="C868" s="1" t="n">
        <v>45657</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28900-2022</t>
        </is>
      </c>
      <c r="B869" s="1" t="n">
        <v>44749</v>
      </c>
      <c r="C869" s="1" t="n">
        <v>45657</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28959-2022</t>
        </is>
      </c>
      <c r="B870" s="1" t="n">
        <v>44749</v>
      </c>
      <c r="C870" s="1" t="n">
        <v>45657</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29070-2022</t>
        </is>
      </c>
      <c r="B871" s="1" t="n">
        <v>44750</v>
      </c>
      <c r="C871" s="1" t="n">
        <v>45657</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29266-2022</t>
        </is>
      </c>
      <c r="B872" s="1" t="n">
        <v>44750</v>
      </c>
      <c r="C872" s="1" t="n">
        <v>45657</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29278-2022</t>
        </is>
      </c>
      <c r="B873" s="1" t="n">
        <v>44750</v>
      </c>
      <c r="C873" s="1" t="n">
        <v>45657</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45657</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29395-2022</t>
        </is>
      </c>
      <c r="B875" s="1" t="n">
        <v>44753</v>
      </c>
      <c r="C875" s="1" t="n">
        <v>45657</v>
      </c>
      <c r="D875" t="inlineStr">
        <is>
          <t>STOCKHOLMS LÄN</t>
        </is>
      </c>
      <c r="E875" t="inlineStr">
        <is>
          <t>NORRTÄLJE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29868-2022</t>
        </is>
      </c>
      <c r="B876" s="1" t="n">
        <v>44756</v>
      </c>
      <c r="C876" s="1" t="n">
        <v>45657</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30151-2022</t>
        </is>
      </c>
      <c r="B877" s="1" t="n">
        <v>44757</v>
      </c>
      <c r="C877" s="1" t="n">
        <v>45657</v>
      </c>
      <c r="D877" t="inlineStr">
        <is>
          <t>STOCKHOLMS LÄN</t>
        </is>
      </c>
      <c r="E877" t="inlineStr">
        <is>
          <t>NORRTÄLJE</t>
        </is>
      </c>
      <c r="G877" t="n">
        <v>12.6</v>
      </c>
      <c r="H877" t="n">
        <v>0</v>
      </c>
      <c r="I877" t="n">
        <v>0</v>
      </c>
      <c r="J877" t="n">
        <v>0</v>
      </c>
      <c r="K877" t="n">
        <v>0</v>
      </c>
      <c r="L877" t="n">
        <v>0</v>
      </c>
      <c r="M877" t="n">
        <v>0</v>
      </c>
      <c r="N877" t="n">
        <v>0</v>
      </c>
      <c r="O877" t="n">
        <v>0</v>
      </c>
      <c r="P877" t="n">
        <v>0</v>
      </c>
      <c r="Q877" t="n">
        <v>0</v>
      </c>
      <c r="R877" s="2" t="inlineStr"/>
    </row>
    <row r="878" ht="15" customHeight="1">
      <c r="A878" t="inlineStr">
        <is>
          <t>A 30164-2022</t>
        </is>
      </c>
      <c r="B878" s="1" t="n">
        <v>44757</v>
      </c>
      <c r="C878" s="1" t="n">
        <v>45657</v>
      </c>
      <c r="D878" t="inlineStr">
        <is>
          <t>STOCKHOLMS LÄN</t>
        </is>
      </c>
      <c r="E878" t="inlineStr">
        <is>
          <t>NORRTÄLJE</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30171-2022</t>
        </is>
      </c>
      <c r="B879" s="1" t="n">
        <v>44757</v>
      </c>
      <c r="C879" s="1" t="n">
        <v>45657</v>
      </c>
      <c r="D879" t="inlineStr">
        <is>
          <t>STOCKHOLMS LÄN</t>
        </is>
      </c>
      <c r="E879" t="inlineStr">
        <is>
          <t>NORRTÄLJE</t>
        </is>
      </c>
      <c r="F879" t="inlineStr">
        <is>
          <t>Holmen skog AB</t>
        </is>
      </c>
      <c r="G879" t="n">
        <v>6.3</v>
      </c>
      <c r="H879" t="n">
        <v>0</v>
      </c>
      <c r="I879" t="n">
        <v>0</v>
      </c>
      <c r="J879" t="n">
        <v>0</v>
      </c>
      <c r="K879" t="n">
        <v>0</v>
      </c>
      <c r="L879" t="n">
        <v>0</v>
      </c>
      <c r="M879" t="n">
        <v>0</v>
      </c>
      <c r="N879" t="n">
        <v>0</v>
      </c>
      <c r="O879" t="n">
        <v>0</v>
      </c>
      <c r="P879" t="n">
        <v>0</v>
      </c>
      <c r="Q879" t="n">
        <v>0</v>
      </c>
      <c r="R879" s="2" t="inlineStr"/>
    </row>
    <row r="880" ht="15" customHeight="1">
      <c r="A880" t="inlineStr">
        <is>
          <t>A 30283-2022</t>
        </is>
      </c>
      <c r="B880" s="1" t="n">
        <v>44760</v>
      </c>
      <c r="C880" s="1" t="n">
        <v>45657</v>
      </c>
      <c r="D880" t="inlineStr">
        <is>
          <t>STOCKHOLMS LÄN</t>
        </is>
      </c>
      <c r="E880" t="inlineStr">
        <is>
          <t>NORRTÄLJE</t>
        </is>
      </c>
      <c r="G880" t="n">
        <v>6.2</v>
      </c>
      <c r="H880" t="n">
        <v>0</v>
      </c>
      <c r="I880" t="n">
        <v>0</v>
      </c>
      <c r="J880" t="n">
        <v>0</v>
      </c>
      <c r="K880" t="n">
        <v>0</v>
      </c>
      <c r="L880" t="n">
        <v>0</v>
      </c>
      <c r="M880" t="n">
        <v>0</v>
      </c>
      <c r="N880" t="n">
        <v>0</v>
      </c>
      <c r="O880" t="n">
        <v>0</v>
      </c>
      <c r="P880" t="n">
        <v>0</v>
      </c>
      <c r="Q880" t="n">
        <v>0</v>
      </c>
      <c r="R880" s="2" t="inlineStr"/>
    </row>
    <row r="881" ht="15" customHeight="1">
      <c r="A881" t="inlineStr">
        <is>
          <t>A 30338-2022</t>
        </is>
      </c>
      <c r="B881" s="1" t="n">
        <v>44760</v>
      </c>
      <c r="C881" s="1" t="n">
        <v>45657</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30286-2022</t>
        </is>
      </c>
      <c r="B882" s="1" t="n">
        <v>44760</v>
      </c>
      <c r="C882" s="1" t="n">
        <v>45657</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30290-2022</t>
        </is>
      </c>
      <c r="B883" s="1" t="n">
        <v>44760</v>
      </c>
      <c r="C883" s="1" t="n">
        <v>45657</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30620-2022</t>
        </is>
      </c>
      <c r="B884" s="1" t="n">
        <v>44763</v>
      </c>
      <c r="C884" s="1" t="n">
        <v>45657</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30624-2022</t>
        </is>
      </c>
      <c r="B885" s="1" t="n">
        <v>44763</v>
      </c>
      <c r="C885" s="1" t="n">
        <v>45657</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30758-2022</t>
        </is>
      </c>
      <c r="B886" s="1" t="n">
        <v>44764</v>
      </c>
      <c r="C886" s="1" t="n">
        <v>45657</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30740-2022</t>
        </is>
      </c>
      <c r="B887" s="1" t="n">
        <v>44764</v>
      </c>
      <c r="C887" s="1" t="n">
        <v>45657</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30750-2022</t>
        </is>
      </c>
      <c r="B888" s="1" t="n">
        <v>44764</v>
      </c>
      <c r="C888" s="1" t="n">
        <v>45657</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45657</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30886-2022</t>
        </is>
      </c>
      <c r="B890" s="1" t="n">
        <v>44767</v>
      </c>
      <c r="C890" s="1" t="n">
        <v>45657</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31102-2022</t>
        </is>
      </c>
      <c r="B891" s="1" t="n">
        <v>44769</v>
      </c>
      <c r="C891" s="1" t="n">
        <v>45657</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31092-2022</t>
        </is>
      </c>
      <c r="B892" s="1" t="n">
        <v>44769</v>
      </c>
      <c r="C892" s="1" t="n">
        <v>45657</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31052-2022</t>
        </is>
      </c>
      <c r="B893" s="1" t="n">
        <v>44769</v>
      </c>
      <c r="C893" s="1" t="n">
        <v>45657</v>
      </c>
      <c r="D893" t="inlineStr">
        <is>
          <t>STOCKHOLMS LÄN</t>
        </is>
      </c>
      <c r="E893" t="inlineStr">
        <is>
          <t>NORRTÄLJE</t>
        </is>
      </c>
      <c r="G893" t="n">
        <v>6</v>
      </c>
      <c r="H893" t="n">
        <v>0</v>
      </c>
      <c r="I893" t="n">
        <v>0</v>
      </c>
      <c r="J893" t="n">
        <v>0</v>
      </c>
      <c r="K893" t="n">
        <v>0</v>
      </c>
      <c r="L893" t="n">
        <v>0</v>
      </c>
      <c r="M893" t="n">
        <v>0</v>
      </c>
      <c r="N893" t="n">
        <v>0</v>
      </c>
      <c r="O893" t="n">
        <v>0</v>
      </c>
      <c r="P893" t="n">
        <v>0</v>
      </c>
      <c r="Q893" t="n">
        <v>0</v>
      </c>
      <c r="R893" s="2" t="inlineStr"/>
    </row>
    <row r="894" ht="15" customHeight="1">
      <c r="A894" t="inlineStr">
        <is>
          <t>A 31105-2022</t>
        </is>
      </c>
      <c r="B894" s="1" t="n">
        <v>44769</v>
      </c>
      <c r="C894" s="1" t="n">
        <v>45657</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31107-2022</t>
        </is>
      </c>
      <c r="B895" s="1" t="n">
        <v>44769</v>
      </c>
      <c r="C895" s="1" t="n">
        <v>45657</v>
      </c>
      <c r="D895" t="inlineStr">
        <is>
          <t>STOCKHOLMS LÄN</t>
        </is>
      </c>
      <c r="E895" t="inlineStr">
        <is>
          <t>NORRTÄLJE</t>
        </is>
      </c>
      <c r="G895" t="n">
        <v>3.8</v>
      </c>
      <c r="H895" t="n">
        <v>0</v>
      </c>
      <c r="I895" t="n">
        <v>0</v>
      </c>
      <c r="J895" t="n">
        <v>0</v>
      </c>
      <c r="K895" t="n">
        <v>0</v>
      </c>
      <c r="L895" t="n">
        <v>0</v>
      </c>
      <c r="M895" t="n">
        <v>0</v>
      </c>
      <c r="N895" t="n">
        <v>0</v>
      </c>
      <c r="O895" t="n">
        <v>0</v>
      </c>
      <c r="P895" t="n">
        <v>0</v>
      </c>
      <c r="Q895" t="n">
        <v>0</v>
      </c>
      <c r="R895" s="2" t="inlineStr"/>
    </row>
    <row r="896" ht="15" customHeight="1">
      <c r="A896" t="inlineStr">
        <is>
          <t>A 31057-2022</t>
        </is>
      </c>
      <c r="B896" s="1" t="n">
        <v>44769</v>
      </c>
      <c r="C896" s="1" t="n">
        <v>45657</v>
      </c>
      <c r="D896" t="inlineStr">
        <is>
          <t>STOCKHOLMS LÄN</t>
        </is>
      </c>
      <c r="E896" t="inlineStr">
        <is>
          <t>NORRTÄLJE</t>
        </is>
      </c>
      <c r="G896" t="n">
        <v>6.5</v>
      </c>
      <c r="H896" t="n">
        <v>0</v>
      </c>
      <c r="I896" t="n">
        <v>0</v>
      </c>
      <c r="J896" t="n">
        <v>0</v>
      </c>
      <c r="K896" t="n">
        <v>0</v>
      </c>
      <c r="L896" t="n">
        <v>0</v>
      </c>
      <c r="M896" t="n">
        <v>0</v>
      </c>
      <c r="N896" t="n">
        <v>0</v>
      </c>
      <c r="O896" t="n">
        <v>0</v>
      </c>
      <c r="P896" t="n">
        <v>0</v>
      </c>
      <c r="Q896" t="n">
        <v>0</v>
      </c>
      <c r="R896" s="2" t="inlineStr"/>
    </row>
    <row r="897" ht="15" customHeight="1">
      <c r="A897" t="inlineStr">
        <is>
          <t>A 31236-2022</t>
        </is>
      </c>
      <c r="B897" s="1" t="n">
        <v>44771</v>
      </c>
      <c r="C897" s="1" t="n">
        <v>45657</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31281-2022</t>
        </is>
      </c>
      <c r="B898" s="1" t="n">
        <v>44771</v>
      </c>
      <c r="C898" s="1" t="n">
        <v>45657</v>
      </c>
      <c r="D898" t="inlineStr">
        <is>
          <t>STOCKHOLMS LÄN</t>
        </is>
      </c>
      <c r="E898" t="inlineStr">
        <is>
          <t>NORRTÄLJE</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31283-2022</t>
        </is>
      </c>
      <c r="B899" s="1" t="n">
        <v>44771</v>
      </c>
      <c r="C899" s="1" t="n">
        <v>45657</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31559-2022</t>
        </is>
      </c>
      <c r="B900" s="1" t="n">
        <v>44775</v>
      </c>
      <c r="C900" s="1" t="n">
        <v>45657</v>
      </c>
      <c r="D900" t="inlineStr">
        <is>
          <t>STOCKHOLMS LÄN</t>
        </is>
      </c>
      <c r="E900" t="inlineStr">
        <is>
          <t>NORRTÄLJE</t>
        </is>
      </c>
      <c r="G900" t="n">
        <v>5.6</v>
      </c>
      <c r="H900" t="n">
        <v>0</v>
      </c>
      <c r="I900" t="n">
        <v>0</v>
      </c>
      <c r="J900" t="n">
        <v>0</v>
      </c>
      <c r="K900" t="n">
        <v>0</v>
      </c>
      <c r="L900" t="n">
        <v>0</v>
      </c>
      <c r="M900" t="n">
        <v>0</v>
      </c>
      <c r="N900" t="n">
        <v>0</v>
      </c>
      <c r="O900" t="n">
        <v>0</v>
      </c>
      <c r="P900" t="n">
        <v>0</v>
      </c>
      <c r="Q900" t="n">
        <v>0</v>
      </c>
      <c r="R900" s="2" t="inlineStr"/>
    </row>
    <row r="901" ht="15" customHeight="1">
      <c r="A901" t="inlineStr">
        <is>
          <t>A 31807-2022</t>
        </is>
      </c>
      <c r="B901" s="1" t="n">
        <v>44776</v>
      </c>
      <c r="C901" s="1" t="n">
        <v>45657</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31938-2022</t>
        </is>
      </c>
      <c r="B902" s="1" t="n">
        <v>44777</v>
      </c>
      <c r="C902" s="1" t="n">
        <v>45657</v>
      </c>
      <c r="D902" t="inlineStr">
        <is>
          <t>STOCKHOLMS LÄN</t>
        </is>
      </c>
      <c r="E902" t="inlineStr">
        <is>
          <t>NORRTÄLJE</t>
        </is>
      </c>
      <c r="G902" t="n">
        <v>7.8</v>
      </c>
      <c r="H902" t="n">
        <v>0</v>
      </c>
      <c r="I902" t="n">
        <v>0</v>
      </c>
      <c r="J902" t="n">
        <v>0</v>
      </c>
      <c r="K902" t="n">
        <v>0</v>
      </c>
      <c r="L902" t="n">
        <v>0</v>
      </c>
      <c r="M902" t="n">
        <v>0</v>
      </c>
      <c r="N902" t="n">
        <v>0</v>
      </c>
      <c r="O902" t="n">
        <v>0</v>
      </c>
      <c r="P902" t="n">
        <v>0</v>
      </c>
      <c r="Q902" t="n">
        <v>0</v>
      </c>
      <c r="R902" s="2" t="inlineStr"/>
    </row>
    <row r="903" ht="15" customHeight="1">
      <c r="A903" t="inlineStr">
        <is>
          <t>A 31936-2022</t>
        </is>
      </c>
      <c r="B903" s="1" t="n">
        <v>44777</v>
      </c>
      <c r="C903" s="1" t="n">
        <v>45657</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31924-2022</t>
        </is>
      </c>
      <c r="B904" s="1" t="n">
        <v>44777</v>
      </c>
      <c r="C904" s="1" t="n">
        <v>45657</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31939-2022</t>
        </is>
      </c>
      <c r="B905" s="1" t="n">
        <v>44777</v>
      </c>
      <c r="C905" s="1" t="n">
        <v>45657</v>
      </c>
      <c r="D905" t="inlineStr">
        <is>
          <t>STOCKHOLMS LÄN</t>
        </is>
      </c>
      <c r="E905" t="inlineStr">
        <is>
          <t>NORRTÄLJE</t>
        </is>
      </c>
      <c r="G905" t="n">
        <v>13.5</v>
      </c>
      <c r="H905" t="n">
        <v>0</v>
      </c>
      <c r="I905" t="n">
        <v>0</v>
      </c>
      <c r="J905" t="n">
        <v>0</v>
      </c>
      <c r="K905" t="n">
        <v>0</v>
      </c>
      <c r="L905" t="n">
        <v>0</v>
      </c>
      <c r="M905" t="n">
        <v>0</v>
      </c>
      <c r="N905" t="n">
        <v>0</v>
      </c>
      <c r="O905" t="n">
        <v>0</v>
      </c>
      <c r="P905" t="n">
        <v>0</v>
      </c>
      <c r="Q905" t="n">
        <v>0</v>
      </c>
      <c r="R905" s="2" t="inlineStr"/>
    </row>
    <row r="906" ht="15" customHeight="1">
      <c r="A906" t="inlineStr">
        <is>
          <t>A 31926-2022</t>
        </is>
      </c>
      <c r="B906" s="1" t="n">
        <v>44777</v>
      </c>
      <c r="C906" s="1" t="n">
        <v>45657</v>
      </c>
      <c r="D906" t="inlineStr">
        <is>
          <t>STOCKHOLMS LÄN</t>
        </is>
      </c>
      <c r="E906" t="inlineStr">
        <is>
          <t>NORRTÄLJE</t>
        </is>
      </c>
      <c r="G906" t="n">
        <v>5.2</v>
      </c>
      <c r="H906" t="n">
        <v>0</v>
      </c>
      <c r="I906" t="n">
        <v>0</v>
      </c>
      <c r="J906" t="n">
        <v>0</v>
      </c>
      <c r="K906" t="n">
        <v>0</v>
      </c>
      <c r="L906" t="n">
        <v>0</v>
      </c>
      <c r="M906" t="n">
        <v>0</v>
      </c>
      <c r="N906" t="n">
        <v>0</v>
      </c>
      <c r="O906" t="n">
        <v>0</v>
      </c>
      <c r="P906" t="n">
        <v>0</v>
      </c>
      <c r="Q906" t="n">
        <v>0</v>
      </c>
      <c r="R906" s="2" t="inlineStr"/>
    </row>
    <row r="907" ht="15" customHeight="1">
      <c r="A907" t="inlineStr">
        <is>
          <t>A 31934-2022</t>
        </is>
      </c>
      <c r="B907" s="1" t="n">
        <v>44777</v>
      </c>
      <c r="C907" s="1" t="n">
        <v>45657</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32103-2022</t>
        </is>
      </c>
      <c r="B908" s="1" t="n">
        <v>44778</v>
      </c>
      <c r="C908" s="1" t="n">
        <v>45657</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32111-2022</t>
        </is>
      </c>
      <c r="B909" s="1" t="n">
        <v>44779</v>
      </c>
      <c r="C909" s="1" t="n">
        <v>45657</v>
      </c>
      <c r="D909" t="inlineStr">
        <is>
          <t>STOCKHOLMS LÄN</t>
        </is>
      </c>
      <c r="E909" t="inlineStr">
        <is>
          <t>NORRTÄLJE</t>
        </is>
      </c>
      <c r="G909" t="n">
        <v>3.1</v>
      </c>
      <c r="H909" t="n">
        <v>0</v>
      </c>
      <c r="I909" t="n">
        <v>0</v>
      </c>
      <c r="J909" t="n">
        <v>0</v>
      </c>
      <c r="K909" t="n">
        <v>0</v>
      </c>
      <c r="L909" t="n">
        <v>0</v>
      </c>
      <c r="M909" t="n">
        <v>0</v>
      </c>
      <c r="N909" t="n">
        <v>0</v>
      </c>
      <c r="O909" t="n">
        <v>0</v>
      </c>
      <c r="P909" t="n">
        <v>0</v>
      </c>
      <c r="Q909" t="n">
        <v>0</v>
      </c>
      <c r="R909" s="2" t="inlineStr"/>
    </row>
    <row r="910" ht="15" customHeight="1">
      <c r="A910" t="inlineStr">
        <is>
          <t>A 32101-2022</t>
        </is>
      </c>
      <c r="B910" s="1" t="n">
        <v>44778</v>
      </c>
      <c r="C910" s="1" t="n">
        <v>45657</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32100-2022</t>
        </is>
      </c>
      <c r="B911" s="1" t="n">
        <v>44778</v>
      </c>
      <c r="C911" s="1" t="n">
        <v>45657</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32102-2022</t>
        </is>
      </c>
      <c r="B912" s="1" t="n">
        <v>44778</v>
      </c>
      <c r="C912" s="1" t="n">
        <v>45657</v>
      </c>
      <c r="D912" t="inlineStr">
        <is>
          <t>STOCKHOLMS LÄN</t>
        </is>
      </c>
      <c r="E912" t="inlineStr">
        <is>
          <t>NORRTÄLJE</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32514-2022</t>
        </is>
      </c>
      <c r="B913" s="1" t="n">
        <v>44782</v>
      </c>
      <c r="C913" s="1" t="n">
        <v>45657</v>
      </c>
      <c r="D913" t="inlineStr">
        <is>
          <t>STOCKHOLMS LÄN</t>
        </is>
      </c>
      <c r="E913" t="inlineStr">
        <is>
          <t>NORRTÄLJE</t>
        </is>
      </c>
      <c r="G913" t="n">
        <v>5.1</v>
      </c>
      <c r="H913" t="n">
        <v>0</v>
      </c>
      <c r="I913" t="n">
        <v>0</v>
      </c>
      <c r="J913" t="n">
        <v>0</v>
      </c>
      <c r="K913" t="n">
        <v>0</v>
      </c>
      <c r="L913" t="n">
        <v>0</v>
      </c>
      <c r="M913" t="n">
        <v>0</v>
      </c>
      <c r="N913" t="n">
        <v>0</v>
      </c>
      <c r="O913" t="n">
        <v>0</v>
      </c>
      <c r="P913" t="n">
        <v>0</v>
      </c>
      <c r="Q913" t="n">
        <v>0</v>
      </c>
      <c r="R913" s="2" t="inlineStr"/>
    </row>
    <row r="914" ht="15" customHeight="1">
      <c r="A914" t="inlineStr">
        <is>
          <t>A 32705-2022</t>
        </is>
      </c>
      <c r="B914" s="1" t="n">
        <v>44783</v>
      </c>
      <c r="C914" s="1" t="n">
        <v>45657</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33055-2022</t>
        </is>
      </c>
      <c r="B915" s="1" t="n">
        <v>44785</v>
      </c>
      <c r="C915" s="1" t="n">
        <v>45657</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33149-2022</t>
        </is>
      </c>
      <c r="B916" s="1" t="n">
        <v>44785</v>
      </c>
      <c r="C916" s="1" t="n">
        <v>45657</v>
      </c>
      <c r="D916" t="inlineStr">
        <is>
          <t>STOCKHOLMS LÄN</t>
        </is>
      </c>
      <c r="E916" t="inlineStr">
        <is>
          <t>NORRTÄLJE</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33445-2022</t>
        </is>
      </c>
      <c r="B917" s="1" t="n">
        <v>44788</v>
      </c>
      <c r="C917" s="1" t="n">
        <v>45657</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33793-2022</t>
        </is>
      </c>
      <c r="B918" s="1" t="n">
        <v>44790</v>
      </c>
      <c r="C918" s="1" t="n">
        <v>45657</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33895-2022</t>
        </is>
      </c>
      <c r="B919" s="1" t="n">
        <v>44790</v>
      </c>
      <c r="C919" s="1" t="n">
        <v>45657</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34773-2022</t>
        </is>
      </c>
      <c r="B920" s="1" t="n">
        <v>44795</v>
      </c>
      <c r="C920" s="1" t="n">
        <v>45657</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35121-2022</t>
        </is>
      </c>
      <c r="B921" s="1" t="n">
        <v>44797</v>
      </c>
      <c r="C921" s="1" t="n">
        <v>45657</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45657</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35156-2022</t>
        </is>
      </c>
      <c r="B923" s="1" t="n">
        <v>44797</v>
      </c>
      <c r="C923" s="1" t="n">
        <v>45657</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v>
      </c>
      <c r="C924" s="1" t="n">
        <v>45657</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36269-2022</t>
        </is>
      </c>
      <c r="B925" s="1" t="n">
        <v>44803</v>
      </c>
      <c r="C925" s="1" t="n">
        <v>45657</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36308-2022</t>
        </is>
      </c>
      <c r="B926" s="1" t="n">
        <v>44803</v>
      </c>
      <c r="C926" s="1" t="n">
        <v>45657</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36975-2022</t>
        </is>
      </c>
      <c r="B927" s="1" t="n">
        <v>44806</v>
      </c>
      <c r="C927" s="1" t="n">
        <v>45657</v>
      </c>
      <c r="D927" t="inlineStr">
        <is>
          <t>STOCKHOLMS LÄN</t>
        </is>
      </c>
      <c r="E927" t="inlineStr">
        <is>
          <t>NORRTÄLJE</t>
        </is>
      </c>
      <c r="G927" t="n">
        <v>4.7</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45657</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37679-2022</t>
        </is>
      </c>
      <c r="B929" s="1" t="n">
        <v>44810</v>
      </c>
      <c r="C929" s="1" t="n">
        <v>45657</v>
      </c>
      <c r="D929" t="inlineStr">
        <is>
          <t>STOCKHOLMS LÄN</t>
        </is>
      </c>
      <c r="E929" t="inlineStr">
        <is>
          <t>NORRTÄLJE</t>
        </is>
      </c>
      <c r="G929" t="n">
        <v>3.1</v>
      </c>
      <c r="H929" t="n">
        <v>0</v>
      </c>
      <c r="I929" t="n">
        <v>0</v>
      </c>
      <c r="J929" t="n">
        <v>0</v>
      </c>
      <c r="K929" t="n">
        <v>0</v>
      </c>
      <c r="L929" t="n">
        <v>0</v>
      </c>
      <c r="M929" t="n">
        <v>0</v>
      </c>
      <c r="N929" t="n">
        <v>0</v>
      </c>
      <c r="O929" t="n">
        <v>0</v>
      </c>
      <c r="P929" t="n">
        <v>0</v>
      </c>
      <c r="Q929" t="n">
        <v>0</v>
      </c>
      <c r="R929" s="2" t="inlineStr"/>
    </row>
    <row r="930" ht="15" customHeight="1">
      <c r="A930" t="inlineStr">
        <is>
          <t>A 37815-2022</t>
        </is>
      </c>
      <c r="B930" s="1" t="n">
        <v>44810</v>
      </c>
      <c r="C930" s="1" t="n">
        <v>45657</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38449-2022</t>
        </is>
      </c>
      <c r="B931" s="1" t="n">
        <v>44813</v>
      </c>
      <c r="C931" s="1" t="n">
        <v>45657</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38612-2022</t>
        </is>
      </c>
      <c r="B932" s="1" t="n">
        <v>44813</v>
      </c>
      <c r="C932" s="1" t="n">
        <v>45657</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38590-2022</t>
        </is>
      </c>
      <c r="B933" s="1" t="n">
        <v>44813</v>
      </c>
      <c r="C933" s="1" t="n">
        <v>45657</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v>
      </c>
      <c r="C934" s="1" t="n">
        <v>45657</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38720-2022</t>
        </is>
      </c>
      <c r="B935" s="1" t="n">
        <v>44815</v>
      </c>
      <c r="C935" s="1" t="n">
        <v>45657</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38721-2022</t>
        </is>
      </c>
      <c r="B936" s="1" t="n">
        <v>44815</v>
      </c>
      <c r="C936" s="1" t="n">
        <v>45657</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38927-2022</t>
        </is>
      </c>
      <c r="B937" s="1" t="n">
        <v>44816</v>
      </c>
      <c r="C937" s="1" t="n">
        <v>45657</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38759-2022</t>
        </is>
      </c>
      <c r="B938" s="1" t="n">
        <v>44816</v>
      </c>
      <c r="C938" s="1" t="n">
        <v>45657</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38990-2022</t>
        </is>
      </c>
      <c r="B939" s="1" t="n">
        <v>44816</v>
      </c>
      <c r="C939" s="1" t="n">
        <v>45657</v>
      </c>
      <c r="D939" t="inlineStr">
        <is>
          <t>STOCKHOLMS LÄN</t>
        </is>
      </c>
      <c r="E939" t="inlineStr">
        <is>
          <t>NORRTÄLJE</t>
        </is>
      </c>
      <c r="G939" t="n">
        <v>5.7</v>
      </c>
      <c r="H939" t="n">
        <v>0</v>
      </c>
      <c r="I939" t="n">
        <v>0</v>
      </c>
      <c r="J939" t="n">
        <v>0</v>
      </c>
      <c r="K939" t="n">
        <v>0</v>
      </c>
      <c r="L939" t="n">
        <v>0</v>
      </c>
      <c r="M939" t="n">
        <v>0</v>
      </c>
      <c r="N939" t="n">
        <v>0</v>
      </c>
      <c r="O939" t="n">
        <v>0</v>
      </c>
      <c r="P939" t="n">
        <v>0</v>
      </c>
      <c r="Q939" t="n">
        <v>0</v>
      </c>
      <c r="R939" s="2" t="inlineStr"/>
    </row>
    <row r="940" ht="15" customHeight="1">
      <c r="A940" t="inlineStr">
        <is>
          <t>A 38991-2022</t>
        </is>
      </c>
      <c r="B940" s="1" t="n">
        <v>44816</v>
      </c>
      <c r="C940" s="1" t="n">
        <v>45657</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38985-2022</t>
        </is>
      </c>
      <c r="B941" s="1" t="n">
        <v>44816</v>
      </c>
      <c r="C941" s="1" t="n">
        <v>45657</v>
      </c>
      <c r="D941" t="inlineStr">
        <is>
          <t>STOCKHOLMS LÄN</t>
        </is>
      </c>
      <c r="E941" t="inlineStr">
        <is>
          <t>NORRTÄLJE</t>
        </is>
      </c>
      <c r="G941" t="n">
        <v>10.1</v>
      </c>
      <c r="H941" t="n">
        <v>0</v>
      </c>
      <c r="I941" t="n">
        <v>0</v>
      </c>
      <c r="J941" t="n">
        <v>0</v>
      </c>
      <c r="K941" t="n">
        <v>0</v>
      </c>
      <c r="L941" t="n">
        <v>0</v>
      </c>
      <c r="M941" t="n">
        <v>0</v>
      </c>
      <c r="N941" t="n">
        <v>0</v>
      </c>
      <c r="O941" t="n">
        <v>0</v>
      </c>
      <c r="P941" t="n">
        <v>0</v>
      </c>
      <c r="Q941" t="n">
        <v>0</v>
      </c>
      <c r="R941" s="2" t="inlineStr"/>
    </row>
    <row r="942" ht="15" customHeight="1">
      <c r="A942" t="inlineStr">
        <is>
          <t>A 38992-2022</t>
        </is>
      </c>
      <c r="B942" s="1" t="n">
        <v>44817</v>
      </c>
      <c r="C942" s="1" t="n">
        <v>45657</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v>
      </c>
      <c r="C943" s="1" t="n">
        <v>45657</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39319-2022</t>
        </is>
      </c>
      <c r="B944" s="1" t="n">
        <v>44817</v>
      </c>
      <c r="C944" s="1" t="n">
        <v>45657</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39854-2022</t>
        </is>
      </c>
      <c r="B945" s="1" t="n">
        <v>44819</v>
      </c>
      <c r="C945" s="1" t="n">
        <v>45657</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39869-2022</t>
        </is>
      </c>
      <c r="B946" s="1" t="n">
        <v>44819</v>
      </c>
      <c r="C946" s="1" t="n">
        <v>45657</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39867-2022</t>
        </is>
      </c>
      <c r="B947" s="1" t="n">
        <v>44819</v>
      </c>
      <c r="C947" s="1" t="n">
        <v>45657</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40504-2022</t>
        </is>
      </c>
      <c r="B948" s="1" t="n">
        <v>44823</v>
      </c>
      <c r="C948" s="1" t="n">
        <v>45657</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40503-2022</t>
        </is>
      </c>
      <c r="B949" s="1" t="n">
        <v>44823</v>
      </c>
      <c r="C949" s="1" t="n">
        <v>45657</v>
      </c>
      <c r="D949" t="inlineStr">
        <is>
          <t>STOCKHOLMS LÄN</t>
        </is>
      </c>
      <c r="E949" t="inlineStr">
        <is>
          <t>NORRTÄLJE</t>
        </is>
      </c>
      <c r="G949" t="n">
        <v>5.1</v>
      </c>
      <c r="H949" t="n">
        <v>0</v>
      </c>
      <c r="I949" t="n">
        <v>0</v>
      </c>
      <c r="J949" t="n">
        <v>0</v>
      </c>
      <c r="K949" t="n">
        <v>0</v>
      </c>
      <c r="L949" t="n">
        <v>0</v>
      </c>
      <c r="M949" t="n">
        <v>0</v>
      </c>
      <c r="N949" t="n">
        <v>0</v>
      </c>
      <c r="O949" t="n">
        <v>0</v>
      </c>
      <c r="P949" t="n">
        <v>0</v>
      </c>
      <c r="Q949" t="n">
        <v>0</v>
      </c>
      <c r="R949" s="2" t="inlineStr"/>
    </row>
    <row r="950" ht="15" customHeight="1">
      <c r="A950" t="inlineStr">
        <is>
          <t>A 40656-2022</t>
        </is>
      </c>
      <c r="B950" s="1" t="n">
        <v>44824</v>
      </c>
      <c r="C950" s="1" t="n">
        <v>45657</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40751-2022</t>
        </is>
      </c>
      <c r="B951" s="1" t="n">
        <v>44824</v>
      </c>
      <c r="C951" s="1" t="n">
        <v>45657</v>
      </c>
      <c r="D951" t="inlineStr">
        <is>
          <t>STOCKHOLMS LÄN</t>
        </is>
      </c>
      <c r="E951" t="inlineStr">
        <is>
          <t>NORRTÄLJE</t>
        </is>
      </c>
      <c r="G951" t="n">
        <v>6.1</v>
      </c>
      <c r="H951" t="n">
        <v>0</v>
      </c>
      <c r="I951" t="n">
        <v>0</v>
      </c>
      <c r="J951" t="n">
        <v>0</v>
      </c>
      <c r="K951" t="n">
        <v>0</v>
      </c>
      <c r="L951" t="n">
        <v>0</v>
      </c>
      <c r="M951" t="n">
        <v>0</v>
      </c>
      <c r="N951" t="n">
        <v>0</v>
      </c>
      <c r="O951" t="n">
        <v>0</v>
      </c>
      <c r="P951" t="n">
        <v>0</v>
      </c>
      <c r="Q951" t="n">
        <v>0</v>
      </c>
      <c r="R951" s="2" t="inlineStr"/>
    </row>
    <row r="952" ht="15" customHeight="1">
      <c r="A952" t="inlineStr">
        <is>
          <t>A 41398-2022</t>
        </is>
      </c>
      <c r="B952" s="1" t="n">
        <v>44826</v>
      </c>
      <c r="C952" s="1" t="n">
        <v>45657</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41320-2022</t>
        </is>
      </c>
      <c r="B953" s="1" t="n">
        <v>44826</v>
      </c>
      <c r="C953" s="1" t="n">
        <v>45657</v>
      </c>
      <c r="D953" t="inlineStr">
        <is>
          <t>STOCKHOLMS LÄN</t>
        </is>
      </c>
      <c r="E953" t="inlineStr">
        <is>
          <t>NORRTÄLJE</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42087-2022</t>
        </is>
      </c>
      <c r="B954" s="1" t="n">
        <v>44830</v>
      </c>
      <c r="C954" s="1" t="n">
        <v>45657</v>
      </c>
      <c r="D954" t="inlineStr">
        <is>
          <t>STOCKHOLMS LÄN</t>
        </is>
      </c>
      <c r="E954" t="inlineStr">
        <is>
          <t>NORRTÄLJE</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42112-2022</t>
        </is>
      </c>
      <c r="B955" s="1" t="n">
        <v>44830</v>
      </c>
      <c r="C955" s="1" t="n">
        <v>45657</v>
      </c>
      <c r="D955" t="inlineStr">
        <is>
          <t>STOCKHOLMS LÄN</t>
        </is>
      </c>
      <c r="E955" t="inlineStr">
        <is>
          <t>NORRTÄLJE</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42126-2022</t>
        </is>
      </c>
      <c r="B956" s="1" t="n">
        <v>44830</v>
      </c>
      <c r="C956" s="1" t="n">
        <v>45657</v>
      </c>
      <c r="D956" t="inlineStr">
        <is>
          <t>STOCKHOLMS LÄN</t>
        </is>
      </c>
      <c r="E956" t="inlineStr">
        <is>
          <t>NORRTÄLJE</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42867-2022</t>
        </is>
      </c>
      <c r="B957" s="1" t="n">
        <v>44832</v>
      </c>
      <c r="C957" s="1" t="n">
        <v>45657</v>
      </c>
      <c r="D957" t="inlineStr">
        <is>
          <t>STOCKHOLMS LÄN</t>
        </is>
      </c>
      <c r="E957" t="inlineStr">
        <is>
          <t>NORRTÄLJE</t>
        </is>
      </c>
      <c r="G957" t="n">
        <v>6.4</v>
      </c>
      <c r="H957" t="n">
        <v>0</v>
      </c>
      <c r="I957" t="n">
        <v>0</v>
      </c>
      <c r="J957" t="n">
        <v>0</v>
      </c>
      <c r="K957" t="n">
        <v>0</v>
      </c>
      <c r="L957" t="n">
        <v>0</v>
      </c>
      <c r="M957" t="n">
        <v>0</v>
      </c>
      <c r="N957" t="n">
        <v>0</v>
      </c>
      <c r="O957" t="n">
        <v>0</v>
      </c>
      <c r="P957" t="n">
        <v>0</v>
      </c>
      <c r="Q957" t="n">
        <v>0</v>
      </c>
      <c r="R957" s="2" t="inlineStr"/>
    </row>
    <row r="958" ht="15" customHeight="1">
      <c r="A958" t="inlineStr">
        <is>
          <t>A 42955-2022</t>
        </is>
      </c>
      <c r="B958" s="1" t="n">
        <v>44833</v>
      </c>
      <c r="C958" s="1" t="n">
        <v>45657</v>
      </c>
      <c r="D958" t="inlineStr">
        <is>
          <t>STOCKHOLMS LÄN</t>
        </is>
      </c>
      <c r="E958" t="inlineStr">
        <is>
          <t>NORRTÄLJE</t>
        </is>
      </c>
      <c r="G958" t="n">
        <v>13.1</v>
      </c>
      <c r="H958" t="n">
        <v>0</v>
      </c>
      <c r="I958" t="n">
        <v>0</v>
      </c>
      <c r="J958" t="n">
        <v>0</v>
      </c>
      <c r="K958" t="n">
        <v>0</v>
      </c>
      <c r="L958" t="n">
        <v>0</v>
      </c>
      <c r="M958" t="n">
        <v>0</v>
      </c>
      <c r="N958" t="n">
        <v>0</v>
      </c>
      <c r="O958" t="n">
        <v>0</v>
      </c>
      <c r="P958" t="n">
        <v>0</v>
      </c>
      <c r="Q958" t="n">
        <v>0</v>
      </c>
      <c r="R958" s="2" t="inlineStr"/>
    </row>
    <row r="959" ht="15" customHeight="1">
      <c r="A959" t="inlineStr">
        <is>
          <t>A 43036-2022</t>
        </is>
      </c>
      <c r="B959" s="1" t="n">
        <v>44833</v>
      </c>
      <c r="C959" s="1" t="n">
        <v>45657</v>
      </c>
      <c r="D959" t="inlineStr">
        <is>
          <t>STOCKHOLMS LÄN</t>
        </is>
      </c>
      <c r="E959" t="inlineStr">
        <is>
          <t>NORRTÄLJE</t>
        </is>
      </c>
      <c r="F959" t="inlineStr">
        <is>
          <t>Kyrkan</t>
        </is>
      </c>
      <c r="G959" t="n">
        <v>1.7</v>
      </c>
      <c r="H959" t="n">
        <v>0</v>
      </c>
      <c r="I959" t="n">
        <v>0</v>
      </c>
      <c r="J959" t="n">
        <v>0</v>
      </c>
      <c r="K959" t="n">
        <v>0</v>
      </c>
      <c r="L959" t="n">
        <v>0</v>
      </c>
      <c r="M959" t="n">
        <v>0</v>
      </c>
      <c r="N959" t="n">
        <v>0</v>
      </c>
      <c r="O959" t="n">
        <v>0</v>
      </c>
      <c r="P959" t="n">
        <v>0</v>
      </c>
      <c r="Q959" t="n">
        <v>0</v>
      </c>
      <c r="R959" s="2" t="inlineStr"/>
    </row>
    <row r="960" ht="15" customHeight="1">
      <c r="A960" t="inlineStr">
        <is>
          <t>A 43212-2022</t>
        </is>
      </c>
      <c r="B960" s="1" t="n">
        <v>44834</v>
      </c>
      <c r="C960" s="1" t="n">
        <v>45657</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43374-2022</t>
        </is>
      </c>
      <c r="B961" s="1" t="n">
        <v>44834</v>
      </c>
      <c r="C961" s="1" t="n">
        <v>45657</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43972-2022</t>
        </is>
      </c>
      <c r="B962" s="1" t="n">
        <v>44838</v>
      </c>
      <c r="C962" s="1" t="n">
        <v>45657</v>
      </c>
      <c r="D962" t="inlineStr">
        <is>
          <t>STOCKHOLMS LÄN</t>
        </is>
      </c>
      <c r="E962" t="inlineStr">
        <is>
          <t>NORRTÄLJE</t>
        </is>
      </c>
      <c r="F962" t="inlineStr">
        <is>
          <t>Holmen skog AB</t>
        </is>
      </c>
      <c r="G962" t="n">
        <v>8.6</v>
      </c>
      <c r="H962" t="n">
        <v>0</v>
      </c>
      <c r="I962" t="n">
        <v>0</v>
      </c>
      <c r="J962" t="n">
        <v>0</v>
      </c>
      <c r="K962" t="n">
        <v>0</v>
      </c>
      <c r="L962" t="n">
        <v>0</v>
      </c>
      <c r="M962" t="n">
        <v>0</v>
      </c>
      <c r="N962" t="n">
        <v>0</v>
      </c>
      <c r="O962" t="n">
        <v>0</v>
      </c>
      <c r="P962" t="n">
        <v>0</v>
      </c>
      <c r="Q962" t="n">
        <v>0</v>
      </c>
      <c r="R962" s="2" t="inlineStr"/>
    </row>
    <row r="963" ht="15" customHeight="1">
      <c r="A963" t="inlineStr">
        <is>
          <t>A 44349-2022</t>
        </is>
      </c>
      <c r="B963" s="1" t="n">
        <v>44839</v>
      </c>
      <c r="C963" s="1" t="n">
        <v>45657</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45255-2022</t>
        </is>
      </c>
      <c r="B964" s="1" t="n">
        <v>44840</v>
      </c>
      <c r="C964" s="1" t="n">
        <v>45657</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44917-2022</t>
        </is>
      </c>
      <c r="B965" s="1" t="n">
        <v>44841</v>
      </c>
      <c r="C965" s="1" t="n">
        <v>45657</v>
      </c>
      <c r="D965" t="inlineStr">
        <is>
          <t>STOCKHOLMS LÄN</t>
        </is>
      </c>
      <c r="E965" t="inlineStr">
        <is>
          <t>NORRTÄLJE</t>
        </is>
      </c>
      <c r="F965" t="inlineStr">
        <is>
          <t>Holmen skog AB</t>
        </is>
      </c>
      <c r="G965" t="n">
        <v>3.3</v>
      </c>
      <c r="H965" t="n">
        <v>0</v>
      </c>
      <c r="I965" t="n">
        <v>0</v>
      </c>
      <c r="J965" t="n">
        <v>0</v>
      </c>
      <c r="K965" t="n">
        <v>0</v>
      </c>
      <c r="L965" t="n">
        <v>0</v>
      </c>
      <c r="M965" t="n">
        <v>0</v>
      </c>
      <c r="N965" t="n">
        <v>0</v>
      </c>
      <c r="O965" t="n">
        <v>0</v>
      </c>
      <c r="P965" t="n">
        <v>0</v>
      </c>
      <c r="Q965" t="n">
        <v>0</v>
      </c>
      <c r="R965" s="2" t="inlineStr"/>
    </row>
    <row r="966" ht="15" customHeight="1">
      <c r="A966" t="inlineStr">
        <is>
          <t>A 45541-2022</t>
        </is>
      </c>
      <c r="B966" s="1" t="n">
        <v>44845</v>
      </c>
      <c r="C966" s="1" t="n">
        <v>45657</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45539-2022</t>
        </is>
      </c>
      <c r="B967" s="1" t="n">
        <v>44845</v>
      </c>
      <c r="C967" s="1" t="n">
        <v>45657</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45549-2022</t>
        </is>
      </c>
      <c r="B968" s="1" t="n">
        <v>44845</v>
      </c>
      <c r="C968" s="1" t="n">
        <v>45657</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46914-2022</t>
        </is>
      </c>
      <c r="B969" s="1" t="n">
        <v>44851</v>
      </c>
      <c r="C969" s="1" t="n">
        <v>45657</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47076-2022</t>
        </is>
      </c>
      <c r="B970" s="1" t="n">
        <v>44852</v>
      </c>
      <c r="C970" s="1" t="n">
        <v>45657</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47079-2022</t>
        </is>
      </c>
      <c r="B971" s="1" t="n">
        <v>44852</v>
      </c>
      <c r="C971" s="1" t="n">
        <v>45657</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47626-2022</t>
        </is>
      </c>
      <c r="B972" s="1" t="n">
        <v>44854</v>
      </c>
      <c r="C972" s="1" t="n">
        <v>45657</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48316-2022</t>
        </is>
      </c>
      <c r="B973" s="1" t="n">
        <v>44854</v>
      </c>
      <c r="C973" s="1" t="n">
        <v>45657</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47929-2022</t>
        </is>
      </c>
      <c r="B974" s="1" t="n">
        <v>44855</v>
      </c>
      <c r="C974" s="1" t="n">
        <v>45657</v>
      </c>
      <c r="D974" t="inlineStr">
        <is>
          <t>STOCKHOLMS LÄN</t>
        </is>
      </c>
      <c r="E974" t="inlineStr">
        <is>
          <t>NORRTÄLJE</t>
        </is>
      </c>
      <c r="G974" t="n">
        <v>3.5</v>
      </c>
      <c r="H974" t="n">
        <v>0</v>
      </c>
      <c r="I974" t="n">
        <v>0</v>
      </c>
      <c r="J974" t="n">
        <v>0</v>
      </c>
      <c r="K974" t="n">
        <v>0</v>
      </c>
      <c r="L974" t="n">
        <v>0</v>
      </c>
      <c r="M974" t="n">
        <v>0</v>
      </c>
      <c r="N974" t="n">
        <v>0</v>
      </c>
      <c r="O974" t="n">
        <v>0</v>
      </c>
      <c r="P974" t="n">
        <v>0</v>
      </c>
      <c r="Q974" t="n">
        <v>0</v>
      </c>
      <c r="R974" s="2" t="inlineStr"/>
    </row>
    <row r="975" ht="15" customHeight="1">
      <c r="A975" t="inlineStr">
        <is>
          <t>A 48161-2022</t>
        </is>
      </c>
      <c r="B975" s="1" t="n">
        <v>44858</v>
      </c>
      <c r="C975" s="1" t="n">
        <v>45657</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48453-2022</t>
        </is>
      </c>
      <c r="B976" s="1" t="n">
        <v>44858</v>
      </c>
      <c r="C976" s="1" t="n">
        <v>45657</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48492-2022</t>
        </is>
      </c>
      <c r="B977" s="1" t="n">
        <v>44858</v>
      </c>
      <c r="C977" s="1" t="n">
        <v>45657</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50065-2022</t>
        </is>
      </c>
      <c r="B978" s="1" t="n">
        <v>44865</v>
      </c>
      <c r="C978" s="1" t="n">
        <v>45657</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50469-2022</t>
        </is>
      </c>
      <c r="B979" s="1" t="n">
        <v>44866</v>
      </c>
      <c r="C979" s="1" t="n">
        <v>45657</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50481-2022</t>
        </is>
      </c>
      <c r="B980" s="1" t="n">
        <v>44866</v>
      </c>
      <c r="C980" s="1" t="n">
        <v>45657</v>
      </c>
      <c r="D980" t="inlineStr">
        <is>
          <t>STOCKHOLMS LÄN</t>
        </is>
      </c>
      <c r="E980" t="inlineStr">
        <is>
          <t>NORRTÄLJE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50465-2022</t>
        </is>
      </c>
      <c r="B981" s="1" t="n">
        <v>44866</v>
      </c>
      <c r="C981" s="1" t="n">
        <v>45657</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50488-2022</t>
        </is>
      </c>
      <c r="B982" s="1" t="n">
        <v>44866</v>
      </c>
      <c r="C982" s="1" t="n">
        <v>45657</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50563-2022</t>
        </is>
      </c>
      <c r="B983" s="1" t="n">
        <v>44866</v>
      </c>
      <c r="C983" s="1" t="n">
        <v>45657</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50569-2022</t>
        </is>
      </c>
      <c r="B984" s="1" t="n">
        <v>44866</v>
      </c>
      <c r="C984" s="1" t="n">
        <v>45657</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50484-2022</t>
        </is>
      </c>
      <c r="B985" s="1" t="n">
        <v>44866</v>
      </c>
      <c r="C985" s="1" t="n">
        <v>45657</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50970-2022</t>
        </is>
      </c>
      <c r="B986" s="1" t="n">
        <v>44867</v>
      </c>
      <c r="C986" s="1" t="n">
        <v>45657</v>
      </c>
      <c r="D986" t="inlineStr">
        <is>
          <t>STOCKHOLMS LÄN</t>
        </is>
      </c>
      <c r="E986" t="inlineStr">
        <is>
          <t>NORRTÄLJE</t>
        </is>
      </c>
      <c r="G986" t="n">
        <v>9</v>
      </c>
      <c r="H986" t="n">
        <v>0</v>
      </c>
      <c r="I986" t="n">
        <v>0</v>
      </c>
      <c r="J986" t="n">
        <v>0</v>
      </c>
      <c r="K986" t="n">
        <v>0</v>
      </c>
      <c r="L986" t="n">
        <v>0</v>
      </c>
      <c r="M986" t="n">
        <v>0</v>
      </c>
      <c r="N986" t="n">
        <v>0</v>
      </c>
      <c r="O986" t="n">
        <v>0</v>
      </c>
      <c r="P986" t="n">
        <v>0</v>
      </c>
      <c r="Q986" t="n">
        <v>0</v>
      </c>
      <c r="R986" s="2" t="inlineStr"/>
    </row>
    <row r="987" ht="15" customHeight="1">
      <c r="A987" t="inlineStr">
        <is>
          <t>A 50983-2022</t>
        </is>
      </c>
      <c r="B987" s="1" t="n">
        <v>44867</v>
      </c>
      <c r="C987" s="1" t="n">
        <v>45657</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50907-2022</t>
        </is>
      </c>
      <c r="B988" s="1" t="n">
        <v>44867</v>
      </c>
      <c r="C988" s="1" t="n">
        <v>45657</v>
      </c>
      <c r="D988" t="inlineStr">
        <is>
          <t>STOCKHOLMS LÄN</t>
        </is>
      </c>
      <c r="E988" t="inlineStr">
        <is>
          <t>NORRTÄLJE</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51653-2022</t>
        </is>
      </c>
      <c r="B989" s="1" t="n">
        <v>44867</v>
      </c>
      <c r="C989" s="1" t="n">
        <v>45657</v>
      </c>
      <c r="D989" t="inlineStr">
        <is>
          <t>STOCKHOLMS LÄN</t>
        </is>
      </c>
      <c r="E989" t="inlineStr">
        <is>
          <t>NORRTÄLJE</t>
        </is>
      </c>
      <c r="G989" t="n">
        <v>6.6</v>
      </c>
      <c r="H989" t="n">
        <v>0</v>
      </c>
      <c r="I989" t="n">
        <v>0</v>
      </c>
      <c r="J989" t="n">
        <v>0</v>
      </c>
      <c r="K989" t="n">
        <v>0</v>
      </c>
      <c r="L989" t="n">
        <v>0</v>
      </c>
      <c r="M989" t="n">
        <v>0</v>
      </c>
      <c r="N989" t="n">
        <v>0</v>
      </c>
      <c r="O989" t="n">
        <v>0</v>
      </c>
      <c r="P989" t="n">
        <v>0</v>
      </c>
      <c r="Q989" t="n">
        <v>0</v>
      </c>
      <c r="R989" s="2" t="inlineStr"/>
    </row>
    <row r="990" ht="15" customHeight="1">
      <c r="A990" t="inlineStr">
        <is>
          <t>A 51116-2022</t>
        </is>
      </c>
      <c r="B990" s="1" t="n">
        <v>44868</v>
      </c>
      <c r="C990" s="1" t="n">
        <v>45657</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51265-2022</t>
        </is>
      </c>
      <c r="B991" s="1" t="n">
        <v>44868</v>
      </c>
      <c r="C991" s="1" t="n">
        <v>45657</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52139-2022</t>
        </is>
      </c>
      <c r="B992" s="1" t="n">
        <v>44868</v>
      </c>
      <c r="C992" s="1" t="n">
        <v>45657</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52133-2022</t>
        </is>
      </c>
      <c r="B993" s="1" t="n">
        <v>44868</v>
      </c>
      <c r="C993" s="1" t="n">
        <v>45657</v>
      </c>
      <c r="D993" t="inlineStr">
        <is>
          <t>STOCKHOLMS LÄN</t>
        </is>
      </c>
      <c r="E993" t="inlineStr">
        <is>
          <t>NORRTÄLJE</t>
        </is>
      </c>
      <c r="G993" t="n">
        <v>11.5</v>
      </c>
      <c r="H993" t="n">
        <v>0</v>
      </c>
      <c r="I993" t="n">
        <v>0</v>
      </c>
      <c r="J993" t="n">
        <v>0</v>
      </c>
      <c r="K993" t="n">
        <v>0</v>
      </c>
      <c r="L993" t="n">
        <v>0</v>
      </c>
      <c r="M993" t="n">
        <v>0</v>
      </c>
      <c r="N993" t="n">
        <v>0</v>
      </c>
      <c r="O993" t="n">
        <v>0</v>
      </c>
      <c r="P993" t="n">
        <v>0</v>
      </c>
      <c r="Q993" t="n">
        <v>0</v>
      </c>
      <c r="R993" s="2" t="inlineStr"/>
    </row>
    <row r="994" ht="15" customHeight="1">
      <c r="A994" t="inlineStr">
        <is>
          <t>A 52260-2022</t>
        </is>
      </c>
      <c r="B994" s="1" t="n">
        <v>44869</v>
      </c>
      <c r="C994" s="1" t="n">
        <v>45657</v>
      </c>
      <c r="D994" t="inlineStr">
        <is>
          <t>STOCKHOLMS LÄN</t>
        </is>
      </c>
      <c r="E994" t="inlineStr">
        <is>
          <t>NORRTÄLJE</t>
        </is>
      </c>
      <c r="G994" t="n">
        <v>3.1</v>
      </c>
      <c r="H994" t="n">
        <v>0</v>
      </c>
      <c r="I994" t="n">
        <v>0</v>
      </c>
      <c r="J994" t="n">
        <v>0</v>
      </c>
      <c r="K994" t="n">
        <v>0</v>
      </c>
      <c r="L994" t="n">
        <v>0</v>
      </c>
      <c r="M994" t="n">
        <v>0</v>
      </c>
      <c r="N994" t="n">
        <v>0</v>
      </c>
      <c r="O994" t="n">
        <v>0</v>
      </c>
      <c r="P994" t="n">
        <v>0</v>
      </c>
      <c r="Q994" t="n">
        <v>0</v>
      </c>
      <c r="R994" s="2" t="inlineStr"/>
    </row>
    <row r="995" ht="15" customHeight="1">
      <c r="A995" t="inlineStr">
        <is>
          <t>A 51984-2022</t>
        </is>
      </c>
      <c r="B995" s="1" t="n">
        <v>44872</v>
      </c>
      <c r="C995" s="1" t="n">
        <v>45657</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52322-2022</t>
        </is>
      </c>
      <c r="B996" s="1" t="n">
        <v>44873</v>
      </c>
      <c r="C996" s="1" t="n">
        <v>45657</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53461-2022</t>
        </is>
      </c>
      <c r="B997" s="1" t="n">
        <v>44879</v>
      </c>
      <c r="C997" s="1" t="n">
        <v>45657</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53600-2022</t>
        </is>
      </c>
      <c r="B998" s="1" t="n">
        <v>44879</v>
      </c>
      <c r="C998" s="1" t="n">
        <v>45657</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53459-2022</t>
        </is>
      </c>
      <c r="B999" s="1" t="n">
        <v>44879</v>
      </c>
      <c r="C999" s="1" t="n">
        <v>45657</v>
      </c>
      <c r="D999" t="inlineStr">
        <is>
          <t>STOCKHOLMS LÄN</t>
        </is>
      </c>
      <c r="E999" t="inlineStr">
        <is>
          <t>NORRTÄLJE</t>
        </is>
      </c>
      <c r="G999" t="n">
        <v>3.9</v>
      </c>
      <c r="H999" t="n">
        <v>0</v>
      </c>
      <c r="I999" t="n">
        <v>0</v>
      </c>
      <c r="J999" t="n">
        <v>0</v>
      </c>
      <c r="K999" t="n">
        <v>0</v>
      </c>
      <c r="L999" t="n">
        <v>0</v>
      </c>
      <c r="M999" t="n">
        <v>0</v>
      </c>
      <c r="N999" t="n">
        <v>0</v>
      </c>
      <c r="O999" t="n">
        <v>0</v>
      </c>
      <c r="P999" t="n">
        <v>0</v>
      </c>
      <c r="Q999" t="n">
        <v>0</v>
      </c>
      <c r="R999" s="2" t="inlineStr"/>
    </row>
    <row r="1000" ht="15" customHeight="1">
      <c r="A1000" t="inlineStr">
        <is>
          <t>A 53884-2022</t>
        </is>
      </c>
      <c r="B1000" s="1" t="n">
        <v>44880</v>
      </c>
      <c r="C1000" s="1" t="n">
        <v>45657</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54169-2022</t>
        </is>
      </c>
      <c r="B1001" s="1" t="n">
        <v>44881</v>
      </c>
      <c r="C1001" s="1" t="n">
        <v>45657</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54175-2022</t>
        </is>
      </c>
      <c r="B1002" s="1" t="n">
        <v>44881</v>
      </c>
      <c r="C1002" s="1" t="n">
        <v>45657</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54355-2022</t>
        </is>
      </c>
      <c r="B1003" s="1" t="n">
        <v>44882</v>
      </c>
      <c r="C1003" s="1" t="n">
        <v>45657</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54427-2022</t>
        </is>
      </c>
      <c r="B1004" s="1" t="n">
        <v>44882</v>
      </c>
      <c r="C1004" s="1" t="n">
        <v>45657</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54340-2022</t>
        </is>
      </c>
      <c r="B1005" s="1" t="n">
        <v>44882</v>
      </c>
      <c r="C1005" s="1" t="n">
        <v>45657</v>
      </c>
      <c r="D1005" t="inlineStr">
        <is>
          <t>STOCKHOLMS LÄN</t>
        </is>
      </c>
      <c r="E1005" t="inlineStr">
        <is>
          <t>NORRTÄLJE</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54358-2022</t>
        </is>
      </c>
      <c r="B1006" s="1" t="n">
        <v>44882</v>
      </c>
      <c r="C1006" s="1" t="n">
        <v>45657</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54354-2022</t>
        </is>
      </c>
      <c r="B1007" s="1" t="n">
        <v>44882</v>
      </c>
      <c r="C1007" s="1" t="n">
        <v>45657</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55047-2022</t>
        </is>
      </c>
      <c r="B1008" s="1" t="n">
        <v>44886</v>
      </c>
      <c r="C1008" s="1" t="n">
        <v>45657</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55696-2022</t>
        </is>
      </c>
      <c r="B1009" s="1" t="n">
        <v>44888</v>
      </c>
      <c r="C1009" s="1" t="n">
        <v>45657</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57037-2022</t>
        </is>
      </c>
      <c r="B1010" s="1" t="n">
        <v>44895</v>
      </c>
      <c r="C1010" s="1" t="n">
        <v>45657</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59767-2022</t>
        </is>
      </c>
      <c r="B1011" s="1" t="n">
        <v>44900</v>
      </c>
      <c r="C1011" s="1" t="n">
        <v>45657</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58302-2022</t>
        </is>
      </c>
      <c r="B1012" s="1" t="n">
        <v>44901</v>
      </c>
      <c r="C1012" s="1" t="n">
        <v>45657</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58492-2022</t>
        </is>
      </c>
      <c r="B1013" s="1" t="n">
        <v>44902</v>
      </c>
      <c r="C1013" s="1" t="n">
        <v>45657</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58543-2022</t>
        </is>
      </c>
      <c r="B1014" s="1" t="n">
        <v>44902</v>
      </c>
      <c r="C1014" s="1" t="n">
        <v>45657</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58993-2022</t>
        </is>
      </c>
      <c r="B1015" s="1" t="n">
        <v>44903</v>
      </c>
      <c r="C1015" s="1" t="n">
        <v>45657</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60525-2022</t>
        </is>
      </c>
      <c r="B1016" s="1" t="n">
        <v>44904</v>
      </c>
      <c r="C1016" s="1" t="n">
        <v>45657</v>
      </c>
      <c r="D1016" t="inlineStr">
        <is>
          <t>STOCKHOLMS LÄN</t>
        </is>
      </c>
      <c r="E1016" t="inlineStr">
        <is>
          <t>NORRTÄLJE</t>
        </is>
      </c>
      <c r="G1016" t="n">
        <v>13.4</v>
      </c>
      <c r="H1016" t="n">
        <v>0</v>
      </c>
      <c r="I1016" t="n">
        <v>0</v>
      </c>
      <c r="J1016" t="n">
        <v>0</v>
      </c>
      <c r="K1016" t="n">
        <v>0</v>
      </c>
      <c r="L1016" t="n">
        <v>0</v>
      </c>
      <c r="M1016" t="n">
        <v>0</v>
      </c>
      <c r="N1016" t="n">
        <v>0</v>
      </c>
      <c r="O1016" t="n">
        <v>0</v>
      </c>
      <c r="P1016" t="n">
        <v>0</v>
      </c>
      <c r="Q1016" t="n">
        <v>0</v>
      </c>
      <c r="R1016" s="2" t="inlineStr"/>
    </row>
    <row r="1017" ht="15" customHeight="1">
      <c r="A1017" t="inlineStr">
        <is>
          <t>A 59717-2022</t>
        </is>
      </c>
      <c r="B1017" s="1" t="n">
        <v>44908</v>
      </c>
      <c r="C1017" s="1" t="n">
        <v>45657</v>
      </c>
      <c r="D1017" t="inlineStr">
        <is>
          <t>STOCKHOLMS LÄN</t>
        </is>
      </c>
      <c r="E1017" t="inlineStr">
        <is>
          <t>NORRTÄLJE</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59893-2022</t>
        </is>
      </c>
      <c r="B1018" s="1" t="n">
        <v>44908</v>
      </c>
      <c r="C1018" s="1" t="n">
        <v>45657</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59892-2022</t>
        </is>
      </c>
      <c r="B1019" s="1" t="n">
        <v>44908</v>
      </c>
      <c r="C1019" s="1" t="n">
        <v>45657</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60840-2022</t>
        </is>
      </c>
      <c r="B1020" s="1" t="n">
        <v>44914</v>
      </c>
      <c r="C1020" s="1" t="n">
        <v>45657</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61016-2022</t>
        </is>
      </c>
      <c r="B1021" s="1" t="n">
        <v>44914</v>
      </c>
      <c r="C1021" s="1" t="n">
        <v>45657</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62206-2022</t>
        </is>
      </c>
      <c r="B1022" s="1" t="n">
        <v>44922</v>
      </c>
      <c r="C1022" s="1" t="n">
        <v>45657</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62398-2022</t>
        </is>
      </c>
      <c r="B1023" s="1" t="n">
        <v>44923</v>
      </c>
      <c r="C1023" s="1" t="n">
        <v>45657</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62593-2022</t>
        </is>
      </c>
      <c r="B1024" s="1" t="n">
        <v>44925</v>
      </c>
      <c r="C1024" s="1" t="n">
        <v>45657</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576-2023</t>
        </is>
      </c>
      <c r="B1025" s="1" t="n">
        <v>44925</v>
      </c>
      <c r="C1025" s="1" t="n">
        <v>45657</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45657</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755-2023</t>
        </is>
      </c>
      <c r="B1027" s="1" t="n">
        <v>44931</v>
      </c>
      <c r="C1027" s="1" t="n">
        <v>45657</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875-2023</t>
        </is>
      </c>
      <c r="B1028" s="1" t="n">
        <v>44931</v>
      </c>
      <c r="C1028" s="1" t="n">
        <v>45657</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45657</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1183-2023</t>
        </is>
      </c>
      <c r="B1030" s="1" t="n">
        <v>44935</v>
      </c>
      <c r="C1030" s="1" t="n">
        <v>45657</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1335-2023</t>
        </is>
      </c>
      <c r="B1031" s="1" t="n">
        <v>44936</v>
      </c>
      <c r="C1031" s="1" t="n">
        <v>45657</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1373-2023</t>
        </is>
      </c>
      <c r="B1032" s="1" t="n">
        <v>44936</v>
      </c>
      <c r="C1032" s="1" t="n">
        <v>45657</v>
      </c>
      <c r="D1032" t="inlineStr">
        <is>
          <t>STOCKHOLMS LÄN</t>
        </is>
      </c>
      <c r="E1032" t="inlineStr">
        <is>
          <t>NORRTÄLJE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1448-2023</t>
        </is>
      </c>
      <c r="B1033" s="1" t="n">
        <v>44937</v>
      </c>
      <c r="C1033" s="1" t="n">
        <v>45657</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1740-2023</t>
        </is>
      </c>
      <c r="B1034" s="1" t="n">
        <v>44938</v>
      </c>
      <c r="C1034" s="1" t="n">
        <v>45657</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1847-2023</t>
        </is>
      </c>
      <c r="B1035" s="1" t="n">
        <v>44938</v>
      </c>
      <c r="C1035" s="1" t="n">
        <v>45657</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2103-2023</t>
        </is>
      </c>
      <c r="B1036" s="1" t="n">
        <v>44939</v>
      </c>
      <c r="C1036" s="1" t="n">
        <v>45657</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2976-2023</t>
        </is>
      </c>
      <c r="B1037" s="1" t="n">
        <v>44945</v>
      </c>
      <c r="C1037" s="1" t="n">
        <v>45657</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2890-2023</t>
        </is>
      </c>
      <c r="B1038" s="1" t="n">
        <v>44945</v>
      </c>
      <c r="C1038" s="1" t="n">
        <v>45657</v>
      </c>
      <c r="D1038" t="inlineStr">
        <is>
          <t>STOCKHOLMS LÄN</t>
        </is>
      </c>
      <c r="E1038" t="inlineStr">
        <is>
          <t>NORRTÄLJE</t>
        </is>
      </c>
      <c r="F1038" t="inlineStr">
        <is>
          <t>Holmen skog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2982-2023</t>
        </is>
      </c>
      <c r="B1039" s="1" t="n">
        <v>44945</v>
      </c>
      <c r="C1039" s="1" t="n">
        <v>45657</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3383-2023</t>
        </is>
      </c>
      <c r="B1040" s="1" t="n">
        <v>44949</v>
      </c>
      <c r="C1040" s="1" t="n">
        <v>45657</v>
      </c>
      <c r="D1040" t="inlineStr">
        <is>
          <t>STOCKHOLMS LÄN</t>
        </is>
      </c>
      <c r="E1040" t="inlineStr">
        <is>
          <t>NORRTÄLJE</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3444-2023</t>
        </is>
      </c>
      <c r="B1041" s="1" t="n">
        <v>44949</v>
      </c>
      <c r="C1041" s="1" t="n">
        <v>45657</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4035-2023</t>
        </is>
      </c>
      <c r="B1042" s="1" t="n">
        <v>44952</v>
      </c>
      <c r="C1042" s="1" t="n">
        <v>45657</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4058-2023</t>
        </is>
      </c>
      <c r="B1043" s="1" t="n">
        <v>44952</v>
      </c>
      <c r="C1043" s="1" t="n">
        <v>45657</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4194-2023</t>
        </is>
      </c>
      <c r="B1044" s="1" t="n">
        <v>44953</v>
      </c>
      <c r="C1044" s="1" t="n">
        <v>45657</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4168-2023</t>
        </is>
      </c>
      <c r="B1045" s="1" t="n">
        <v>44953</v>
      </c>
      <c r="C1045" s="1" t="n">
        <v>45657</v>
      </c>
      <c r="D1045" t="inlineStr">
        <is>
          <t>STOCKHOLMS LÄN</t>
        </is>
      </c>
      <c r="E1045" t="inlineStr">
        <is>
          <t>NORRTÄLJE</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4316-2023</t>
        </is>
      </c>
      <c r="B1046" s="1" t="n">
        <v>44953</v>
      </c>
      <c r="C1046" s="1" t="n">
        <v>45657</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4326-2023</t>
        </is>
      </c>
      <c r="B1047" s="1" t="n">
        <v>44953</v>
      </c>
      <c r="C1047" s="1" t="n">
        <v>45657</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4322-2023</t>
        </is>
      </c>
      <c r="B1048" s="1" t="n">
        <v>44953</v>
      </c>
      <c r="C1048" s="1" t="n">
        <v>45657</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4364-2023</t>
        </is>
      </c>
      <c r="B1049" s="1" t="n">
        <v>44954</v>
      </c>
      <c r="C1049" s="1" t="n">
        <v>45657</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4395-2023</t>
        </is>
      </c>
      <c r="B1050" s="1" t="n">
        <v>44956</v>
      </c>
      <c r="C1050" s="1" t="n">
        <v>45657</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4438-2023</t>
        </is>
      </c>
      <c r="B1051" s="1" t="n">
        <v>44956</v>
      </c>
      <c r="C1051" s="1" t="n">
        <v>45657</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4593-2023</t>
        </is>
      </c>
      <c r="B1052" s="1" t="n">
        <v>44956</v>
      </c>
      <c r="C1052" s="1" t="n">
        <v>45657</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4596-2023</t>
        </is>
      </c>
      <c r="B1053" s="1" t="n">
        <v>44956</v>
      </c>
      <c r="C1053" s="1" t="n">
        <v>45657</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4553-2023</t>
        </is>
      </c>
      <c r="B1054" s="1" t="n">
        <v>44956</v>
      </c>
      <c r="C1054" s="1" t="n">
        <v>45657</v>
      </c>
      <c r="D1054" t="inlineStr">
        <is>
          <t>STOCKHOLMS LÄN</t>
        </is>
      </c>
      <c r="E1054" t="inlineStr">
        <is>
          <t>NORRTÄLJE</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5137-2023</t>
        </is>
      </c>
      <c r="B1055" s="1" t="n">
        <v>44958</v>
      </c>
      <c r="C1055" s="1" t="n">
        <v>45657</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5207-2023</t>
        </is>
      </c>
      <c r="B1056" s="1" t="n">
        <v>44959</v>
      </c>
      <c r="C1056" s="1" t="n">
        <v>45657</v>
      </c>
      <c r="D1056" t="inlineStr">
        <is>
          <t>STOCKHOLMS LÄN</t>
        </is>
      </c>
      <c r="E1056" t="inlineStr">
        <is>
          <t>NORRTÄLJE</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5422-2023</t>
        </is>
      </c>
      <c r="B1057" s="1" t="n">
        <v>44959</v>
      </c>
      <c r="C1057" s="1" t="n">
        <v>45657</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5244-2023</t>
        </is>
      </c>
      <c r="B1058" s="1" t="n">
        <v>44959</v>
      </c>
      <c r="C1058" s="1" t="n">
        <v>45657</v>
      </c>
      <c r="D1058" t="inlineStr">
        <is>
          <t>STOCKHOLMS LÄN</t>
        </is>
      </c>
      <c r="E1058" t="inlineStr">
        <is>
          <t>NORRTÄLJE</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5423-2023</t>
        </is>
      </c>
      <c r="B1059" s="1" t="n">
        <v>44959</v>
      </c>
      <c r="C1059" s="1" t="n">
        <v>45657</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6312-2023</t>
        </is>
      </c>
      <c r="B1060" s="1" t="n">
        <v>44959</v>
      </c>
      <c r="C1060" s="1" t="n">
        <v>45657</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5645-2023</t>
        </is>
      </c>
      <c r="B1061" s="1" t="n">
        <v>44960</v>
      </c>
      <c r="C1061" s="1" t="n">
        <v>45657</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5501-2023</t>
        </is>
      </c>
      <c r="B1062" s="1" t="n">
        <v>44960</v>
      </c>
      <c r="C1062" s="1" t="n">
        <v>45657</v>
      </c>
      <c r="D1062" t="inlineStr">
        <is>
          <t>STOCKHOLMS LÄN</t>
        </is>
      </c>
      <c r="E1062" t="inlineStr">
        <is>
          <t>NORRTÄLJE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6496-2023</t>
        </is>
      </c>
      <c r="B1063" s="1" t="n">
        <v>44960</v>
      </c>
      <c r="C1063" s="1" t="n">
        <v>45657</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5732-2023</t>
        </is>
      </c>
      <c r="B1064" s="1" t="n">
        <v>44962</v>
      </c>
      <c r="C1064" s="1" t="n">
        <v>45657</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5823-2023</t>
        </is>
      </c>
      <c r="B1065" s="1" t="n">
        <v>44963</v>
      </c>
      <c r="C1065" s="1" t="n">
        <v>45657</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5839-2023</t>
        </is>
      </c>
      <c r="B1066" s="1" t="n">
        <v>44963</v>
      </c>
      <c r="C1066" s="1" t="n">
        <v>45657</v>
      </c>
      <c r="D1066" t="inlineStr">
        <is>
          <t>STOCKHOLMS LÄN</t>
        </is>
      </c>
      <c r="E1066" t="inlineStr">
        <is>
          <t>NORRTÄLJE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6433-2023</t>
        </is>
      </c>
      <c r="B1067" s="1" t="n">
        <v>44965</v>
      </c>
      <c r="C1067" s="1" t="n">
        <v>45657</v>
      </c>
      <c r="D1067" t="inlineStr">
        <is>
          <t>STOCKHOLMS LÄN</t>
        </is>
      </c>
      <c r="E1067" t="inlineStr">
        <is>
          <t>NORRTÄLJE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7230-2023</t>
        </is>
      </c>
      <c r="B1068" s="1" t="n">
        <v>44965</v>
      </c>
      <c r="C1068" s="1" t="n">
        <v>45657</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6437-2023</t>
        </is>
      </c>
      <c r="B1069" s="1" t="n">
        <v>44965</v>
      </c>
      <c r="C1069" s="1" t="n">
        <v>45657</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7093-2023</t>
        </is>
      </c>
      <c r="B1070" s="1" t="n">
        <v>44970</v>
      </c>
      <c r="C1070" s="1" t="n">
        <v>45657</v>
      </c>
      <c r="D1070" t="inlineStr">
        <is>
          <t>STOCKHOLMS LÄN</t>
        </is>
      </c>
      <c r="E1070" t="inlineStr">
        <is>
          <t>NORRTÄLJE</t>
        </is>
      </c>
      <c r="F1070" t="inlineStr">
        <is>
          <t>Sveaskog</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7190-2023</t>
        </is>
      </c>
      <c r="B1071" s="1" t="n">
        <v>44970</v>
      </c>
      <c r="C1071" s="1" t="n">
        <v>45657</v>
      </c>
      <c r="D1071" t="inlineStr">
        <is>
          <t>STOCKHOLMS LÄN</t>
        </is>
      </c>
      <c r="E1071" t="inlineStr">
        <is>
          <t>NORRTÄLJE</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7120-2023</t>
        </is>
      </c>
      <c r="B1072" s="1" t="n">
        <v>44970</v>
      </c>
      <c r="C1072" s="1" t="n">
        <v>45657</v>
      </c>
      <c r="D1072" t="inlineStr">
        <is>
          <t>STOCKHOLMS LÄN</t>
        </is>
      </c>
      <c r="E1072" t="inlineStr">
        <is>
          <t>NORRTÄLJE</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7638-2023</t>
        </is>
      </c>
      <c r="B1073" s="1" t="n">
        <v>44972</v>
      </c>
      <c r="C1073" s="1" t="n">
        <v>45657</v>
      </c>
      <c r="D1073" t="inlineStr">
        <is>
          <t>STOCKHOLMS LÄN</t>
        </is>
      </c>
      <c r="E1073" t="inlineStr">
        <is>
          <t>NORRTÄLJE</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7966-2023</t>
        </is>
      </c>
      <c r="B1074" s="1" t="n">
        <v>44973</v>
      </c>
      <c r="C1074" s="1" t="n">
        <v>45657</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7974-2023</t>
        </is>
      </c>
      <c r="B1075" s="1" t="n">
        <v>44973</v>
      </c>
      <c r="C1075" s="1" t="n">
        <v>45657</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8296-2023</t>
        </is>
      </c>
      <c r="B1076" s="1" t="n">
        <v>44974</v>
      </c>
      <c r="C1076" s="1" t="n">
        <v>45657</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8586-2023</t>
        </is>
      </c>
      <c r="B1077" s="1" t="n">
        <v>44977</v>
      </c>
      <c r="C1077" s="1" t="n">
        <v>45657</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9401-2023</t>
        </is>
      </c>
      <c r="B1078" s="1" t="n">
        <v>44977</v>
      </c>
      <c r="C1078" s="1" t="n">
        <v>45657</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8730-2023</t>
        </is>
      </c>
      <c r="B1079" s="1" t="n">
        <v>44978</v>
      </c>
      <c r="C1079" s="1" t="n">
        <v>45657</v>
      </c>
      <c r="D1079" t="inlineStr">
        <is>
          <t>STOCKHOLMS LÄN</t>
        </is>
      </c>
      <c r="E1079" t="inlineStr">
        <is>
          <t>NORRTÄLJE</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8762-2023</t>
        </is>
      </c>
      <c r="B1080" s="1" t="n">
        <v>44978</v>
      </c>
      <c r="C1080" s="1" t="n">
        <v>45657</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8899-2023</t>
        </is>
      </c>
      <c r="B1081" s="1" t="n">
        <v>44979</v>
      </c>
      <c r="C1081" s="1" t="n">
        <v>45657</v>
      </c>
      <c r="D1081" t="inlineStr">
        <is>
          <t>STOCKHOLMS LÄN</t>
        </is>
      </c>
      <c r="E1081" t="inlineStr">
        <is>
          <t>NORRTÄLJE</t>
        </is>
      </c>
      <c r="F1081" t="inlineStr">
        <is>
          <t>Naturvårdsverket</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9189-2023</t>
        </is>
      </c>
      <c r="B1082" s="1" t="n">
        <v>44980</v>
      </c>
      <c r="C1082" s="1" t="n">
        <v>45657</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9184-2023</t>
        </is>
      </c>
      <c r="B1083" s="1" t="n">
        <v>44980</v>
      </c>
      <c r="C1083" s="1" t="n">
        <v>45657</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9255-2023</t>
        </is>
      </c>
      <c r="B1084" s="1" t="n">
        <v>44980</v>
      </c>
      <c r="C1084" s="1" t="n">
        <v>45657</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9329-2023</t>
        </is>
      </c>
      <c r="B1085" s="1" t="n">
        <v>44980</v>
      </c>
      <c r="C1085" s="1" t="n">
        <v>45657</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9793-2023</t>
        </is>
      </c>
      <c r="B1086" s="1" t="n">
        <v>44984</v>
      </c>
      <c r="C1086" s="1" t="n">
        <v>45657</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9914-2023</t>
        </is>
      </c>
      <c r="B1087" s="1" t="n">
        <v>44985</v>
      </c>
      <c r="C1087" s="1" t="n">
        <v>45657</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9965-2023</t>
        </is>
      </c>
      <c r="B1088" s="1" t="n">
        <v>44985</v>
      </c>
      <c r="C1088" s="1" t="n">
        <v>45657</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9995-2023</t>
        </is>
      </c>
      <c r="B1089" s="1" t="n">
        <v>44985</v>
      </c>
      <c r="C1089" s="1" t="n">
        <v>45657</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10036-2023</t>
        </is>
      </c>
      <c r="B1090" s="1" t="n">
        <v>44985</v>
      </c>
      <c r="C1090" s="1" t="n">
        <v>45657</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10039-2023</t>
        </is>
      </c>
      <c r="B1091" s="1" t="n">
        <v>44985</v>
      </c>
      <c r="C1091" s="1" t="n">
        <v>45657</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9945-2023</t>
        </is>
      </c>
      <c r="B1092" s="1" t="n">
        <v>44985</v>
      </c>
      <c r="C1092" s="1" t="n">
        <v>45657</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10105-2023</t>
        </is>
      </c>
      <c r="B1093" s="1" t="n">
        <v>44986</v>
      </c>
      <c r="C1093" s="1" t="n">
        <v>45657</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10215-2023</t>
        </is>
      </c>
      <c r="B1094" s="1" t="n">
        <v>44986</v>
      </c>
      <c r="C1094" s="1" t="n">
        <v>45657</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11280-2023</t>
        </is>
      </c>
      <c r="B1095" s="1" t="n">
        <v>44992</v>
      </c>
      <c r="C1095" s="1" t="n">
        <v>45657</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11499-2023</t>
        </is>
      </c>
      <c r="B1096" s="1" t="n">
        <v>44993</v>
      </c>
      <c r="C1096" s="1" t="n">
        <v>45657</v>
      </c>
      <c r="D1096" t="inlineStr">
        <is>
          <t>STOCKHOLMS LÄN</t>
        </is>
      </c>
      <c r="E1096" t="inlineStr">
        <is>
          <t>NORRTÄLJE</t>
        </is>
      </c>
      <c r="F1096" t="inlineStr">
        <is>
          <t>Holmen skog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11844-2023</t>
        </is>
      </c>
      <c r="B1097" s="1" t="n">
        <v>44995</v>
      </c>
      <c r="C1097" s="1" t="n">
        <v>45657</v>
      </c>
      <c r="D1097" t="inlineStr">
        <is>
          <t>STOCKHOLMS LÄN</t>
        </is>
      </c>
      <c r="E1097" t="inlineStr">
        <is>
          <t>NORRTÄLJE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11940-2023</t>
        </is>
      </c>
      <c r="B1098" s="1" t="n">
        <v>44995</v>
      </c>
      <c r="C1098" s="1" t="n">
        <v>45657</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11852-2023</t>
        </is>
      </c>
      <c r="B1099" s="1" t="n">
        <v>44995</v>
      </c>
      <c r="C1099" s="1" t="n">
        <v>45657</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12609-2023</t>
        </is>
      </c>
      <c r="B1100" s="1" t="n">
        <v>45000</v>
      </c>
      <c r="C1100" s="1" t="n">
        <v>45657</v>
      </c>
      <c r="D1100" t="inlineStr">
        <is>
          <t>STOCKHOLMS LÄN</t>
        </is>
      </c>
      <c r="E1100" t="inlineStr">
        <is>
          <t>NORRTÄLJE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12756-2023</t>
        </is>
      </c>
      <c r="B1101" s="1" t="n">
        <v>45000</v>
      </c>
      <c r="C1101" s="1" t="n">
        <v>45657</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13072-2023</t>
        </is>
      </c>
      <c r="B1102" s="1" t="n">
        <v>45002</v>
      </c>
      <c r="C1102" s="1" t="n">
        <v>45657</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13354-2023</t>
        </is>
      </c>
      <c r="B1103" s="1" t="n">
        <v>45005</v>
      </c>
      <c r="C1103" s="1" t="n">
        <v>45657</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13360-2023</t>
        </is>
      </c>
      <c r="B1104" s="1" t="n">
        <v>45005</v>
      </c>
      <c r="C1104" s="1" t="n">
        <v>45657</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13860-2023</t>
        </is>
      </c>
      <c r="B1105" s="1" t="n">
        <v>45007</v>
      </c>
      <c r="C1105" s="1" t="n">
        <v>45657</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13957-2023</t>
        </is>
      </c>
      <c r="B1106" s="1" t="n">
        <v>45008</v>
      </c>
      <c r="C1106" s="1" t="n">
        <v>45657</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13947-2023</t>
        </is>
      </c>
      <c r="B1107" s="1" t="n">
        <v>45008</v>
      </c>
      <c r="C1107" s="1" t="n">
        <v>45657</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13977-2023</t>
        </is>
      </c>
      <c r="B1108" s="1" t="n">
        <v>45008</v>
      </c>
      <c r="C1108" s="1" t="n">
        <v>45657</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14135-2023</t>
        </is>
      </c>
      <c r="B1109" s="1" t="n">
        <v>45009</v>
      </c>
      <c r="C1109" s="1" t="n">
        <v>45657</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15217-2023</t>
        </is>
      </c>
      <c r="B1110" s="1" t="n">
        <v>45019</v>
      </c>
      <c r="C1110" s="1" t="n">
        <v>45657</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15256-2023</t>
        </is>
      </c>
      <c r="B1111" s="1" t="n">
        <v>45019</v>
      </c>
      <c r="C1111" s="1" t="n">
        <v>45657</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15447-2023</t>
        </is>
      </c>
      <c r="B1112" s="1" t="n">
        <v>45020</v>
      </c>
      <c r="C1112" s="1" t="n">
        <v>45657</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15459-2023</t>
        </is>
      </c>
      <c r="B1113" s="1" t="n">
        <v>45020</v>
      </c>
      <c r="C1113" s="1" t="n">
        <v>45657</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15655-2023</t>
        </is>
      </c>
      <c r="B1114" s="1" t="n">
        <v>45021</v>
      </c>
      <c r="C1114" s="1" t="n">
        <v>45657</v>
      </c>
      <c r="D1114" t="inlineStr">
        <is>
          <t>STOCKHOLMS LÄN</t>
        </is>
      </c>
      <c r="E1114" t="inlineStr">
        <is>
          <t>NORRTÄLJE</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15905-2023</t>
        </is>
      </c>
      <c r="B1115" s="1" t="n">
        <v>45022</v>
      </c>
      <c r="C1115" s="1" t="n">
        <v>45657</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15915-2023</t>
        </is>
      </c>
      <c r="B1116" s="1" t="n">
        <v>45022</v>
      </c>
      <c r="C1116" s="1" t="n">
        <v>45657</v>
      </c>
      <c r="D1116" t="inlineStr">
        <is>
          <t>STOCKHOLMS LÄN</t>
        </is>
      </c>
      <c r="E1116" t="inlineStr">
        <is>
          <t>NORRTÄLJE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15956-2023</t>
        </is>
      </c>
      <c r="B1117" s="1" t="n">
        <v>45022</v>
      </c>
      <c r="C1117" s="1" t="n">
        <v>45657</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15954-2023</t>
        </is>
      </c>
      <c r="B1118" s="1" t="n">
        <v>45022</v>
      </c>
      <c r="C1118" s="1" t="n">
        <v>45657</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16006-2023</t>
        </is>
      </c>
      <c r="B1119" s="1" t="n">
        <v>45025</v>
      </c>
      <c r="C1119" s="1" t="n">
        <v>45657</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16980-2023</t>
        </is>
      </c>
      <c r="B1120" s="1" t="n">
        <v>45033</v>
      </c>
      <c r="C1120" s="1" t="n">
        <v>45657</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16977-2023</t>
        </is>
      </c>
      <c r="B1121" s="1" t="n">
        <v>45033</v>
      </c>
      <c r="C1121" s="1" t="n">
        <v>45657</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17140-2023</t>
        </is>
      </c>
      <c r="B1122" s="1" t="n">
        <v>45034</v>
      </c>
      <c r="C1122" s="1" t="n">
        <v>45657</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17133-2023</t>
        </is>
      </c>
      <c r="B1123" s="1" t="n">
        <v>45034</v>
      </c>
      <c r="C1123" s="1" t="n">
        <v>45657</v>
      </c>
      <c r="D1123" t="inlineStr">
        <is>
          <t>STOCKHOLMS LÄN</t>
        </is>
      </c>
      <c r="E1123" t="inlineStr">
        <is>
          <t>NORRTÄLJE</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17919-2023</t>
        </is>
      </c>
      <c r="B1124" s="1" t="n">
        <v>45040</v>
      </c>
      <c r="C1124" s="1" t="n">
        <v>45657</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17939-2023</t>
        </is>
      </c>
      <c r="B1125" s="1" t="n">
        <v>45040</v>
      </c>
      <c r="C1125" s="1" t="n">
        <v>45657</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17930-2023</t>
        </is>
      </c>
      <c r="B1126" s="1" t="n">
        <v>45040</v>
      </c>
      <c r="C1126" s="1" t="n">
        <v>45657</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17984-2023</t>
        </is>
      </c>
      <c r="B1127" s="1" t="n">
        <v>45040</v>
      </c>
      <c r="C1127" s="1" t="n">
        <v>45657</v>
      </c>
      <c r="D1127" t="inlineStr">
        <is>
          <t>STOCKHOLMS LÄN</t>
        </is>
      </c>
      <c r="E1127" t="inlineStr">
        <is>
          <t>NORRTÄLJE</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18023-2023</t>
        </is>
      </c>
      <c r="B1128" s="1" t="n">
        <v>45040</v>
      </c>
      <c r="C1128" s="1" t="n">
        <v>45657</v>
      </c>
      <c r="D1128" t="inlineStr">
        <is>
          <t>STOCKHOLMS LÄN</t>
        </is>
      </c>
      <c r="E1128" t="inlineStr">
        <is>
          <t>NORRTÄLJE</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18541-2023</t>
        </is>
      </c>
      <c r="B1129" s="1" t="n">
        <v>45042</v>
      </c>
      <c r="C1129" s="1" t="n">
        <v>45657</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18540-2023</t>
        </is>
      </c>
      <c r="B1130" s="1" t="n">
        <v>45042</v>
      </c>
      <c r="C1130" s="1" t="n">
        <v>45657</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18895-2023</t>
        </is>
      </c>
      <c r="B1131" s="1" t="n">
        <v>45044</v>
      </c>
      <c r="C1131" s="1" t="n">
        <v>45657</v>
      </c>
      <c r="D1131" t="inlineStr">
        <is>
          <t>STOCKHOLMS LÄN</t>
        </is>
      </c>
      <c r="E1131" t="inlineStr">
        <is>
          <t>NORRTÄLJE</t>
        </is>
      </c>
      <c r="F1131" t="inlineStr">
        <is>
          <t>Kommuner</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19074-2023</t>
        </is>
      </c>
      <c r="B1132" s="1" t="n">
        <v>45048</v>
      </c>
      <c r="C1132" s="1" t="n">
        <v>45657</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19058-2023</t>
        </is>
      </c>
      <c r="B1133" s="1" t="n">
        <v>45048</v>
      </c>
      <c r="C1133" s="1" t="n">
        <v>45657</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19702-2023</t>
        </is>
      </c>
      <c r="B1134" s="1" t="n">
        <v>45051</v>
      </c>
      <c r="C1134" s="1" t="n">
        <v>45657</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19706-2023</t>
        </is>
      </c>
      <c r="B1135" s="1" t="n">
        <v>45051</v>
      </c>
      <c r="C1135" s="1" t="n">
        <v>45657</v>
      </c>
      <c r="D1135" t="inlineStr">
        <is>
          <t>STOCKHOLMS LÄN</t>
        </is>
      </c>
      <c r="E1135" t="inlineStr">
        <is>
          <t>NORRTÄLJE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19719-2023</t>
        </is>
      </c>
      <c r="B1136" s="1" t="n">
        <v>45051</v>
      </c>
      <c r="C1136" s="1" t="n">
        <v>45657</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19951-2023</t>
        </is>
      </c>
      <c r="B1137" s="1" t="n">
        <v>45054</v>
      </c>
      <c r="C1137" s="1" t="n">
        <v>45657</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19971-2023</t>
        </is>
      </c>
      <c r="B1138" s="1" t="n">
        <v>45054</v>
      </c>
      <c r="C1138" s="1" t="n">
        <v>45657</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19994-2023</t>
        </is>
      </c>
      <c r="B1139" s="1" t="n">
        <v>45054</v>
      </c>
      <c r="C1139" s="1" t="n">
        <v>45657</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19952-2023</t>
        </is>
      </c>
      <c r="B1140" s="1" t="n">
        <v>45054</v>
      </c>
      <c r="C1140" s="1" t="n">
        <v>45657</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20004-2023</t>
        </is>
      </c>
      <c r="B1141" s="1" t="n">
        <v>45054</v>
      </c>
      <c r="C1141" s="1" t="n">
        <v>45657</v>
      </c>
      <c r="D1141" t="inlineStr">
        <is>
          <t>STOCKHOLMS LÄN</t>
        </is>
      </c>
      <c r="E1141" t="inlineStr">
        <is>
          <t>NORRTÄLJE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20015-2023</t>
        </is>
      </c>
      <c r="B1142" s="1" t="n">
        <v>45054</v>
      </c>
      <c r="C1142" s="1" t="n">
        <v>45657</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20144-2023</t>
        </is>
      </c>
      <c r="B1143" s="1" t="n">
        <v>45055</v>
      </c>
      <c r="C1143" s="1" t="n">
        <v>45657</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20304-2023</t>
        </is>
      </c>
      <c r="B1144" s="1" t="n">
        <v>45056</v>
      </c>
      <c r="C1144" s="1" t="n">
        <v>45657</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20535-2023</t>
        </is>
      </c>
      <c r="B1145" s="1" t="n">
        <v>45057</v>
      </c>
      <c r="C1145" s="1" t="n">
        <v>45657</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20852-2023</t>
        </is>
      </c>
      <c r="B1146" s="1" t="n">
        <v>45058</v>
      </c>
      <c r="C1146" s="1" t="n">
        <v>45657</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21237-2023</t>
        </is>
      </c>
      <c r="B1147" s="1" t="n">
        <v>45062</v>
      </c>
      <c r="C1147" s="1" t="n">
        <v>45657</v>
      </c>
      <c r="D1147" t="inlineStr">
        <is>
          <t>STOCKHOLMS LÄN</t>
        </is>
      </c>
      <c r="E1147" t="inlineStr">
        <is>
          <t>NORRTÄLJE</t>
        </is>
      </c>
      <c r="F1147" t="inlineStr">
        <is>
          <t>Övriga Aktiebolag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21386-2023</t>
        </is>
      </c>
      <c r="B1148" s="1" t="n">
        <v>45063</v>
      </c>
      <c r="C1148" s="1" t="n">
        <v>45657</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21435-2023</t>
        </is>
      </c>
      <c r="B1149" s="1" t="n">
        <v>45063</v>
      </c>
      <c r="C1149" s="1" t="n">
        <v>45657</v>
      </c>
      <c r="D1149" t="inlineStr">
        <is>
          <t>STOCKHOLMS LÄN</t>
        </is>
      </c>
      <c r="E1149" t="inlineStr">
        <is>
          <t>NORRTÄLJE</t>
        </is>
      </c>
      <c r="G1149" t="n">
        <v>19.1</v>
      </c>
      <c r="H1149" t="n">
        <v>0</v>
      </c>
      <c r="I1149" t="n">
        <v>0</v>
      </c>
      <c r="J1149" t="n">
        <v>0</v>
      </c>
      <c r="K1149" t="n">
        <v>0</v>
      </c>
      <c r="L1149" t="n">
        <v>0</v>
      </c>
      <c r="M1149" t="n">
        <v>0</v>
      </c>
      <c r="N1149" t="n">
        <v>0</v>
      </c>
      <c r="O1149" t="n">
        <v>0</v>
      </c>
      <c r="P1149" t="n">
        <v>0</v>
      </c>
      <c r="Q1149" t="n">
        <v>0</v>
      </c>
      <c r="R1149" s="2" t="inlineStr"/>
    </row>
    <row r="1150" ht="15" customHeight="1">
      <c r="A1150" t="inlineStr">
        <is>
          <t>A 21732-2023</t>
        </is>
      </c>
      <c r="B1150" s="1" t="n">
        <v>45063</v>
      </c>
      <c r="C1150" s="1" t="n">
        <v>45657</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21733-2023</t>
        </is>
      </c>
      <c r="B1151" s="1" t="n">
        <v>45063</v>
      </c>
      <c r="C1151" s="1" t="n">
        <v>45657</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21731-2023</t>
        </is>
      </c>
      <c r="B1152" s="1" t="n">
        <v>45063</v>
      </c>
      <c r="C1152" s="1" t="n">
        <v>45657</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21718-2023</t>
        </is>
      </c>
      <c r="B1153" s="1" t="n">
        <v>45065</v>
      </c>
      <c r="C1153" s="1" t="n">
        <v>45657</v>
      </c>
      <c r="D1153" t="inlineStr">
        <is>
          <t>STOCKHOLMS LÄN</t>
        </is>
      </c>
      <c r="E1153" t="inlineStr">
        <is>
          <t>NORRTÄLJE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21719-2023</t>
        </is>
      </c>
      <c r="B1154" s="1" t="n">
        <v>45065</v>
      </c>
      <c r="C1154" s="1" t="n">
        <v>45657</v>
      </c>
      <c r="D1154" t="inlineStr">
        <is>
          <t>STOCKHOLMS LÄN</t>
        </is>
      </c>
      <c r="E1154" t="inlineStr">
        <is>
          <t>NORRTÄLJE</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21745-2023</t>
        </is>
      </c>
      <c r="B1155" s="1" t="n">
        <v>45065</v>
      </c>
      <c r="C1155" s="1" t="n">
        <v>45657</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21720-2023</t>
        </is>
      </c>
      <c r="B1156" s="1" t="n">
        <v>45065</v>
      </c>
      <c r="C1156" s="1" t="n">
        <v>45657</v>
      </c>
      <c r="D1156" t="inlineStr">
        <is>
          <t>STOCKHOLMS LÄN</t>
        </is>
      </c>
      <c r="E1156" t="inlineStr">
        <is>
          <t>NORRTÄLJE</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21716-2023</t>
        </is>
      </c>
      <c r="B1157" s="1" t="n">
        <v>45065</v>
      </c>
      <c r="C1157" s="1" t="n">
        <v>45657</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21894-2023</t>
        </is>
      </c>
      <c r="B1158" s="1" t="n">
        <v>45068</v>
      </c>
      <c r="C1158" s="1" t="n">
        <v>45657</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21832-2023</t>
        </is>
      </c>
      <c r="B1159" s="1" t="n">
        <v>45068</v>
      </c>
      <c r="C1159" s="1" t="n">
        <v>45657</v>
      </c>
      <c r="D1159" t="inlineStr">
        <is>
          <t>STOCKHOLMS LÄN</t>
        </is>
      </c>
      <c r="E1159" t="inlineStr">
        <is>
          <t>NORRTÄLJE</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21825-2023</t>
        </is>
      </c>
      <c r="B1160" s="1" t="n">
        <v>45068</v>
      </c>
      <c r="C1160" s="1" t="n">
        <v>45657</v>
      </c>
      <c r="D1160" t="inlineStr">
        <is>
          <t>STOCKHOLMS LÄN</t>
        </is>
      </c>
      <c r="E1160" t="inlineStr">
        <is>
          <t>NORRTÄLJE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21897-2023</t>
        </is>
      </c>
      <c r="B1161" s="1" t="n">
        <v>45068</v>
      </c>
      <c r="C1161" s="1" t="n">
        <v>45657</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21993-2023</t>
        </is>
      </c>
      <c r="B1162" s="1" t="n">
        <v>45068</v>
      </c>
      <c r="C1162" s="1" t="n">
        <v>45657</v>
      </c>
      <c r="D1162" t="inlineStr">
        <is>
          <t>STOCKHOLMS LÄN</t>
        </is>
      </c>
      <c r="E1162" t="inlineStr">
        <is>
          <t>NORRTÄLJE</t>
        </is>
      </c>
      <c r="G1162" t="n">
        <v>17.2</v>
      </c>
      <c r="H1162" t="n">
        <v>0</v>
      </c>
      <c r="I1162" t="n">
        <v>0</v>
      </c>
      <c r="J1162" t="n">
        <v>0</v>
      </c>
      <c r="K1162" t="n">
        <v>0</v>
      </c>
      <c r="L1162" t="n">
        <v>0</v>
      </c>
      <c r="M1162" t="n">
        <v>0</v>
      </c>
      <c r="N1162" t="n">
        <v>0</v>
      </c>
      <c r="O1162" t="n">
        <v>0</v>
      </c>
      <c r="P1162" t="n">
        <v>0</v>
      </c>
      <c r="Q1162" t="n">
        <v>0</v>
      </c>
      <c r="R1162" s="2" t="inlineStr"/>
    </row>
    <row r="1163" ht="15" customHeight="1">
      <c r="A1163" t="inlineStr">
        <is>
          <t>A 21961-2023</t>
        </is>
      </c>
      <c r="B1163" s="1" t="n">
        <v>45068</v>
      </c>
      <c r="C1163" s="1" t="n">
        <v>45657</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22157-2023</t>
        </is>
      </c>
      <c r="B1164" s="1" t="n">
        <v>45069</v>
      </c>
      <c r="C1164" s="1" t="n">
        <v>45657</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c r="U1164">
        <f>HYPERLINK("https://klasma.github.io/Logging_0188/knärot/A 22157-2023 karta knärot.png", "A 22157-2023")</f>
        <v/>
      </c>
      <c r="V1164">
        <f>HYPERLINK("https://klasma.github.io/Logging_0188/klagomål/A 22157-2023 FSC-klagomål.docx", "A 22157-2023")</f>
        <v/>
      </c>
      <c r="W1164">
        <f>HYPERLINK("https://klasma.github.io/Logging_0188/klagomålsmail/A 22157-2023 FSC-klagomål mail.docx", "A 22157-2023")</f>
        <v/>
      </c>
      <c r="X1164">
        <f>HYPERLINK("https://klasma.github.io/Logging_0188/tillsyn/A 22157-2023 tillsynsbegäran.docx", "A 22157-2023")</f>
        <v/>
      </c>
      <c r="Y1164">
        <f>HYPERLINK("https://klasma.github.io/Logging_0188/tillsynsmail/A 22157-2023 tillsynsbegäran mail.docx", "A 22157-2023")</f>
        <v/>
      </c>
    </row>
    <row r="1165" ht="15" customHeight="1">
      <c r="A1165" t="inlineStr">
        <is>
          <t>A 22175-2023</t>
        </is>
      </c>
      <c r="B1165" s="1" t="n">
        <v>45069</v>
      </c>
      <c r="C1165" s="1" t="n">
        <v>45657</v>
      </c>
      <c r="D1165" t="inlineStr">
        <is>
          <t>STOCKHOLMS LÄN</t>
        </is>
      </c>
      <c r="E1165" t="inlineStr">
        <is>
          <t>NORRTÄLJE</t>
        </is>
      </c>
      <c r="G1165" t="n">
        <v>32.7</v>
      </c>
      <c r="H1165" t="n">
        <v>0</v>
      </c>
      <c r="I1165" t="n">
        <v>0</v>
      </c>
      <c r="J1165" t="n">
        <v>0</v>
      </c>
      <c r="K1165" t="n">
        <v>0</v>
      </c>
      <c r="L1165" t="n">
        <v>0</v>
      </c>
      <c r="M1165" t="n">
        <v>0</v>
      </c>
      <c r="N1165" t="n">
        <v>0</v>
      </c>
      <c r="O1165" t="n">
        <v>0</v>
      </c>
      <c r="P1165" t="n">
        <v>0</v>
      </c>
      <c r="Q1165" t="n">
        <v>0</v>
      </c>
      <c r="R1165" s="2" t="inlineStr"/>
    </row>
    <row r="1166" ht="15" customHeight="1">
      <c r="A1166" t="inlineStr">
        <is>
          <t>A 22249-2023</t>
        </is>
      </c>
      <c r="B1166" s="1" t="n">
        <v>45070</v>
      </c>
      <c r="C1166" s="1" t="n">
        <v>45657</v>
      </c>
      <c r="D1166" t="inlineStr">
        <is>
          <t>STOCKHOLMS LÄN</t>
        </is>
      </c>
      <c r="E1166" t="inlineStr">
        <is>
          <t>NORRTÄLJE</t>
        </is>
      </c>
      <c r="F1166" t="inlineStr">
        <is>
          <t>Övriga Aktiebolag</t>
        </is>
      </c>
      <c r="G1166" t="n">
        <v>17.7</v>
      </c>
      <c r="H1166" t="n">
        <v>0</v>
      </c>
      <c r="I1166" t="n">
        <v>0</v>
      </c>
      <c r="J1166" t="n">
        <v>0</v>
      </c>
      <c r="K1166" t="n">
        <v>0</v>
      </c>
      <c r="L1166" t="n">
        <v>0</v>
      </c>
      <c r="M1166" t="n">
        <v>0</v>
      </c>
      <c r="N1166" t="n">
        <v>0</v>
      </c>
      <c r="O1166" t="n">
        <v>0</v>
      </c>
      <c r="P1166" t="n">
        <v>0</v>
      </c>
      <c r="Q1166" t="n">
        <v>0</v>
      </c>
      <c r="R1166" s="2" t="inlineStr"/>
    </row>
    <row r="1167" ht="15" customHeight="1">
      <c r="A1167" t="inlineStr">
        <is>
          <t>A 22398-2023</t>
        </is>
      </c>
      <c r="B1167" s="1" t="n">
        <v>45070</v>
      </c>
      <c r="C1167" s="1" t="n">
        <v>45657</v>
      </c>
      <c r="D1167" t="inlineStr">
        <is>
          <t>STOCKHOLMS LÄN</t>
        </is>
      </c>
      <c r="E1167" t="inlineStr">
        <is>
          <t>NORRTÄLJE</t>
        </is>
      </c>
      <c r="F1167" t="inlineStr">
        <is>
          <t>Övriga Aktiebolag</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22376-2023</t>
        </is>
      </c>
      <c r="B1168" s="1" t="n">
        <v>45070</v>
      </c>
      <c r="C1168" s="1" t="n">
        <v>45657</v>
      </c>
      <c r="D1168" t="inlineStr">
        <is>
          <t>STOCKHOLMS LÄN</t>
        </is>
      </c>
      <c r="E1168" t="inlineStr">
        <is>
          <t>NORRTÄLJE</t>
        </is>
      </c>
      <c r="F1168" t="inlineStr">
        <is>
          <t>Kommuner</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22456-2023</t>
        </is>
      </c>
      <c r="B1169" s="1" t="n">
        <v>45070</v>
      </c>
      <c r="C1169" s="1" t="n">
        <v>45657</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22378-2023</t>
        </is>
      </c>
      <c r="B1170" s="1" t="n">
        <v>45070</v>
      </c>
      <c r="C1170" s="1" t="n">
        <v>45657</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22406-2023</t>
        </is>
      </c>
      <c r="B1171" s="1" t="n">
        <v>45070</v>
      </c>
      <c r="C1171" s="1" t="n">
        <v>45657</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22553-2023</t>
        </is>
      </c>
      <c r="B1172" s="1" t="n">
        <v>45071</v>
      </c>
      <c r="C1172" s="1" t="n">
        <v>45657</v>
      </c>
      <c r="D1172" t="inlineStr">
        <is>
          <t>STOCKHOLMS LÄN</t>
        </is>
      </c>
      <c r="E1172" t="inlineStr">
        <is>
          <t>NORRTÄLJE</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22962-2023</t>
        </is>
      </c>
      <c r="B1173" s="1" t="n">
        <v>45072</v>
      </c>
      <c r="C1173" s="1" t="n">
        <v>45657</v>
      </c>
      <c r="D1173" t="inlineStr">
        <is>
          <t>STOCKHOLMS LÄN</t>
        </is>
      </c>
      <c r="E1173" t="inlineStr">
        <is>
          <t>NORRTÄLJE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23056-2023</t>
        </is>
      </c>
      <c r="B1174" s="1" t="n">
        <v>45075</v>
      </c>
      <c r="C1174" s="1" t="n">
        <v>45657</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23060-2023</t>
        </is>
      </c>
      <c r="B1175" s="1" t="n">
        <v>45075</v>
      </c>
      <c r="C1175" s="1" t="n">
        <v>45657</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23070-2023</t>
        </is>
      </c>
      <c r="B1176" s="1" t="n">
        <v>45075</v>
      </c>
      <c r="C1176" s="1" t="n">
        <v>45657</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23130-2023</t>
        </is>
      </c>
      <c r="B1177" s="1" t="n">
        <v>45075</v>
      </c>
      <c r="C1177" s="1" t="n">
        <v>45657</v>
      </c>
      <c r="D1177" t="inlineStr">
        <is>
          <t>STOCKHOLMS LÄN</t>
        </is>
      </c>
      <c r="E1177" t="inlineStr">
        <is>
          <t>NORRTÄLJE</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23265-2023</t>
        </is>
      </c>
      <c r="B1178" s="1" t="n">
        <v>45075</v>
      </c>
      <c r="C1178" s="1" t="n">
        <v>45657</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23269-2023</t>
        </is>
      </c>
      <c r="B1179" s="1" t="n">
        <v>45075</v>
      </c>
      <c r="C1179" s="1" t="n">
        <v>45657</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23273-2023</t>
        </is>
      </c>
      <c r="B1180" s="1" t="n">
        <v>45076</v>
      </c>
      <c r="C1180" s="1" t="n">
        <v>45657</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23134-2023</t>
        </is>
      </c>
      <c r="B1181" s="1" t="n">
        <v>45075</v>
      </c>
      <c r="C1181" s="1" t="n">
        <v>45657</v>
      </c>
      <c r="D1181" t="inlineStr">
        <is>
          <t>STOCKHOLMS LÄN</t>
        </is>
      </c>
      <c r="E1181" t="inlineStr">
        <is>
          <t>NORRTÄLJE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23263-2023</t>
        </is>
      </c>
      <c r="B1182" s="1" t="n">
        <v>45075</v>
      </c>
      <c r="C1182" s="1" t="n">
        <v>45657</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23267-2023</t>
        </is>
      </c>
      <c r="B1183" s="1" t="n">
        <v>45075</v>
      </c>
      <c r="C1183" s="1" t="n">
        <v>45657</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23271-2023</t>
        </is>
      </c>
      <c r="B1184" s="1" t="n">
        <v>45075</v>
      </c>
      <c r="C1184" s="1" t="n">
        <v>45657</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23264-2023</t>
        </is>
      </c>
      <c r="B1185" s="1" t="n">
        <v>45075</v>
      </c>
      <c r="C1185" s="1" t="n">
        <v>45657</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23268-2023</t>
        </is>
      </c>
      <c r="B1186" s="1" t="n">
        <v>45075</v>
      </c>
      <c r="C1186" s="1" t="n">
        <v>45657</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23272-2023</t>
        </is>
      </c>
      <c r="B1187" s="1" t="n">
        <v>45075</v>
      </c>
      <c r="C1187" s="1" t="n">
        <v>45657</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23262-2023</t>
        </is>
      </c>
      <c r="B1188" s="1" t="n">
        <v>45075</v>
      </c>
      <c r="C1188" s="1" t="n">
        <v>45657</v>
      </c>
      <c r="D1188" t="inlineStr">
        <is>
          <t>STOCKHOLMS LÄN</t>
        </is>
      </c>
      <c r="E1188" t="inlineStr">
        <is>
          <t>NORRTÄLJE</t>
        </is>
      </c>
      <c r="F1188" t="inlineStr">
        <is>
          <t>Kommuner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23266-2023</t>
        </is>
      </c>
      <c r="B1189" s="1" t="n">
        <v>45075</v>
      </c>
      <c r="C1189" s="1" t="n">
        <v>45657</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23270-2023</t>
        </is>
      </c>
      <c r="B1190" s="1" t="n">
        <v>45075</v>
      </c>
      <c r="C1190" s="1" t="n">
        <v>45657</v>
      </c>
      <c r="D1190" t="inlineStr">
        <is>
          <t>STOCKHOLMS LÄN</t>
        </is>
      </c>
      <c r="E1190" t="inlineStr">
        <is>
          <t>NORRTÄLJE</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23274-2023</t>
        </is>
      </c>
      <c r="B1191" s="1" t="n">
        <v>45076</v>
      </c>
      <c r="C1191" s="1" t="n">
        <v>45657</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23699-2023</t>
        </is>
      </c>
      <c r="B1192" s="1" t="n">
        <v>45077</v>
      </c>
      <c r="C1192" s="1" t="n">
        <v>45657</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24129-2023</t>
        </is>
      </c>
      <c r="B1193" s="1" t="n">
        <v>45079</v>
      </c>
      <c r="C1193" s="1" t="n">
        <v>45657</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24330-2023</t>
        </is>
      </c>
      <c r="B1194" s="1" t="n">
        <v>45081</v>
      </c>
      <c r="C1194" s="1" t="n">
        <v>45657</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24520-2023</t>
        </is>
      </c>
      <c r="B1195" s="1" t="n">
        <v>45082</v>
      </c>
      <c r="C1195" s="1" t="n">
        <v>45657</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24501-2023</t>
        </is>
      </c>
      <c r="B1196" s="1" t="n">
        <v>45082</v>
      </c>
      <c r="C1196" s="1" t="n">
        <v>45657</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24522-2023</t>
        </is>
      </c>
      <c r="B1197" s="1" t="n">
        <v>45082</v>
      </c>
      <c r="C1197" s="1" t="n">
        <v>45657</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24705-2023</t>
        </is>
      </c>
      <c r="B1198" s="1" t="n">
        <v>45084</v>
      </c>
      <c r="C1198" s="1" t="n">
        <v>45657</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24727-2023</t>
        </is>
      </c>
      <c r="B1199" s="1" t="n">
        <v>45084</v>
      </c>
      <c r="C1199" s="1" t="n">
        <v>45657</v>
      </c>
      <c r="D1199" t="inlineStr">
        <is>
          <t>STOCKHOLMS LÄN</t>
        </is>
      </c>
      <c r="E1199" t="inlineStr">
        <is>
          <t>NORRTÄLJE</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24788-2023</t>
        </is>
      </c>
      <c r="B1200" s="1" t="n">
        <v>45084</v>
      </c>
      <c r="C1200" s="1" t="n">
        <v>45657</v>
      </c>
      <c r="D1200" t="inlineStr">
        <is>
          <t>STOCKHOLMS LÄN</t>
        </is>
      </c>
      <c r="E1200" t="inlineStr">
        <is>
          <t>NORRTÄLJE</t>
        </is>
      </c>
      <c r="F1200" t="inlineStr">
        <is>
          <t>Sveaskog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24789-2023</t>
        </is>
      </c>
      <c r="B1201" s="1" t="n">
        <v>45084</v>
      </c>
      <c r="C1201" s="1" t="n">
        <v>45657</v>
      </c>
      <c r="D1201" t="inlineStr">
        <is>
          <t>STOCKHOLMS LÄN</t>
        </is>
      </c>
      <c r="E1201" t="inlineStr">
        <is>
          <t>NORRTÄLJE</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24887-2023</t>
        </is>
      </c>
      <c r="B1202" s="1" t="n">
        <v>45085</v>
      </c>
      <c r="C1202" s="1" t="n">
        <v>45657</v>
      </c>
      <c r="D1202" t="inlineStr">
        <is>
          <t>STOCKHOLMS LÄN</t>
        </is>
      </c>
      <c r="E1202" t="inlineStr">
        <is>
          <t>NORRTÄLJE</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24933-2023</t>
        </is>
      </c>
      <c r="B1203" s="1" t="n">
        <v>45085</v>
      </c>
      <c r="C1203" s="1" t="n">
        <v>45657</v>
      </c>
      <c r="D1203" t="inlineStr">
        <is>
          <t>STOCKHOLMS LÄN</t>
        </is>
      </c>
      <c r="E1203" t="inlineStr">
        <is>
          <t>NORRTÄLJE</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25174-2023</t>
        </is>
      </c>
      <c r="B1204" s="1" t="n">
        <v>45086</v>
      </c>
      <c r="C1204" s="1" t="n">
        <v>45657</v>
      </c>
      <c r="D1204" t="inlineStr">
        <is>
          <t>STOCKHOLMS LÄN</t>
        </is>
      </c>
      <c r="E1204" t="inlineStr">
        <is>
          <t>NORRTÄLJE</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25094-2023</t>
        </is>
      </c>
      <c r="B1205" s="1" t="n">
        <v>45086</v>
      </c>
      <c r="C1205" s="1" t="n">
        <v>45657</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25257-2023</t>
        </is>
      </c>
      <c r="B1206" s="1" t="n">
        <v>45086</v>
      </c>
      <c r="C1206" s="1" t="n">
        <v>45657</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25614-2023</t>
        </is>
      </c>
      <c r="B1207" s="1" t="n">
        <v>45089</v>
      </c>
      <c r="C1207" s="1" t="n">
        <v>45657</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25625-2023</t>
        </is>
      </c>
      <c r="B1208" s="1" t="n">
        <v>45089</v>
      </c>
      <c r="C1208" s="1" t="n">
        <v>45657</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25557-2023</t>
        </is>
      </c>
      <c r="B1209" s="1" t="n">
        <v>45089</v>
      </c>
      <c r="C1209" s="1" t="n">
        <v>45657</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25609-2023</t>
        </is>
      </c>
      <c r="B1210" s="1" t="n">
        <v>45089</v>
      </c>
      <c r="C1210" s="1" t="n">
        <v>45657</v>
      </c>
      <c r="D1210" t="inlineStr">
        <is>
          <t>STOCKHOLMS LÄN</t>
        </is>
      </c>
      <c r="E1210" t="inlineStr">
        <is>
          <t>NORRTÄLJE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25618-2023</t>
        </is>
      </c>
      <c r="B1211" s="1" t="n">
        <v>45089</v>
      </c>
      <c r="C1211" s="1" t="n">
        <v>45657</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25656-2023</t>
        </is>
      </c>
      <c r="B1212" s="1" t="n">
        <v>45089</v>
      </c>
      <c r="C1212" s="1" t="n">
        <v>45657</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25654-2023</t>
        </is>
      </c>
      <c r="B1213" s="1" t="n">
        <v>45089</v>
      </c>
      <c r="C1213" s="1" t="n">
        <v>45657</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25831-2023</t>
        </is>
      </c>
      <c r="B1214" s="1" t="n">
        <v>45090</v>
      </c>
      <c r="C1214" s="1" t="n">
        <v>45657</v>
      </c>
      <c r="D1214" t="inlineStr">
        <is>
          <t>STOCKHOLMS LÄN</t>
        </is>
      </c>
      <c r="E1214" t="inlineStr">
        <is>
          <t>NORRTÄLJE</t>
        </is>
      </c>
      <c r="F1214" t="inlineStr">
        <is>
          <t>Övriga Aktiebolag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25915-2023</t>
        </is>
      </c>
      <c r="B1215" s="1" t="n">
        <v>45090</v>
      </c>
      <c r="C1215" s="1" t="n">
        <v>45657</v>
      </c>
      <c r="D1215" t="inlineStr">
        <is>
          <t>STOCKHOLMS LÄN</t>
        </is>
      </c>
      <c r="E1215" t="inlineStr">
        <is>
          <t>NORRTÄLJE</t>
        </is>
      </c>
      <c r="F1215" t="inlineStr">
        <is>
          <t>Naturvårdsverket</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26065-2023</t>
        </is>
      </c>
      <c r="B1216" s="1" t="n">
        <v>45091</v>
      </c>
      <c r="C1216" s="1" t="n">
        <v>45657</v>
      </c>
      <c r="D1216" t="inlineStr">
        <is>
          <t>STOCKHOLMS LÄN</t>
        </is>
      </c>
      <c r="E1216" t="inlineStr">
        <is>
          <t>NORRTÄLJE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26315-2023</t>
        </is>
      </c>
      <c r="B1217" s="1" t="n">
        <v>45091</v>
      </c>
      <c r="C1217" s="1" t="n">
        <v>45657</v>
      </c>
      <c r="D1217" t="inlineStr">
        <is>
          <t>STOCKHOLMS LÄN</t>
        </is>
      </c>
      <c r="E1217" t="inlineStr">
        <is>
          <t>NORRTÄLJE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26570-2023</t>
        </is>
      </c>
      <c r="B1218" s="1" t="n">
        <v>45092</v>
      </c>
      <c r="C1218" s="1" t="n">
        <v>45657</v>
      </c>
      <c r="D1218" t="inlineStr">
        <is>
          <t>STOCKHOLMS LÄN</t>
        </is>
      </c>
      <c r="E1218" t="inlineStr">
        <is>
          <t>NORRTÄLJE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26636-2023</t>
        </is>
      </c>
      <c r="B1219" s="1" t="n">
        <v>45092</v>
      </c>
      <c r="C1219" s="1" t="n">
        <v>45657</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26640-2023</t>
        </is>
      </c>
      <c r="B1220" s="1" t="n">
        <v>45092</v>
      </c>
      <c r="C1220" s="1" t="n">
        <v>45657</v>
      </c>
      <c r="D1220" t="inlineStr">
        <is>
          <t>STOCKHOLMS LÄN</t>
        </is>
      </c>
      <c r="E1220" t="inlineStr">
        <is>
          <t>NORRTÄLJE</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26637-2023</t>
        </is>
      </c>
      <c r="B1221" s="1" t="n">
        <v>45092</v>
      </c>
      <c r="C1221" s="1" t="n">
        <v>45657</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26639-2023</t>
        </is>
      </c>
      <c r="B1222" s="1" t="n">
        <v>45092</v>
      </c>
      <c r="C1222" s="1" t="n">
        <v>45657</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27651-2023</t>
        </is>
      </c>
      <c r="B1223" s="1" t="n">
        <v>45097</v>
      </c>
      <c r="C1223" s="1" t="n">
        <v>45657</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28281-2023</t>
        </is>
      </c>
      <c r="B1224" s="1" t="n">
        <v>45099</v>
      </c>
      <c r="C1224" s="1" t="n">
        <v>45657</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28820-2023</t>
        </is>
      </c>
      <c r="B1225" s="1" t="n">
        <v>45104</v>
      </c>
      <c r="C1225" s="1" t="n">
        <v>45657</v>
      </c>
      <c r="D1225" t="inlineStr">
        <is>
          <t>STOCKHOLMS LÄN</t>
        </is>
      </c>
      <c r="E1225" t="inlineStr">
        <is>
          <t>NORRTÄLJE</t>
        </is>
      </c>
      <c r="F1225" t="inlineStr">
        <is>
          <t>Kommuner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28813-2023</t>
        </is>
      </c>
      <c r="B1226" s="1" t="n">
        <v>45104</v>
      </c>
      <c r="C1226" s="1" t="n">
        <v>45657</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29003-2023</t>
        </is>
      </c>
      <c r="B1227" s="1" t="n">
        <v>45104</v>
      </c>
      <c r="C1227" s="1" t="n">
        <v>45657</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28816-2023</t>
        </is>
      </c>
      <c r="B1228" s="1" t="n">
        <v>45104</v>
      </c>
      <c r="C1228" s="1" t="n">
        <v>45657</v>
      </c>
      <c r="D1228" t="inlineStr">
        <is>
          <t>STOCKHOLMS LÄN</t>
        </is>
      </c>
      <c r="E1228" t="inlineStr">
        <is>
          <t>NORRTÄLJE</t>
        </is>
      </c>
      <c r="F1228" t="inlineStr">
        <is>
          <t>Kommuner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28809-2023</t>
        </is>
      </c>
      <c r="B1229" s="1" t="n">
        <v>45104</v>
      </c>
      <c r="C1229" s="1" t="n">
        <v>45657</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29254-2023</t>
        </is>
      </c>
      <c r="B1230" s="1" t="n">
        <v>45105</v>
      </c>
      <c r="C1230" s="1" t="n">
        <v>45657</v>
      </c>
      <c r="D1230" t="inlineStr">
        <is>
          <t>STOCKHOLMS LÄN</t>
        </is>
      </c>
      <c r="E1230" t="inlineStr">
        <is>
          <t>NORRTÄLJE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29433-2023</t>
        </is>
      </c>
      <c r="B1231" s="1" t="n">
        <v>45106</v>
      </c>
      <c r="C1231" s="1" t="n">
        <v>45657</v>
      </c>
      <c r="D1231" t="inlineStr">
        <is>
          <t>STOCKHOLMS LÄN</t>
        </is>
      </c>
      <c r="E1231" t="inlineStr">
        <is>
          <t>NORRTÄLJE</t>
        </is>
      </c>
      <c r="F1231" t="inlineStr">
        <is>
          <t>Övriga Aktiebolag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29681-2023</t>
        </is>
      </c>
      <c r="B1232" s="1" t="n">
        <v>45107</v>
      </c>
      <c r="C1232" s="1" t="n">
        <v>45657</v>
      </c>
      <c r="D1232" t="inlineStr">
        <is>
          <t>STOCKHOLMS LÄN</t>
        </is>
      </c>
      <c r="E1232" t="inlineStr">
        <is>
          <t>NORRTÄLJE</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29710-2023</t>
        </is>
      </c>
      <c r="B1233" s="1" t="n">
        <v>45107</v>
      </c>
      <c r="C1233" s="1" t="n">
        <v>45657</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29714-2023</t>
        </is>
      </c>
      <c r="B1234" s="1" t="n">
        <v>45107</v>
      </c>
      <c r="C1234" s="1" t="n">
        <v>45657</v>
      </c>
      <c r="D1234" t="inlineStr">
        <is>
          <t>STOCKHOLMS LÄN</t>
        </is>
      </c>
      <c r="E1234" t="inlineStr">
        <is>
          <t>NORRTÄLJE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30116-2023</t>
        </is>
      </c>
      <c r="B1235" s="1" t="n">
        <v>45110</v>
      </c>
      <c r="C1235" s="1" t="n">
        <v>45657</v>
      </c>
      <c r="D1235" t="inlineStr">
        <is>
          <t>STOCKHOLMS LÄN</t>
        </is>
      </c>
      <c r="E1235" t="inlineStr">
        <is>
          <t>NORRTÄLJE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30281-2023</t>
        </is>
      </c>
      <c r="B1236" s="1" t="n">
        <v>45110</v>
      </c>
      <c r="C1236" s="1" t="n">
        <v>45657</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30508-2023</t>
        </is>
      </c>
      <c r="B1237" s="1" t="n">
        <v>45111</v>
      </c>
      <c r="C1237" s="1" t="n">
        <v>45657</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30496-2023</t>
        </is>
      </c>
      <c r="B1238" s="1" t="n">
        <v>45111</v>
      </c>
      <c r="C1238" s="1" t="n">
        <v>45657</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30516-2023</t>
        </is>
      </c>
      <c r="B1239" s="1" t="n">
        <v>45111</v>
      </c>
      <c r="C1239" s="1" t="n">
        <v>45657</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30525-2023</t>
        </is>
      </c>
      <c r="B1240" s="1" t="n">
        <v>45111</v>
      </c>
      <c r="C1240" s="1" t="n">
        <v>45657</v>
      </c>
      <c r="D1240" t="inlineStr">
        <is>
          <t>STOCKHOLMS LÄN</t>
        </is>
      </c>
      <c r="E1240" t="inlineStr">
        <is>
          <t>NORRTÄLJE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30424-2023</t>
        </is>
      </c>
      <c r="B1241" s="1" t="n">
        <v>45111</v>
      </c>
      <c r="C1241" s="1" t="n">
        <v>45657</v>
      </c>
      <c r="D1241" t="inlineStr">
        <is>
          <t>STOCKHOLMS LÄN</t>
        </is>
      </c>
      <c r="E1241" t="inlineStr">
        <is>
          <t>NORRTÄLJE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30425-2023</t>
        </is>
      </c>
      <c r="B1242" s="1" t="n">
        <v>45111</v>
      </c>
      <c r="C1242" s="1" t="n">
        <v>45657</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30731-2023</t>
        </is>
      </c>
      <c r="B1243" s="1" t="n">
        <v>45112</v>
      </c>
      <c r="C1243" s="1" t="n">
        <v>45657</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30663-2023</t>
        </is>
      </c>
      <c r="B1244" s="1" t="n">
        <v>45112</v>
      </c>
      <c r="C1244" s="1" t="n">
        <v>45657</v>
      </c>
      <c r="D1244" t="inlineStr">
        <is>
          <t>STOCKHOLMS LÄN</t>
        </is>
      </c>
      <c r="E1244" t="inlineStr">
        <is>
          <t>NORRTÄLJE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30780-2023</t>
        </is>
      </c>
      <c r="B1245" s="1" t="n">
        <v>45112</v>
      </c>
      <c r="C1245" s="1" t="n">
        <v>45657</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30773-2023</t>
        </is>
      </c>
      <c r="B1246" s="1" t="n">
        <v>45112</v>
      </c>
      <c r="C1246" s="1" t="n">
        <v>45657</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30924-2023</t>
        </is>
      </c>
      <c r="B1247" s="1" t="n">
        <v>45113</v>
      </c>
      <c r="C1247" s="1" t="n">
        <v>45657</v>
      </c>
      <c r="D1247" t="inlineStr">
        <is>
          <t>STOCKHOLMS LÄN</t>
        </is>
      </c>
      <c r="E1247" t="inlineStr">
        <is>
          <t>NORRTÄLJE</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30923-2023</t>
        </is>
      </c>
      <c r="B1248" s="1" t="n">
        <v>45113</v>
      </c>
      <c r="C1248" s="1" t="n">
        <v>45657</v>
      </c>
      <c r="D1248" t="inlineStr">
        <is>
          <t>STOCKHOLMS LÄN</t>
        </is>
      </c>
      <c r="E1248" t="inlineStr">
        <is>
          <t>NORRTÄLJE</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31140-2023</t>
        </is>
      </c>
      <c r="B1249" s="1" t="n">
        <v>45113</v>
      </c>
      <c r="C1249" s="1" t="n">
        <v>45657</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30921-2023</t>
        </is>
      </c>
      <c r="B1250" s="1" t="n">
        <v>45113</v>
      </c>
      <c r="C1250" s="1" t="n">
        <v>45657</v>
      </c>
      <c r="D1250" t="inlineStr">
        <is>
          <t>STOCKHOLMS LÄN</t>
        </is>
      </c>
      <c r="E1250" t="inlineStr">
        <is>
          <t>NORRTÄLJE</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31149-2023</t>
        </is>
      </c>
      <c r="B1251" s="1" t="n">
        <v>45113</v>
      </c>
      <c r="C1251" s="1" t="n">
        <v>45657</v>
      </c>
      <c r="D1251" t="inlineStr">
        <is>
          <t>STOCKHOLMS LÄN</t>
        </is>
      </c>
      <c r="E1251" t="inlineStr">
        <is>
          <t>NORRTÄLJE</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31153-2023</t>
        </is>
      </c>
      <c r="B1252" s="1" t="n">
        <v>45113</v>
      </c>
      <c r="C1252" s="1" t="n">
        <v>45657</v>
      </c>
      <c r="D1252" t="inlineStr">
        <is>
          <t>STOCKHOLMS LÄN</t>
        </is>
      </c>
      <c r="E1252" t="inlineStr">
        <is>
          <t>NORRTÄLJE</t>
        </is>
      </c>
      <c r="G1252" t="n">
        <v>17.5</v>
      </c>
      <c r="H1252" t="n">
        <v>0</v>
      </c>
      <c r="I1252" t="n">
        <v>0</v>
      </c>
      <c r="J1252" t="n">
        <v>0</v>
      </c>
      <c r="K1252" t="n">
        <v>0</v>
      </c>
      <c r="L1252" t="n">
        <v>0</v>
      </c>
      <c r="M1252" t="n">
        <v>0</v>
      </c>
      <c r="N1252" t="n">
        <v>0</v>
      </c>
      <c r="O1252" t="n">
        <v>0</v>
      </c>
      <c r="P1252" t="n">
        <v>0</v>
      </c>
      <c r="Q1252" t="n">
        <v>0</v>
      </c>
      <c r="R1252" s="2" t="inlineStr"/>
    </row>
    <row r="1253" ht="15" customHeight="1">
      <c r="A1253" t="inlineStr">
        <is>
          <t>A 31827-2023</t>
        </is>
      </c>
      <c r="B1253" s="1" t="n">
        <v>45118</v>
      </c>
      <c r="C1253" s="1" t="n">
        <v>45657</v>
      </c>
      <c r="D1253" t="inlineStr">
        <is>
          <t>STOCKHOLMS LÄN</t>
        </is>
      </c>
      <c r="E1253" t="inlineStr">
        <is>
          <t>NORRTÄLJE</t>
        </is>
      </c>
      <c r="F1253" t="inlineStr">
        <is>
          <t>Kyrkan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31832-2023</t>
        </is>
      </c>
      <c r="B1254" s="1" t="n">
        <v>45118</v>
      </c>
      <c r="C1254" s="1" t="n">
        <v>45657</v>
      </c>
      <c r="D1254" t="inlineStr">
        <is>
          <t>STOCKHOLMS LÄN</t>
        </is>
      </c>
      <c r="E1254" t="inlineStr">
        <is>
          <t>NORRTÄLJE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32071-2023</t>
        </is>
      </c>
      <c r="B1255" s="1" t="n">
        <v>45119</v>
      </c>
      <c r="C1255" s="1" t="n">
        <v>45657</v>
      </c>
      <c r="D1255" t="inlineStr">
        <is>
          <t>STOCKHOLMS LÄN</t>
        </is>
      </c>
      <c r="E1255" t="inlineStr">
        <is>
          <t>NORRTÄLJE</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32621-2023</t>
        </is>
      </c>
      <c r="B1256" s="1" t="n">
        <v>45121</v>
      </c>
      <c r="C1256" s="1" t="n">
        <v>45657</v>
      </c>
      <c r="D1256" t="inlineStr">
        <is>
          <t>STOCKHOLMS LÄN</t>
        </is>
      </c>
      <c r="E1256" t="inlineStr">
        <is>
          <t>NORRTÄLJE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32595-2023</t>
        </is>
      </c>
      <c r="B1257" s="1" t="n">
        <v>45121</v>
      </c>
      <c r="C1257" s="1" t="n">
        <v>45657</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32948-2023</t>
        </is>
      </c>
      <c r="B1258" s="1" t="n">
        <v>45125</v>
      </c>
      <c r="C1258" s="1" t="n">
        <v>45657</v>
      </c>
      <c r="D1258" t="inlineStr">
        <is>
          <t>STOCKHOLMS LÄN</t>
        </is>
      </c>
      <c r="E1258" t="inlineStr">
        <is>
          <t>NORRTÄLJE</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33025-2023</t>
        </is>
      </c>
      <c r="B1259" s="1" t="n">
        <v>45125</v>
      </c>
      <c r="C1259" s="1" t="n">
        <v>45657</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33130-2023</t>
        </is>
      </c>
      <c r="B1260" s="1" t="n">
        <v>45126</v>
      </c>
      <c r="C1260" s="1" t="n">
        <v>45657</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33295-2023</t>
        </is>
      </c>
      <c r="B1261" s="1" t="n">
        <v>45127</v>
      </c>
      <c r="C1261" s="1" t="n">
        <v>45657</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33270-2023</t>
        </is>
      </c>
      <c r="B1262" s="1" t="n">
        <v>45127</v>
      </c>
      <c r="C1262" s="1" t="n">
        <v>45657</v>
      </c>
      <c r="D1262" t="inlineStr">
        <is>
          <t>STOCKHOLMS LÄN</t>
        </is>
      </c>
      <c r="E1262" t="inlineStr">
        <is>
          <t>NORRTÄLJE</t>
        </is>
      </c>
      <c r="F1262" t="inlineStr">
        <is>
          <t>Holmen skog AB</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33226-2023</t>
        </is>
      </c>
      <c r="B1263" s="1" t="n">
        <v>45127</v>
      </c>
      <c r="C1263" s="1" t="n">
        <v>45657</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33243-2023</t>
        </is>
      </c>
      <c r="B1264" s="1" t="n">
        <v>45127</v>
      </c>
      <c r="C1264" s="1" t="n">
        <v>45657</v>
      </c>
      <c r="D1264" t="inlineStr">
        <is>
          <t>STOCKHOLMS LÄN</t>
        </is>
      </c>
      <c r="E1264" t="inlineStr">
        <is>
          <t>NORRTÄLJE</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33291-2023</t>
        </is>
      </c>
      <c r="B1265" s="1" t="n">
        <v>45127</v>
      </c>
      <c r="C1265" s="1" t="n">
        <v>45657</v>
      </c>
      <c r="D1265" t="inlineStr">
        <is>
          <t>STOCKHOLMS LÄN</t>
        </is>
      </c>
      <c r="E1265" t="inlineStr">
        <is>
          <t>NORRTÄLJE</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33353-2023</t>
        </is>
      </c>
      <c r="B1266" s="1" t="n">
        <v>45128</v>
      </c>
      <c r="C1266" s="1" t="n">
        <v>45657</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33569-2023</t>
        </is>
      </c>
      <c r="B1267" s="1" t="n">
        <v>45131</v>
      </c>
      <c r="C1267" s="1" t="n">
        <v>45657</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33646-2023</t>
        </is>
      </c>
      <c r="B1268" s="1" t="n">
        <v>45132</v>
      </c>
      <c r="C1268" s="1" t="n">
        <v>45657</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33641-2023</t>
        </is>
      </c>
      <c r="B1269" s="1" t="n">
        <v>45132</v>
      </c>
      <c r="C1269" s="1" t="n">
        <v>45657</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34085-2023</t>
        </is>
      </c>
      <c r="B1270" s="1" t="n">
        <v>45135</v>
      </c>
      <c r="C1270" s="1" t="n">
        <v>45657</v>
      </c>
      <c r="D1270" t="inlineStr">
        <is>
          <t>STOCKHOLMS LÄN</t>
        </is>
      </c>
      <c r="E1270" t="inlineStr">
        <is>
          <t>NORRTÄLJE</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34084-2023</t>
        </is>
      </c>
      <c r="B1271" s="1" t="n">
        <v>45135</v>
      </c>
      <c r="C1271" s="1" t="n">
        <v>45657</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34132-2023</t>
        </is>
      </c>
      <c r="B1272" s="1" t="n">
        <v>45135</v>
      </c>
      <c r="C1272" s="1" t="n">
        <v>45657</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34391-2023</t>
        </is>
      </c>
      <c r="B1273" s="1" t="n">
        <v>45139</v>
      </c>
      <c r="C1273" s="1" t="n">
        <v>45657</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34461-2023</t>
        </is>
      </c>
      <c r="B1274" s="1" t="n">
        <v>45139</v>
      </c>
      <c r="C1274" s="1" t="n">
        <v>45657</v>
      </c>
      <c r="D1274" t="inlineStr">
        <is>
          <t>STOCKHOLMS LÄN</t>
        </is>
      </c>
      <c r="E1274" t="inlineStr">
        <is>
          <t>NORRTÄLJE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34462-2023</t>
        </is>
      </c>
      <c r="B1275" s="1" t="n">
        <v>45139</v>
      </c>
      <c r="C1275" s="1" t="n">
        <v>45657</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34825-2023</t>
        </is>
      </c>
      <c r="B1276" s="1" t="n">
        <v>45141</v>
      </c>
      <c r="C1276" s="1" t="n">
        <v>45657</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35215-2023</t>
        </is>
      </c>
      <c r="B1277" s="1" t="n">
        <v>45145</v>
      </c>
      <c r="C1277" s="1" t="n">
        <v>45657</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35219-2023</t>
        </is>
      </c>
      <c r="B1278" s="1" t="n">
        <v>45145</v>
      </c>
      <c r="C1278" s="1" t="n">
        <v>45657</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35127-2023</t>
        </is>
      </c>
      <c r="B1279" s="1" t="n">
        <v>45145</v>
      </c>
      <c r="C1279" s="1" t="n">
        <v>45657</v>
      </c>
      <c r="D1279" t="inlineStr">
        <is>
          <t>STOCKHOLMS LÄN</t>
        </is>
      </c>
      <c r="E1279" t="inlineStr">
        <is>
          <t>NORRTÄLJE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35131-2023</t>
        </is>
      </c>
      <c r="B1280" s="1" t="n">
        <v>45145</v>
      </c>
      <c r="C1280" s="1" t="n">
        <v>45657</v>
      </c>
      <c r="D1280" t="inlineStr">
        <is>
          <t>STOCKHOLMS LÄN</t>
        </is>
      </c>
      <c r="E1280" t="inlineStr">
        <is>
          <t>NORRTÄLJE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35128-2023</t>
        </is>
      </c>
      <c r="B1281" s="1" t="n">
        <v>45145</v>
      </c>
      <c r="C1281" s="1" t="n">
        <v>45657</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35210-2023</t>
        </is>
      </c>
      <c r="B1282" s="1" t="n">
        <v>45145</v>
      </c>
      <c r="C1282" s="1" t="n">
        <v>45657</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35438-2023</t>
        </is>
      </c>
      <c r="B1283" s="1" t="n">
        <v>45146</v>
      </c>
      <c r="C1283" s="1" t="n">
        <v>45657</v>
      </c>
      <c r="D1283" t="inlineStr">
        <is>
          <t>STOCKHOLMS LÄN</t>
        </is>
      </c>
      <c r="E1283" t="inlineStr">
        <is>
          <t>NORRTÄLJE</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35698-2023</t>
        </is>
      </c>
      <c r="B1284" s="1" t="n">
        <v>45147</v>
      </c>
      <c r="C1284" s="1" t="n">
        <v>45657</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35702-2023</t>
        </is>
      </c>
      <c r="B1285" s="1" t="n">
        <v>45147</v>
      </c>
      <c r="C1285" s="1" t="n">
        <v>45657</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35691-2023</t>
        </is>
      </c>
      <c r="B1286" s="1" t="n">
        <v>45147</v>
      </c>
      <c r="C1286" s="1" t="n">
        <v>45657</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35695-2023</t>
        </is>
      </c>
      <c r="B1287" s="1" t="n">
        <v>45147</v>
      </c>
      <c r="C1287" s="1" t="n">
        <v>45657</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35696-2023</t>
        </is>
      </c>
      <c r="B1288" s="1" t="n">
        <v>45147</v>
      </c>
      <c r="C1288" s="1" t="n">
        <v>45657</v>
      </c>
      <c r="D1288" t="inlineStr">
        <is>
          <t>STOCKHOLMS LÄN</t>
        </is>
      </c>
      <c r="E1288" t="inlineStr">
        <is>
          <t>NORRTÄLJE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35700-2023</t>
        </is>
      </c>
      <c r="B1289" s="1" t="n">
        <v>45147</v>
      </c>
      <c r="C1289" s="1" t="n">
        <v>45657</v>
      </c>
      <c r="D1289" t="inlineStr">
        <is>
          <t>STOCKHOLMS LÄN</t>
        </is>
      </c>
      <c r="E1289" t="inlineStr">
        <is>
          <t>NORRTÄLJE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35704-2023</t>
        </is>
      </c>
      <c r="B1290" s="1" t="n">
        <v>45147</v>
      </c>
      <c r="C1290" s="1" t="n">
        <v>45657</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35693-2023</t>
        </is>
      </c>
      <c r="B1291" s="1" t="n">
        <v>45147</v>
      </c>
      <c r="C1291" s="1" t="n">
        <v>45657</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35701-2023</t>
        </is>
      </c>
      <c r="B1292" s="1" t="n">
        <v>45147</v>
      </c>
      <c r="C1292" s="1" t="n">
        <v>45657</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35823-2023</t>
        </is>
      </c>
      <c r="B1293" s="1" t="n">
        <v>45148</v>
      </c>
      <c r="C1293" s="1" t="n">
        <v>45657</v>
      </c>
      <c r="D1293" t="inlineStr">
        <is>
          <t>STOCKHOLMS LÄN</t>
        </is>
      </c>
      <c r="E1293" t="inlineStr">
        <is>
          <t>NORRTÄLJE</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36253-2023</t>
        </is>
      </c>
      <c r="B1294" s="1" t="n">
        <v>45151</v>
      </c>
      <c r="C1294" s="1" t="n">
        <v>45657</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36257-2023</t>
        </is>
      </c>
      <c r="B1295" s="1" t="n">
        <v>45151</v>
      </c>
      <c r="C1295" s="1" t="n">
        <v>45657</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36259-2023</t>
        </is>
      </c>
      <c r="B1296" s="1" t="n">
        <v>45151</v>
      </c>
      <c r="C1296" s="1" t="n">
        <v>45657</v>
      </c>
      <c r="D1296" t="inlineStr">
        <is>
          <t>STOCKHOLMS LÄN</t>
        </is>
      </c>
      <c r="E1296" t="inlineStr">
        <is>
          <t>NORRTÄLJE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36254-2023</t>
        </is>
      </c>
      <c r="B1297" s="1" t="n">
        <v>45151</v>
      </c>
      <c r="C1297" s="1" t="n">
        <v>45657</v>
      </c>
      <c r="D1297" t="inlineStr">
        <is>
          <t>STOCKHOLMS LÄN</t>
        </is>
      </c>
      <c r="E1297" t="inlineStr">
        <is>
          <t>NORRTÄLJE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36258-2023</t>
        </is>
      </c>
      <c r="B1298" s="1" t="n">
        <v>45151</v>
      </c>
      <c r="C1298" s="1" t="n">
        <v>45657</v>
      </c>
      <c r="D1298" t="inlineStr">
        <is>
          <t>STOCKHOLMS LÄN</t>
        </is>
      </c>
      <c r="E1298" t="inlineStr">
        <is>
          <t>NORRTÄLJE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36689-2023</t>
        </is>
      </c>
      <c r="B1299" s="1" t="n">
        <v>45152</v>
      </c>
      <c r="C1299" s="1" t="n">
        <v>45657</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36865-2023</t>
        </is>
      </c>
      <c r="B1300" s="1" t="n">
        <v>45154</v>
      </c>
      <c r="C1300" s="1" t="n">
        <v>45657</v>
      </c>
      <c r="D1300" t="inlineStr">
        <is>
          <t>STOCKHOLMS LÄN</t>
        </is>
      </c>
      <c r="E1300" t="inlineStr">
        <is>
          <t>NORRTÄLJE</t>
        </is>
      </c>
      <c r="F1300" t="inlineStr">
        <is>
          <t>Kyrkan</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37139-2023</t>
        </is>
      </c>
      <c r="B1301" s="1" t="n">
        <v>45155</v>
      </c>
      <c r="C1301" s="1" t="n">
        <v>45657</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37136-2023</t>
        </is>
      </c>
      <c r="B1302" s="1" t="n">
        <v>45155</v>
      </c>
      <c r="C1302" s="1" t="n">
        <v>45657</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37147-2023</t>
        </is>
      </c>
      <c r="B1303" s="1" t="n">
        <v>45155</v>
      </c>
      <c r="C1303" s="1" t="n">
        <v>45657</v>
      </c>
      <c r="D1303" t="inlineStr">
        <is>
          <t>STOCKHOLMS LÄN</t>
        </is>
      </c>
      <c r="E1303" t="inlineStr">
        <is>
          <t>NORRTÄLJE</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37670-2023</t>
        </is>
      </c>
      <c r="B1304" s="1" t="n">
        <v>45159</v>
      </c>
      <c r="C1304" s="1" t="n">
        <v>45657</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38049-2023</t>
        </is>
      </c>
      <c r="B1305" s="1" t="n">
        <v>45159</v>
      </c>
      <c r="C1305" s="1" t="n">
        <v>45657</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38022-2023</t>
        </is>
      </c>
      <c r="B1306" s="1" t="n">
        <v>45160</v>
      </c>
      <c r="C1306" s="1" t="n">
        <v>45657</v>
      </c>
      <c r="D1306" t="inlineStr">
        <is>
          <t>STOCKHOLMS LÄN</t>
        </is>
      </c>
      <c r="E1306" t="inlineStr">
        <is>
          <t>NORRTÄLJE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38482-2023</t>
        </is>
      </c>
      <c r="B1307" s="1" t="n">
        <v>45162</v>
      </c>
      <c r="C1307" s="1" t="n">
        <v>45657</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38487-2023</t>
        </is>
      </c>
      <c r="B1308" s="1" t="n">
        <v>45162</v>
      </c>
      <c r="C1308" s="1" t="n">
        <v>45657</v>
      </c>
      <c r="D1308" t="inlineStr">
        <is>
          <t>STOCKHOLMS LÄN</t>
        </is>
      </c>
      <c r="E1308" t="inlineStr">
        <is>
          <t>NORRTÄLJE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38591-2023</t>
        </is>
      </c>
      <c r="B1309" s="1" t="n">
        <v>45162</v>
      </c>
      <c r="C1309" s="1" t="n">
        <v>45657</v>
      </c>
      <c r="D1309" t="inlineStr">
        <is>
          <t>STOCKHOLMS LÄN</t>
        </is>
      </c>
      <c r="E1309" t="inlineStr">
        <is>
          <t>NORRTÄLJE</t>
        </is>
      </c>
      <c r="F1309" t="inlineStr">
        <is>
          <t>Övriga Aktiebolag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39229-2023</t>
        </is>
      </c>
      <c r="B1310" s="1" t="n">
        <v>45166</v>
      </c>
      <c r="C1310" s="1" t="n">
        <v>45657</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39879-2023</t>
        </is>
      </c>
      <c r="B1311" s="1" t="n">
        <v>45168</v>
      </c>
      <c r="C1311" s="1" t="n">
        <v>45657</v>
      </c>
      <c r="D1311" t="inlineStr">
        <is>
          <t>STOCKHOLMS LÄN</t>
        </is>
      </c>
      <c r="E1311" t="inlineStr">
        <is>
          <t>NORRTÄLJE</t>
        </is>
      </c>
      <c r="F1311" t="inlineStr">
        <is>
          <t>Holmen skog AB</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39905-2023</t>
        </is>
      </c>
      <c r="B1312" s="1" t="n">
        <v>45168</v>
      </c>
      <c r="C1312" s="1" t="n">
        <v>45657</v>
      </c>
      <c r="D1312" t="inlineStr">
        <is>
          <t>STOCKHOLMS LÄN</t>
        </is>
      </c>
      <c r="E1312" t="inlineStr">
        <is>
          <t>NORRTÄLJE</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40139-2023</t>
        </is>
      </c>
      <c r="B1313" s="1" t="n">
        <v>45169</v>
      </c>
      <c r="C1313" s="1" t="n">
        <v>45657</v>
      </c>
      <c r="D1313" t="inlineStr">
        <is>
          <t>STOCKHOLMS LÄN</t>
        </is>
      </c>
      <c r="E1313" t="inlineStr">
        <is>
          <t>NORRTÄLJE</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40192-2023</t>
        </is>
      </c>
      <c r="B1314" s="1" t="n">
        <v>45169</v>
      </c>
      <c r="C1314" s="1" t="n">
        <v>45657</v>
      </c>
      <c r="D1314" t="inlineStr">
        <is>
          <t>STOCKHOLMS LÄN</t>
        </is>
      </c>
      <c r="E1314" t="inlineStr">
        <is>
          <t>NORRTÄLJE</t>
        </is>
      </c>
      <c r="F1314" t="inlineStr">
        <is>
          <t>Kyrkan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40161-2023</t>
        </is>
      </c>
      <c r="B1315" s="1" t="n">
        <v>45169</v>
      </c>
      <c r="C1315" s="1" t="n">
        <v>45657</v>
      </c>
      <c r="D1315" t="inlineStr">
        <is>
          <t>STOCKHOLMS LÄN</t>
        </is>
      </c>
      <c r="E1315" t="inlineStr">
        <is>
          <t>NORRTÄLJE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40190-2023</t>
        </is>
      </c>
      <c r="B1316" s="1" t="n">
        <v>45169</v>
      </c>
      <c r="C1316" s="1" t="n">
        <v>45657</v>
      </c>
      <c r="D1316" t="inlineStr">
        <is>
          <t>STOCKHOLMS LÄN</t>
        </is>
      </c>
      <c r="E1316" t="inlineStr">
        <is>
          <t>NORRTÄLJE</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40379-2023</t>
        </is>
      </c>
      <c r="B1317" s="1" t="n">
        <v>45169</v>
      </c>
      <c r="C1317" s="1" t="n">
        <v>45657</v>
      </c>
      <c r="D1317" t="inlineStr">
        <is>
          <t>STOCKHOLMS LÄN</t>
        </is>
      </c>
      <c r="E1317" t="inlineStr">
        <is>
          <t>NORRTÄLJE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41172-2023</t>
        </is>
      </c>
      <c r="B1318" s="1" t="n">
        <v>45170</v>
      </c>
      <c r="C1318" s="1" t="n">
        <v>45657</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40995-2023</t>
        </is>
      </c>
      <c r="B1319" s="1" t="n">
        <v>45173</v>
      </c>
      <c r="C1319" s="1" t="n">
        <v>45657</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41335-2023</t>
        </is>
      </c>
      <c r="B1320" s="1" t="n">
        <v>45174</v>
      </c>
      <c r="C1320" s="1" t="n">
        <v>45657</v>
      </c>
      <c r="D1320" t="inlineStr">
        <is>
          <t>STOCKHOLMS LÄN</t>
        </is>
      </c>
      <c r="E1320" t="inlineStr">
        <is>
          <t>NORRTÄLJE</t>
        </is>
      </c>
      <c r="F1320" t="inlineStr">
        <is>
          <t>Holmen skog AB</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41587-2023</t>
        </is>
      </c>
      <c r="B1321" s="1" t="n">
        <v>45175</v>
      </c>
      <c r="C1321" s="1" t="n">
        <v>45657</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41716-2023</t>
        </is>
      </c>
      <c r="B1322" s="1" t="n">
        <v>45176</v>
      </c>
      <c r="C1322" s="1" t="n">
        <v>45657</v>
      </c>
      <c r="D1322" t="inlineStr">
        <is>
          <t>STOCKHOLMS LÄN</t>
        </is>
      </c>
      <c r="E1322" t="inlineStr">
        <is>
          <t>NORRTÄLJE</t>
        </is>
      </c>
      <c r="F1322" t="inlineStr">
        <is>
          <t>Kyrkan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41715-2023</t>
        </is>
      </c>
      <c r="B1323" s="1" t="n">
        <v>45176</v>
      </c>
      <c r="C1323" s="1" t="n">
        <v>45657</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41880-2023</t>
        </is>
      </c>
      <c r="B1324" s="1" t="n">
        <v>45176</v>
      </c>
      <c r="C1324" s="1" t="n">
        <v>45657</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42094-2023</t>
        </is>
      </c>
      <c r="B1325" s="1" t="n">
        <v>45177</v>
      </c>
      <c r="C1325" s="1" t="n">
        <v>45657</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42075-2023</t>
        </is>
      </c>
      <c r="B1326" s="1" t="n">
        <v>45177</v>
      </c>
      <c r="C1326" s="1" t="n">
        <v>45657</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42199-2023</t>
        </is>
      </c>
      <c r="B1327" s="1" t="n">
        <v>45179</v>
      </c>
      <c r="C1327" s="1" t="n">
        <v>45657</v>
      </c>
      <c r="D1327" t="inlineStr">
        <is>
          <t>STOCKHOLMS LÄN</t>
        </is>
      </c>
      <c r="E1327" t="inlineStr">
        <is>
          <t>NORRTÄLJE</t>
        </is>
      </c>
      <c r="F1327" t="inlineStr">
        <is>
          <t>Sveaskog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42200-2023</t>
        </is>
      </c>
      <c r="B1328" s="1" t="n">
        <v>45179</v>
      </c>
      <c r="C1328" s="1" t="n">
        <v>45657</v>
      </c>
      <c r="D1328" t="inlineStr">
        <is>
          <t>STOCKHOLMS LÄN</t>
        </is>
      </c>
      <c r="E1328" t="inlineStr">
        <is>
          <t>NORRTÄLJE</t>
        </is>
      </c>
      <c r="F1328" t="inlineStr">
        <is>
          <t>Sveaskog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42765-2023</t>
        </is>
      </c>
      <c r="B1329" s="1" t="n">
        <v>45181</v>
      </c>
      <c r="C1329" s="1" t="n">
        <v>45657</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42775-2023</t>
        </is>
      </c>
      <c r="B1330" s="1" t="n">
        <v>45181</v>
      </c>
      <c r="C1330" s="1" t="n">
        <v>45657</v>
      </c>
      <c r="D1330" t="inlineStr">
        <is>
          <t>STOCKHOLMS LÄN</t>
        </is>
      </c>
      <c r="E1330" t="inlineStr">
        <is>
          <t>NORRTÄLJE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42948-2023</t>
        </is>
      </c>
      <c r="B1331" s="1" t="n">
        <v>45182</v>
      </c>
      <c r="C1331" s="1" t="n">
        <v>45657</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42977-2023</t>
        </is>
      </c>
      <c r="B1332" s="1" t="n">
        <v>45182</v>
      </c>
      <c r="C1332" s="1" t="n">
        <v>45657</v>
      </c>
      <c r="D1332" t="inlineStr">
        <is>
          <t>STOCKHOLMS LÄN</t>
        </is>
      </c>
      <c r="E1332" t="inlineStr">
        <is>
          <t>NORRTÄLJE</t>
        </is>
      </c>
      <c r="F1332" t="inlineStr">
        <is>
          <t>Sveaskog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43140-2023</t>
        </is>
      </c>
      <c r="B1333" s="1" t="n">
        <v>45183</v>
      </c>
      <c r="C1333" s="1" t="n">
        <v>45657</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43207-2023</t>
        </is>
      </c>
      <c r="B1334" s="1" t="n">
        <v>45183</v>
      </c>
      <c r="C1334" s="1" t="n">
        <v>45657</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43150-2023</t>
        </is>
      </c>
      <c r="B1335" s="1" t="n">
        <v>45183</v>
      </c>
      <c r="C1335" s="1" t="n">
        <v>45657</v>
      </c>
      <c r="D1335" t="inlineStr">
        <is>
          <t>STOCKHOLMS LÄN</t>
        </is>
      </c>
      <c r="E1335" t="inlineStr">
        <is>
          <t>NORRTÄLJE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43170-2023</t>
        </is>
      </c>
      <c r="B1336" s="1" t="n">
        <v>45183</v>
      </c>
      <c r="C1336" s="1" t="n">
        <v>45657</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43289-2023</t>
        </is>
      </c>
      <c r="B1337" s="1" t="n">
        <v>45183</v>
      </c>
      <c r="C1337" s="1" t="n">
        <v>45657</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43300-2023</t>
        </is>
      </c>
      <c r="B1338" s="1" t="n">
        <v>45183</v>
      </c>
      <c r="C1338" s="1" t="n">
        <v>45657</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43638-2023</t>
        </is>
      </c>
      <c r="B1339" s="1" t="n">
        <v>45186</v>
      </c>
      <c r="C1339" s="1" t="n">
        <v>45657</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43684-2023</t>
        </is>
      </c>
      <c r="B1340" s="1" t="n">
        <v>45187</v>
      </c>
      <c r="C1340" s="1" t="n">
        <v>45657</v>
      </c>
      <c r="D1340" t="inlineStr">
        <is>
          <t>STOCKHOLMS LÄN</t>
        </is>
      </c>
      <c r="E1340" t="inlineStr">
        <is>
          <t>NORRTÄLJE</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43836-2023</t>
        </is>
      </c>
      <c r="B1341" s="1" t="n">
        <v>45187</v>
      </c>
      <c r="C1341" s="1" t="n">
        <v>45657</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43710-2023</t>
        </is>
      </c>
      <c r="B1342" s="1" t="n">
        <v>45187</v>
      </c>
      <c r="C1342" s="1" t="n">
        <v>45657</v>
      </c>
      <c r="D1342" t="inlineStr">
        <is>
          <t>STOCKHOLMS LÄN</t>
        </is>
      </c>
      <c r="E1342" t="inlineStr">
        <is>
          <t>NORRTÄLJE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44891-2023</t>
        </is>
      </c>
      <c r="B1343" s="1" t="n">
        <v>45187</v>
      </c>
      <c r="C1343" s="1" t="n">
        <v>45657</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44885-2023</t>
        </is>
      </c>
      <c r="B1344" s="1" t="n">
        <v>45187</v>
      </c>
      <c r="C1344" s="1" t="n">
        <v>45657</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44075-2023</t>
        </is>
      </c>
      <c r="B1345" s="1" t="n">
        <v>45188</v>
      </c>
      <c r="C1345" s="1" t="n">
        <v>45657</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44154-2023</t>
        </is>
      </c>
      <c r="B1346" s="1" t="n">
        <v>45188</v>
      </c>
      <c r="C1346" s="1" t="n">
        <v>45657</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44571-2023</t>
        </is>
      </c>
      <c r="B1347" s="1" t="n">
        <v>45189</v>
      </c>
      <c r="C1347" s="1" t="n">
        <v>45657</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44836-2023</t>
        </is>
      </c>
      <c r="B1348" s="1" t="n">
        <v>45190</v>
      </c>
      <c r="C1348" s="1" t="n">
        <v>45657</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45173-2023</t>
        </is>
      </c>
      <c r="B1349" s="1" t="n">
        <v>45191</v>
      </c>
      <c r="C1349" s="1" t="n">
        <v>45657</v>
      </c>
      <c r="D1349" t="inlineStr">
        <is>
          <t>STOCKHOLMS LÄN</t>
        </is>
      </c>
      <c r="E1349" t="inlineStr">
        <is>
          <t>NORRTÄLJE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45174-2023</t>
        </is>
      </c>
      <c r="B1350" s="1" t="n">
        <v>45191</v>
      </c>
      <c r="C1350" s="1" t="n">
        <v>45657</v>
      </c>
      <c r="D1350" t="inlineStr">
        <is>
          <t>STOCKHOLMS LÄN</t>
        </is>
      </c>
      <c r="E1350" t="inlineStr">
        <is>
          <t>NORRTÄLJE</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46161-2023</t>
        </is>
      </c>
      <c r="B1351" s="1" t="n">
        <v>45196</v>
      </c>
      <c r="C1351" s="1" t="n">
        <v>45657</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46155-2023</t>
        </is>
      </c>
      <c r="B1352" s="1" t="n">
        <v>45196</v>
      </c>
      <c r="C1352" s="1" t="n">
        <v>45657</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46621-2023</t>
        </is>
      </c>
      <c r="B1353" s="1" t="n">
        <v>45198</v>
      </c>
      <c r="C1353" s="1" t="n">
        <v>45657</v>
      </c>
      <c r="D1353" t="inlineStr">
        <is>
          <t>STOCKHOLMS LÄN</t>
        </is>
      </c>
      <c r="E1353" t="inlineStr">
        <is>
          <t>NORRTÄLJE</t>
        </is>
      </c>
      <c r="F1353" t="inlineStr">
        <is>
          <t>Holmen skog AB</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47419-2023</t>
        </is>
      </c>
      <c r="B1354" s="1" t="n">
        <v>45202</v>
      </c>
      <c r="C1354" s="1" t="n">
        <v>45657</v>
      </c>
      <c r="D1354" t="inlineStr">
        <is>
          <t>STOCKHOLMS LÄN</t>
        </is>
      </c>
      <c r="E1354" t="inlineStr">
        <is>
          <t>NORRTÄLJE</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47431-2023</t>
        </is>
      </c>
      <c r="B1355" s="1" t="n">
        <v>45202</v>
      </c>
      <c r="C1355" s="1" t="n">
        <v>45657</v>
      </c>
      <c r="D1355" t="inlineStr">
        <is>
          <t>STOCKHOLMS LÄN</t>
        </is>
      </c>
      <c r="E1355" t="inlineStr">
        <is>
          <t>NORRTÄLJE</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47325-2023</t>
        </is>
      </c>
      <c r="B1356" s="1" t="n">
        <v>45202</v>
      </c>
      <c r="C1356" s="1" t="n">
        <v>45657</v>
      </c>
      <c r="D1356" t="inlineStr">
        <is>
          <t>STOCKHOLMS LÄN</t>
        </is>
      </c>
      <c r="E1356" t="inlineStr">
        <is>
          <t>NORRTÄLJE</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47433-2023</t>
        </is>
      </c>
      <c r="B1357" s="1" t="n">
        <v>45202</v>
      </c>
      <c r="C1357" s="1" t="n">
        <v>45657</v>
      </c>
      <c r="D1357" t="inlineStr">
        <is>
          <t>STOCKHOLMS LÄN</t>
        </is>
      </c>
      <c r="E1357" t="inlineStr">
        <is>
          <t>NORRTÄLJE</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47388-2023</t>
        </is>
      </c>
      <c r="B1358" s="1" t="n">
        <v>45202</v>
      </c>
      <c r="C1358" s="1" t="n">
        <v>45657</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47430-2023</t>
        </is>
      </c>
      <c r="B1359" s="1" t="n">
        <v>45202</v>
      </c>
      <c r="C1359" s="1" t="n">
        <v>45657</v>
      </c>
      <c r="D1359" t="inlineStr">
        <is>
          <t>STOCKHOLMS LÄN</t>
        </is>
      </c>
      <c r="E1359" t="inlineStr">
        <is>
          <t>NORRTÄLJE</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49775-2023</t>
        </is>
      </c>
      <c r="B1360" s="1" t="n">
        <v>45202</v>
      </c>
      <c r="C1360" s="1" t="n">
        <v>45657</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48578-2023</t>
        </is>
      </c>
      <c r="B1361" s="1" t="n">
        <v>45202</v>
      </c>
      <c r="C1361" s="1" t="n">
        <v>45657</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49774-2023</t>
        </is>
      </c>
      <c r="B1362" s="1" t="n">
        <v>45202</v>
      </c>
      <c r="C1362" s="1" t="n">
        <v>45657</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47672-2023</t>
        </is>
      </c>
      <c r="B1363" s="1" t="n">
        <v>45203</v>
      </c>
      <c r="C1363" s="1" t="n">
        <v>45657</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47694-2023</t>
        </is>
      </c>
      <c r="B1364" s="1" t="n">
        <v>45203</v>
      </c>
      <c r="C1364" s="1" t="n">
        <v>45657</v>
      </c>
      <c r="D1364" t="inlineStr">
        <is>
          <t>STOCKHOLMS LÄN</t>
        </is>
      </c>
      <c r="E1364" t="inlineStr">
        <is>
          <t>NORRTÄLJE</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47708-2023</t>
        </is>
      </c>
      <c r="B1365" s="1" t="n">
        <v>45203</v>
      </c>
      <c r="C1365" s="1" t="n">
        <v>45657</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47758-2023</t>
        </is>
      </c>
      <c r="B1366" s="1" t="n">
        <v>45203</v>
      </c>
      <c r="C1366" s="1" t="n">
        <v>45657</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47699-2023</t>
        </is>
      </c>
      <c r="B1367" s="1" t="n">
        <v>45203</v>
      </c>
      <c r="C1367" s="1" t="n">
        <v>45657</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47735-2023</t>
        </is>
      </c>
      <c r="B1368" s="1" t="n">
        <v>45203</v>
      </c>
      <c r="C1368" s="1" t="n">
        <v>45657</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48167-2023</t>
        </is>
      </c>
      <c r="B1369" s="1" t="n">
        <v>45205</v>
      </c>
      <c r="C1369" s="1" t="n">
        <v>45657</v>
      </c>
      <c r="D1369" t="inlineStr">
        <is>
          <t>STOCKHOLMS LÄN</t>
        </is>
      </c>
      <c r="E1369" t="inlineStr">
        <is>
          <t>NORRTÄLJE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48180-2023</t>
        </is>
      </c>
      <c r="B1370" s="1" t="n">
        <v>45205</v>
      </c>
      <c r="C1370" s="1" t="n">
        <v>45657</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48185-2023</t>
        </is>
      </c>
      <c r="B1371" s="1" t="n">
        <v>45205</v>
      </c>
      <c r="C1371" s="1" t="n">
        <v>45657</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48302-2023</t>
        </is>
      </c>
      <c r="B1372" s="1" t="n">
        <v>45205</v>
      </c>
      <c r="C1372" s="1" t="n">
        <v>45657</v>
      </c>
      <c r="D1372" t="inlineStr">
        <is>
          <t>STOCKHOLMS LÄN</t>
        </is>
      </c>
      <c r="E1372" t="inlineStr">
        <is>
          <t>NORRTÄLJE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48333-2023</t>
        </is>
      </c>
      <c r="B1373" s="1" t="n">
        <v>45205</v>
      </c>
      <c r="C1373" s="1" t="n">
        <v>45657</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48541-2023</t>
        </is>
      </c>
      <c r="B1374" s="1" t="n">
        <v>45208</v>
      </c>
      <c r="C1374" s="1" t="n">
        <v>45657</v>
      </c>
      <c r="D1374" t="inlineStr">
        <is>
          <t>STOCKHOLMS LÄN</t>
        </is>
      </c>
      <c r="E1374" t="inlineStr">
        <is>
          <t>NORRTÄLJE</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48552-2023</t>
        </is>
      </c>
      <c r="B1375" s="1" t="n">
        <v>45208</v>
      </c>
      <c r="C1375" s="1" t="n">
        <v>45657</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48587-2023</t>
        </is>
      </c>
      <c r="B1376" s="1" t="n">
        <v>45208</v>
      </c>
      <c r="C1376" s="1" t="n">
        <v>45657</v>
      </c>
      <c r="D1376" t="inlineStr">
        <is>
          <t>STOCKHOLMS LÄN</t>
        </is>
      </c>
      <c r="E1376" t="inlineStr">
        <is>
          <t>NORRTÄLJE</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48633-2023</t>
        </is>
      </c>
      <c r="B1377" s="1" t="n">
        <v>45208</v>
      </c>
      <c r="C1377" s="1" t="n">
        <v>45657</v>
      </c>
      <c r="D1377" t="inlineStr">
        <is>
          <t>STOCKHOLMS LÄN</t>
        </is>
      </c>
      <c r="E1377" t="inlineStr">
        <is>
          <t>NORRTÄLJE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48641-2023</t>
        </is>
      </c>
      <c r="B1378" s="1" t="n">
        <v>45208</v>
      </c>
      <c r="C1378" s="1" t="n">
        <v>45657</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48686-2023</t>
        </is>
      </c>
      <c r="B1379" s="1" t="n">
        <v>45208</v>
      </c>
      <c r="C1379" s="1" t="n">
        <v>45657</v>
      </c>
      <c r="D1379" t="inlineStr">
        <is>
          <t>STOCKHOLMS LÄN</t>
        </is>
      </c>
      <c r="E1379" t="inlineStr">
        <is>
          <t>NORRTÄLJE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48629-2023</t>
        </is>
      </c>
      <c r="B1380" s="1" t="n">
        <v>45208</v>
      </c>
      <c r="C1380" s="1" t="n">
        <v>45657</v>
      </c>
      <c r="D1380" t="inlineStr">
        <is>
          <t>STOCKHOLMS LÄN</t>
        </is>
      </c>
      <c r="E1380" t="inlineStr">
        <is>
          <t>NORRTÄLJE</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48668-2023</t>
        </is>
      </c>
      <c r="B1381" s="1" t="n">
        <v>45208</v>
      </c>
      <c r="C1381" s="1" t="n">
        <v>45657</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48685-2023</t>
        </is>
      </c>
      <c r="B1382" s="1" t="n">
        <v>45208</v>
      </c>
      <c r="C1382" s="1" t="n">
        <v>45657</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48691-2023</t>
        </is>
      </c>
      <c r="B1383" s="1" t="n">
        <v>45208</v>
      </c>
      <c r="C1383" s="1" t="n">
        <v>45657</v>
      </c>
      <c r="D1383" t="inlineStr">
        <is>
          <t>STOCKHOLMS LÄN</t>
        </is>
      </c>
      <c r="E1383" t="inlineStr">
        <is>
          <t>NORRTÄLJE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48701-2023</t>
        </is>
      </c>
      <c r="B1384" s="1" t="n">
        <v>45208</v>
      </c>
      <c r="C1384" s="1" t="n">
        <v>45657</v>
      </c>
      <c r="D1384" t="inlineStr">
        <is>
          <t>STOCKHOLMS LÄN</t>
        </is>
      </c>
      <c r="E1384" t="inlineStr">
        <is>
          <t>NORRTÄLJE</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48716-2023</t>
        </is>
      </c>
      <c r="B1385" s="1" t="n">
        <v>45208</v>
      </c>
      <c r="C1385" s="1" t="n">
        <v>45657</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48709-2023</t>
        </is>
      </c>
      <c r="B1386" s="1" t="n">
        <v>45208</v>
      </c>
      <c r="C1386" s="1" t="n">
        <v>45657</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48722-2023</t>
        </is>
      </c>
      <c r="B1387" s="1" t="n">
        <v>45208</v>
      </c>
      <c r="C1387" s="1" t="n">
        <v>45657</v>
      </c>
      <c r="D1387" t="inlineStr">
        <is>
          <t>STOCKHOLMS LÄN</t>
        </is>
      </c>
      <c r="E1387" t="inlineStr">
        <is>
          <t>NORRTÄLJE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48726-2023</t>
        </is>
      </c>
      <c r="B1388" s="1" t="n">
        <v>45208</v>
      </c>
      <c r="C1388" s="1" t="n">
        <v>45657</v>
      </c>
      <c r="D1388" t="inlineStr">
        <is>
          <t>STOCKHOLMS LÄN</t>
        </is>
      </c>
      <c r="E1388" t="inlineStr">
        <is>
          <t>NORRTÄLJE</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49169-2023</t>
        </is>
      </c>
      <c r="B1389" s="1" t="n">
        <v>45210</v>
      </c>
      <c r="C1389" s="1" t="n">
        <v>45657</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49176-2023</t>
        </is>
      </c>
      <c r="B1390" s="1" t="n">
        <v>45210</v>
      </c>
      <c r="C1390" s="1" t="n">
        <v>45657</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49224-2023</t>
        </is>
      </c>
      <c r="B1391" s="1" t="n">
        <v>45210</v>
      </c>
      <c r="C1391" s="1" t="n">
        <v>45657</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49696-2023</t>
        </is>
      </c>
      <c r="B1392" s="1" t="n">
        <v>45212</v>
      </c>
      <c r="C1392" s="1" t="n">
        <v>45657</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49700-2023</t>
        </is>
      </c>
      <c r="B1393" s="1" t="n">
        <v>45212</v>
      </c>
      <c r="C1393" s="1" t="n">
        <v>45657</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49694-2023</t>
        </is>
      </c>
      <c r="B1394" s="1" t="n">
        <v>45212</v>
      </c>
      <c r="C1394" s="1" t="n">
        <v>45657</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50143-2023</t>
        </is>
      </c>
      <c r="B1395" s="1" t="n">
        <v>45215</v>
      </c>
      <c r="C1395" s="1" t="n">
        <v>45657</v>
      </c>
      <c r="D1395" t="inlineStr">
        <is>
          <t>STOCKHOLMS LÄN</t>
        </is>
      </c>
      <c r="E1395" t="inlineStr">
        <is>
          <t>NORRTÄLJE</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50107-2023</t>
        </is>
      </c>
      <c r="B1396" s="1" t="n">
        <v>45215</v>
      </c>
      <c r="C1396" s="1" t="n">
        <v>45657</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50033-2023</t>
        </is>
      </c>
      <c r="B1397" s="1" t="n">
        <v>45215</v>
      </c>
      <c r="C1397" s="1" t="n">
        <v>45657</v>
      </c>
      <c r="D1397" t="inlineStr">
        <is>
          <t>STOCKHOLMS LÄN</t>
        </is>
      </c>
      <c r="E1397" t="inlineStr">
        <is>
          <t>NORRTÄLJE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50136-2023</t>
        </is>
      </c>
      <c r="B1398" s="1" t="n">
        <v>45215</v>
      </c>
      <c r="C1398" s="1" t="n">
        <v>45657</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50150-2023</t>
        </is>
      </c>
      <c r="B1399" s="1" t="n">
        <v>45215</v>
      </c>
      <c r="C1399" s="1" t="n">
        <v>45657</v>
      </c>
      <c r="D1399" t="inlineStr">
        <is>
          <t>STOCKHOLMS LÄN</t>
        </is>
      </c>
      <c r="E1399" t="inlineStr">
        <is>
          <t>NORRTÄLJE</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50289-2023</t>
        </is>
      </c>
      <c r="B1400" s="1" t="n">
        <v>45216</v>
      </c>
      <c r="C1400" s="1" t="n">
        <v>45657</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50436-2023</t>
        </is>
      </c>
      <c r="B1401" s="1" t="n">
        <v>45216</v>
      </c>
      <c r="C1401" s="1" t="n">
        <v>45657</v>
      </c>
      <c r="D1401" t="inlineStr">
        <is>
          <t>STOCKHOLMS LÄN</t>
        </is>
      </c>
      <c r="E1401" t="inlineStr">
        <is>
          <t>NORRTÄLJE</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50690-2023</t>
        </is>
      </c>
      <c r="B1402" s="1" t="n">
        <v>45217</v>
      </c>
      <c r="C1402" s="1" t="n">
        <v>45657</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51049-2023</t>
        </is>
      </c>
      <c r="B1403" s="1" t="n">
        <v>45218</v>
      </c>
      <c r="C1403" s="1" t="n">
        <v>45657</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51063-2023</t>
        </is>
      </c>
      <c r="B1404" s="1" t="n">
        <v>45218</v>
      </c>
      <c r="C1404" s="1" t="n">
        <v>45657</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50880-2023</t>
        </is>
      </c>
      <c r="B1405" s="1" t="n">
        <v>45218</v>
      </c>
      <c r="C1405" s="1" t="n">
        <v>45657</v>
      </c>
      <c r="D1405" t="inlineStr">
        <is>
          <t>STOCKHOLMS LÄN</t>
        </is>
      </c>
      <c r="E1405" t="inlineStr">
        <is>
          <t>NORRTÄLJE</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51046-2023</t>
        </is>
      </c>
      <c r="B1406" s="1" t="n">
        <v>45218</v>
      </c>
      <c r="C1406" s="1" t="n">
        <v>45657</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51043-2023</t>
        </is>
      </c>
      <c r="B1407" s="1" t="n">
        <v>45218</v>
      </c>
      <c r="C1407" s="1" t="n">
        <v>45657</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51061-2023</t>
        </is>
      </c>
      <c r="B1408" s="1" t="n">
        <v>45218</v>
      </c>
      <c r="C1408" s="1" t="n">
        <v>45657</v>
      </c>
      <c r="D1408" t="inlineStr">
        <is>
          <t>STOCKHOLMS LÄN</t>
        </is>
      </c>
      <c r="E1408" t="inlineStr">
        <is>
          <t>NORRTÄLJE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51325-2023</t>
        </is>
      </c>
      <c r="B1409" s="1" t="n">
        <v>45219</v>
      </c>
      <c r="C1409" s="1" t="n">
        <v>45657</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51312-2023</t>
        </is>
      </c>
      <c r="B1410" s="1" t="n">
        <v>45219</v>
      </c>
      <c r="C1410" s="1" t="n">
        <v>45657</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51597-2023</t>
        </is>
      </c>
      <c r="B1411" s="1" t="n">
        <v>45222</v>
      </c>
      <c r="C1411" s="1" t="n">
        <v>45657</v>
      </c>
      <c r="D1411" t="inlineStr">
        <is>
          <t>STOCKHOLMS LÄN</t>
        </is>
      </c>
      <c r="E1411" t="inlineStr">
        <is>
          <t>NORRTÄLJE</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51657-2023</t>
        </is>
      </c>
      <c r="B1412" s="1" t="n">
        <v>45222</v>
      </c>
      <c r="C1412" s="1" t="n">
        <v>45657</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51903-2023</t>
        </is>
      </c>
      <c r="B1413" s="1" t="n">
        <v>45223</v>
      </c>
      <c r="C1413" s="1" t="n">
        <v>45657</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52095-2023</t>
        </is>
      </c>
      <c r="B1414" s="1" t="n">
        <v>45223</v>
      </c>
      <c r="C1414" s="1" t="n">
        <v>45657</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51978-2023</t>
        </is>
      </c>
      <c r="B1415" s="1" t="n">
        <v>45223</v>
      </c>
      <c r="C1415" s="1" t="n">
        <v>45657</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51997-2023</t>
        </is>
      </c>
      <c r="B1416" s="1" t="n">
        <v>45223</v>
      </c>
      <c r="C1416" s="1" t="n">
        <v>45657</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52001-2023</t>
        </is>
      </c>
      <c r="B1417" s="1" t="n">
        <v>45223</v>
      </c>
      <c r="C1417" s="1" t="n">
        <v>45657</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52096-2023</t>
        </is>
      </c>
      <c r="B1418" s="1" t="n">
        <v>45223</v>
      </c>
      <c r="C1418" s="1" t="n">
        <v>45657</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53362-2023</t>
        </is>
      </c>
      <c r="B1419" s="1" t="n">
        <v>45223</v>
      </c>
      <c r="C1419" s="1" t="n">
        <v>45657</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53372-2023</t>
        </is>
      </c>
      <c r="B1420" s="1" t="n">
        <v>45223</v>
      </c>
      <c r="C1420" s="1" t="n">
        <v>45657</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52221-2023</t>
        </is>
      </c>
      <c r="B1421" s="1" t="n">
        <v>45224</v>
      </c>
      <c r="C1421" s="1" t="n">
        <v>45657</v>
      </c>
      <c r="D1421" t="inlineStr">
        <is>
          <t>STOCKHOLMS LÄN</t>
        </is>
      </c>
      <c r="E1421" t="inlineStr">
        <is>
          <t>NORRTÄLJE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53561-2023</t>
        </is>
      </c>
      <c r="B1422" s="1" t="n">
        <v>45224</v>
      </c>
      <c r="C1422" s="1" t="n">
        <v>45657</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53556-2023</t>
        </is>
      </c>
      <c r="B1423" s="1" t="n">
        <v>45224</v>
      </c>
      <c r="C1423" s="1" t="n">
        <v>45657</v>
      </c>
      <c r="D1423" t="inlineStr">
        <is>
          <t>STOCKHOLMS LÄN</t>
        </is>
      </c>
      <c r="E1423" t="inlineStr">
        <is>
          <t>NORRTÄLJE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52570-2023</t>
        </is>
      </c>
      <c r="B1424" s="1" t="n">
        <v>45225</v>
      </c>
      <c r="C1424" s="1" t="n">
        <v>45657</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52619-2023</t>
        </is>
      </c>
      <c r="B1425" s="1" t="n">
        <v>45225</v>
      </c>
      <c r="C1425" s="1" t="n">
        <v>45657</v>
      </c>
      <c r="D1425" t="inlineStr">
        <is>
          <t>STOCKHOLMS LÄN</t>
        </is>
      </c>
      <c r="E1425" t="inlineStr">
        <is>
          <t>NORRTÄLJE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52875-2023</t>
        </is>
      </c>
      <c r="B1426" s="1" t="n">
        <v>45226</v>
      </c>
      <c r="C1426" s="1" t="n">
        <v>45657</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52899-2023</t>
        </is>
      </c>
      <c r="B1427" s="1" t="n">
        <v>45226</v>
      </c>
      <c r="C1427" s="1" t="n">
        <v>45657</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53563-2023</t>
        </is>
      </c>
      <c r="B1428" s="1" t="n">
        <v>45230</v>
      </c>
      <c r="C1428" s="1" t="n">
        <v>45657</v>
      </c>
      <c r="D1428" t="inlineStr">
        <is>
          <t>STOCKHOLMS LÄN</t>
        </is>
      </c>
      <c r="E1428" t="inlineStr">
        <is>
          <t>NORRTÄLJE</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53718-2023</t>
        </is>
      </c>
      <c r="B1429" s="1" t="n">
        <v>45230</v>
      </c>
      <c r="C1429" s="1" t="n">
        <v>45657</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53787-2023</t>
        </is>
      </c>
      <c r="B1430" s="1" t="n">
        <v>45231</v>
      </c>
      <c r="C1430" s="1" t="n">
        <v>45657</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53792-2023</t>
        </is>
      </c>
      <c r="B1431" s="1" t="n">
        <v>45231</v>
      </c>
      <c r="C1431" s="1" t="n">
        <v>45657</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55518-2023</t>
        </is>
      </c>
      <c r="B1432" s="1" t="n">
        <v>45231</v>
      </c>
      <c r="C1432" s="1" t="n">
        <v>45657</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55533-2023</t>
        </is>
      </c>
      <c r="B1433" s="1" t="n">
        <v>45231</v>
      </c>
      <c r="C1433" s="1" t="n">
        <v>45657</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54259-2023</t>
        </is>
      </c>
      <c r="B1434" s="1" t="n">
        <v>45232</v>
      </c>
      <c r="C1434" s="1" t="n">
        <v>45657</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54546-2023</t>
        </is>
      </c>
      <c r="B1435" s="1" t="n">
        <v>45233</v>
      </c>
      <c r="C1435" s="1" t="n">
        <v>45657</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54776-2023</t>
        </is>
      </c>
      <c r="B1436" s="1" t="n">
        <v>45236</v>
      </c>
      <c r="C1436" s="1" t="n">
        <v>45657</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55038-2023</t>
        </is>
      </c>
      <c r="B1437" s="1" t="n">
        <v>45237</v>
      </c>
      <c r="C1437" s="1" t="n">
        <v>45657</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55243-2023</t>
        </is>
      </c>
      <c r="B1438" s="1" t="n">
        <v>45237</v>
      </c>
      <c r="C1438" s="1" t="n">
        <v>45657</v>
      </c>
      <c r="D1438" t="inlineStr">
        <is>
          <t>STOCKHOLMS LÄN</t>
        </is>
      </c>
      <c r="E1438" t="inlineStr">
        <is>
          <t>NORRTÄLJE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55369-2023</t>
        </is>
      </c>
      <c r="B1439" s="1" t="n">
        <v>45238</v>
      </c>
      <c r="C1439" s="1" t="n">
        <v>45657</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55755-2023</t>
        </is>
      </c>
      <c r="B1440" s="1" t="n">
        <v>45239</v>
      </c>
      <c r="C1440" s="1" t="n">
        <v>45657</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56428-2023</t>
        </is>
      </c>
      <c r="B1441" s="1" t="n">
        <v>45243</v>
      </c>
      <c r="C1441" s="1" t="n">
        <v>45657</v>
      </c>
      <c r="D1441" t="inlineStr">
        <is>
          <t>STOCKHOLMS LÄN</t>
        </is>
      </c>
      <c r="E1441" t="inlineStr">
        <is>
          <t>NORRTÄLJE</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56439-2023</t>
        </is>
      </c>
      <c r="B1442" s="1" t="n">
        <v>45243</v>
      </c>
      <c r="C1442" s="1" t="n">
        <v>45657</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56445-2023</t>
        </is>
      </c>
      <c r="B1443" s="1" t="n">
        <v>45243</v>
      </c>
      <c r="C1443" s="1" t="n">
        <v>45657</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56577-2023</t>
        </is>
      </c>
      <c r="B1444" s="1" t="n">
        <v>45243</v>
      </c>
      <c r="C1444" s="1" t="n">
        <v>45657</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56593-2023</t>
        </is>
      </c>
      <c r="B1445" s="1" t="n">
        <v>45243</v>
      </c>
      <c r="C1445" s="1" t="n">
        <v>45657</v>
      </c>
      <c r="D1445" t="inlineStr">
        <is>
          <t>STOCKHOLMS LÄN</t>
        </is>
      </c>
      <c r="E1445" t="inlineStr">
        <is>
          <t>NORRTÄLJE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56819-2023</t>
        </is>
      </c>
      <c r="B1446" s="1" t="n">
        <v>45244</v>
      </c>
      <c r="C1446" s="1" t="n">
        <v>45657</v>
      </c>
      <c r="D1446" t="inlineStr">
        <is>
          <t>STOCKHOLMS LÄN</t>
        </is>
      </c>
      <c r="E1446" t="inlineStr">
        <is>
          <t>NORRTÄLJE</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58261-2023</t>
        </is>
      </c>
      <c r="B1447" s="1" t="n">
        <v>45245</v>
      </c>
      <c r="C1447" s="1" t="n">
        <v>45657</v>
      </c>
      <c r="D1447" t="inlineStr">
        <is>
          <t>STOCKHOLMS LÄN</t>
        </is>
      </c>
      <c r="E1447" t="inlineStr">
        <is>
          <t>NORRTÄLJE</t>
        </is>
      </c>
      <c r="G1447" t="n">
        <v>53.5</v>
      </c>
      <c r="H1447" t="n">
        <v>0</v>
      </c>
      <c r="I1447" t="n">
        <v>0</v>
      </c>
      <c r="J1447" t="n">
        <v>0</v>
      </c>
      <c r="K1447" t="n">
        <v>0</v>
      </c>
      <c r="L1447" t="n">
        <v>0</v>
      </c>
      <c r="M1447" t="n">
        <v>0</v>
      </c>
      <c r="N1447" t="n">
        <v>0</v>
      </c>
      <c r="O1447" t="n">
        <v>0</v>
      </c>
      <c r="P1447" t="n">
        <v>0</v>
      </c>
      <c r="Q1447" t="n">
        <v>0</v>
      </c>
      <c r="R1447" s="2" t="inlineStr"/>
    </row>
    <row r="1448" ht="15" customHeight="1">
      <c r="A1448" t="inlineStr">
        <is>
          <t>A 58209-2023</t>
        </is>
      </c>
      <c r="B1448" s="1" t="n">
        <v>45245</v>
      </c>
      <c r="C1448" s="1" t="n">
        <v>45657</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58227-2023</t>
        </is>
      </c>
      <c r="B1449" s="1" t="n">
        <v>45245</v>
      </c>
      <c r="C1449" s="1" t="n">
        <v>45657</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58291-2023</t>
        </is>
      </c>
      <c r="B1450" s="1" t="n">
        <v>45245</v>
      </c>
      <c r="C1450" s="1" t="n">
        <v>45657</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58277-2023</t>
        </is>
      </c>
      <c r="B1451" s="1" t="n">
        <v>45245</v>
      </c>
      <c r="C1451" s="1" t="n">
        <v>45657</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58213-2023</t>
        </is>
      </c>
      <c r="B1452" s="1" t="n">
        <v>45245</v>
      </c>
      <c r="C1452" s="1" t="n">
        <v>45657</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58311-2023</t>
        </is>
      </c>
      <c r="B1453" s="1" t="n">
        <v>45245</v>
      </c>
      <c r="C1453" s="1" t="n">
        <v>45657</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58300-2023</t>
        </is>
      </c>
      <c r="B1454" s="1" t="n">
        <v>45245</v>
      </c>
      <c r="C1454" s="1" t="n">
        <v>45657</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58260-2023</t>
        </is>
      </c>
      <c r="B1455" s="1" t="n">
        <v>45245</v>
      </c>
      <c r="C1455" s="1" t="n">
        <v>45657</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58297-2023</t>
        </is>
      </c>
      <c r="B1456" s="1" t="n">
        <v>45245</v>
      </c>
      <c r="C1456" s="1" t="n">
        <v>45657</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58306-2023</t>
        </is>
      </c>
      <c r="B1457" s="1" t="n">
        <v>45245</v>
      </c>
      <c r="C1457" s="1" t="n">
        <v>45657</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58404-2023</t>
        </is>
      </c>
      <c r="B1458" s="1" t="n">
        <v>45245</v>
      </c>
      <c r="C1458" s="1" t="n">
        <v>45657</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58191-2023</t>
        </is>
      </c>
      <c r="B1459" s="1" t="n">
        <v>45250</v>
      </c>
      <c r="C1459" s="1" t="n">
        <v>45657</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58186-2023</t>
        </is>
      </c>
      <c r="B1460" s="1" t="n">
        <v>45250</v>
      </c>
      <c r="C1460" s="1" t="n">
        <v>45657</v>
      </c>
      <c r="D1460" t="inlineStr">
        <is>
          <t>STOCKHOLMS LÄN</t>
        </is>
      </c>
      <c r="E1460" t="inlineStr">
        <is>
          <t>NORRTÄLJE</t>
        </is>
      </c>
      <c r="F1460" t="inlineStr">
        <is>
          <t>Kyrkan</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58981-2023</t>
        </is>
      </c>
      <c r="B1461" s="1" t="n">
        <v>45250</v>
      </c>
      <c r="C1461" s="1" t="n">
        <v>45657</v>
      </c>
      <c r="D1461" t="inlineStr">
        <is>
          <t>STOCKHOLMS LÄN</t>
        </is>
      </c>
      <c r="E1461" t="inlineStr">
        <is>
          <t>NORRTÄLJE</t>
        </is>
      </c>
      <c r="F1461" t="inlineStr">
        <is>
          <t>Övriga statliga verk och myndigheter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58601-2023</t>
        </is>
      </c>
      <c r="B1462" s="1" t="n">
        <v>45251</v>
      </c>
      <c r="C1462" s="1" t="n">
        <v>45657</v>
      </c>
      <c r="D1462" t="inlineStr">
        <is>
          <t>STOCKHOLMS LÄN</t>
        </is>
      </c>
      <c r="E1462" t="inlineStr">
        <is>
          <t>NORRTÄLJE</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59310-2023</t>
        </is>
      </c>
      <c r="B1463" s="1" t="n">
        <v>45253</v>
      </c>
      <c r="C1463" s="1" t="n">
        <v>45657</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59326-2023</t>
        </is>
      </c>
      <c r="B1464" s="1" t="n">
        <v>45253</v>
      </c>
      <c r="C1464" s="1" t="n">
        <v>45657</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59212-2023</t>
        </is>
      </c>
      <c r="B1465" s="1" t="n">
        <v>45253</v>
      </c>
      <c r="C1465" s="1" t="n">
        <v>45657</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59276-2023</t>
        </is>
      </c>
      <c r="B1466" s="1" t="n">
        <v>45253</v>
      </c>
      <c r="C1466" s="1" t="n">
        <v>45657</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59468-2023</t>
        </is>
      </c>
      <c r="B1467" s="1" t="n">
        <v>45254</v>
      </c>
      <c r="C1467" s="1" t="n">
        <v>45657</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59499-2023</t>
        </is>
      </c>
      <c r="B1468" s="1" t="n">
        <v>45254</v>
      </c>
      <c r="C1468" s="1" t="n">
        <v>45657</v>
      </c>
      <c r="D1468" t="inlineStr">
        <is>
          <t>STOCKHOLMS LÄN</t>
        </is>
      </c>
      <c r="E1468" t="inlineStr">
        <is>
          <t>NORRTÄLJE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59504-2023</t>
        </is>
      </c>
      <c r="B1469" s="1" t="n">
        <v>45254</v>
      </c>
      <c r="C1469" s="1" t="n">
        <v>45657</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59676-2023</t>
        </is>
      </c>
      <c r="B1470" s="1" t="n">
        <v>45255</v>
      </c>
      <c r="C1470" s="1" t="n">
        <v>45657</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59904-2023</t>
        </is>
      </c>
      <c r="B1471" s="1" t="n">
        <v>45257</v>
      </c>
      <c r="C1471" s="1" t="n">
        <v>45657</v>
      </c>
      <c r="D1471" t="inlineStr">
        <is>
          <t>STOCKHOLMS LÄN</t>
        </is>
      </c>
      <c r="E1471" t="inlineStr">
        <is>
          <t>NORRTÄLJE</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59906-2023</t>
        </is>
      </c>
      <c r="B1472" s="1" t="n">
        <v>45257</v>
      </c>
      <c r="C1472" s="1" t="n">
        <v>45657</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59992-2023</t>
        </is>
      </c>
      <c r="B1473" s="1" t="n">
        <v>45257</v>
      </c>
      <c r="C1473" s="1" t="n">
        <v>45657</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60224-2023</t>
        </is>
      </c>
      <c r="B1474" s="1" t="n">
        <v>45257</v>
      </c>
      <c r="C1474" s="1" t="n">
        <v>45657</v>
      </c>
      <c r="D1474" t="inlineStr">
        <is>
          <t>STOCKHOLMS LÄN</t>
        </is>
      </c>
      <c r="E1474" t="inlineStr">
        <is>
          <t>NORRTÄLJE</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60073-2023</t>
        </is>
      </c>
      <c r="B1475" s="1" t="n">
        <v>45258</v>
      </c>
      <c r="C1475" s="1" t="n">
        <v>45657</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60492-2023</t>
        </is>
      </c>
      <c r="B1476" s="1" t="n">
        <v>45259</v>
      </c>
      <c r="C1476" s="1" t="n">
        <v>45657</v>
      </c>
      <c r="D1476" t="inlineStr">
        <is>
          <t>STOCKHOLMS LÄN</t>
        </is>
      </c>
      <c r="E1476" t="inlineStr">
        <is>
          <t>NORRTÄLJE</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60529-2023</t>
        </is>
      </c>
      <c r="B1477" s="1" t="n">
        <v>45259</v>
      </c>
      <c r="C1477" s="1" t="n">
        <v>45657</v>
      </c>
      <c r="D1477" t="inlineStr">
        <is>
          <t>STOCKHOLMS LÄN</t>
        </is>
      </c>
      <c r="E1477" t="inlineStr">
        <is>
          <t>NORRTÄLJE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60822-2023</t>
        </is>
      </c>
      <c r="B1478" s="1" t="n">
        <v>45259</v>
      </c>
      <c r="C1478" s="1" t="n">
        <v>45657</v>
      </c>
      <c r="D1478" t="inlineStr">
        <is>
          <t>STOCKHOLMS LÄN</t>
        </is>
      </c>
      <c r="E1478" t="inlineStr">
        <is>
          <t>NORRTÄLJE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60654-2023</t>
        </is>
      </c>
      <c r="B1479" s="1" t="n">
        <v>45260</v>
      </c>
      <c r="C1479" s="1" t="n">
        <v>45657</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60640-2023</t>
        </is>
      </c>
      <c r="B1480" s="1" t="n">
        <v>45260</v>
      </c>
      <c r="C1480" s="1" t="n">
        <v>45657</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60672-2023</t>
        </is>
      </c>
      <c r="B1481" s="1" t="n">
        <v>45260</v>
      </c>
      <c r="C1481" s="1" t="n">
        <v>45657</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60823-2023</t>
        </is>
      </c>
      <c r="B1482" s="1" t="n">
        <v>45260</v>
      </c>
      <c r="C1482" s="1" t="n">
        <v>45657</v>
      </c>
      <c r="D1482" t="inlineStr">
        <is>
          <t>STOCKHOLMS LÄN</t>
        </is>
      </c>
      <c r="E1482" t="inlineStr">
        <is>
          <t>NORRTÄLJE</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60656-2023</t>
        </is>
      </c>
      <c r="B1483" s="1" t="n">
        <v>45260</v>
      </c>
      <c r="C1483" s="1" t="n">
        <v>45657</v>
      </c>
      <c r="D1483" t="inlineStr">
        <is>
          <t>STOCKHOLMS LÄN</t>
        </is>
      </c>
      <c r="E1483" t="inlineStr">
        <is>
          <t>NORRTÄLJE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60765-2023</t>
        </is>
      </c>
      <c r="B1484" s="1" t="n">
        <v>45260</v>
      </c>
      <c r="C1484" s="1" t="n">
        <v>45657</v>
      </c>
      <c r="D1484" t="inlineStr">
        <is>
          <t>STOCKHOLMS LÄN</t>
        </is>
      </c>
      <c r="E1484" t="inlineStr">
        <is>
          <t>NORRTÄLJE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61113-2023</t>
        </is>
      </c>
      <c r="B1485" s="1" t="n">
        <v>45261</v>
      </c>
      <c r="C1485" s="1" t="n">
        <v>45657</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62644-2023</t>
        </is>
      </c>
      <c r="B1486" s="1" t="n">
        <v>45271</v>
      </c>
      <c r="C1486" s="1" t="n">
        <v>45657</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62998-2023</t>
        </is>
      </c>
      <c r="B1487" s="1" t="n">
        <v>45272</v>
      </c>
      <c r="C1487" s="1" t="n">
        <v>45657</v>
      </c>
      <c r="D1487" t="inlineStr">
        <is>
          <t>STOCKHOLMS LÄN</t>
        </is>
      </c>
      <c r="E1487" t="inlineStr">
        <is>
          <t>NORRTÄLJE</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63015-2023</t>
        </is>
      </c>
      <c r="B1488" s="1" t="n">
        <v>45272</v>
      </c>
      <c r="C1488" s="1" t="n">
        <v>45657</v>
      </c>
      <c r="D1488" t="inlineStr">
        <is>
          <t>STOCKHOLMS LÄN</t>
        </is>
      </c>
      <c r="E1488" t="inlineStr">
        <is>
          <t>NORRTÄLJE</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62971-2023</t>
        </is>
      </c>
      <c r="B1489" s="1" t="n">
        <v>45272</v>
      </c>
      <c r="C1489" s="1" t="n">
        <v>45657</v>
      </c>
      <c r="D1489" t="inlineStr">
        <is>
          <t>STOCKHOLMS LÄN</t>
        </is>
      </c>
      <c r="E1489" t="inlineStr">
        <is>
          <t>NORRTÄLJE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63013-2023</t>
        </is>
      </c>
      <c r="B1490" s="1" t="n">
        <v>45272</v>
      </c>
      <c r="C1490" s="1" t="n">
        <v>45657</v>
      </c>
      <c r="D1490" t="inlineStr">
        <is>
          <t>STOCKHOLMS LÄN</t>
        </is>
      </c>
      <c r="E1490" t="inlineStr">
        <is>
          <t>NORRTÄLJE</t>
        </is>
      </c>
      <c r="G1490" t="n">
        <v>14.9</v>
      </c>
      <c r="H1490" t="n">
        <v>0</v>
      </c>
      <c r="I1490" t="n">
        <v>0</v>
      </c>
      <c r="J1490" t="n">
        <v>0</v>
      </c>
      <c r="K1490" t="n">
        <v>0</v>
      </c>
      <c r="L1490" t="n">
        <v>0</v>
      </c>
      <c r="M1490" t="n">
        <v>0</v>
      </c>
      <c r="N1490" t="n">
        <v>0</v>
      </c>
      <c r="O1490" t="n">
        <v>0</v>
      </c>
      <c r="P1490" t="n">
        <v>0</v>
      </c>
      <c r="Q1490" t="n">
        <v>0</v>
      </c>
      <c r="R1490" s="2" t="inlineStr"/>
    </row>
    <row r="1491" ht="15" customHeight="1">
      <c r="A1491" t="inlineStr">
        <is>
          <t>A 63161-2023</t>
        </is>
      </c>
      <c r="B1491" s="1" t="n">
        <v>45273</v>
      </c>
      <c r="C1491" s="1" t="n">
        <v>45657</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63655-2023</t>
        </is>
      </c>
      <c r="B1492" s="1" t="n">
        <v>45275</v>
      </c>
      <c r="C1492" s="1" t="n">
        <v>45657</v>
      </c>
      <c r="D1492" t="inlineStr">
        <is>
          <t>STOCKHOLMS LÄN</t>
        </is>
      </c>
      <c r="E1492" t="inlineStr">
        <is>
          <t>NORRTÄLJE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64902-2023</t>
        </is>
      </c>
      <c r="B1493" s="1" t="n">
        <v>45282</v>
      </c>
      <c r="C1493" s="1" t="n">
        <v>45657</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64899-2023</t>
        </is>
      </c>
      <c r="B1494" s="1" t="n">
        <v>45282</v>
      </c>
      <c r="C1494" s="1" t="n">
        <v>45657</v>
      </c>
      <c r="D1494" t="inlineStr">
        <is>
          <t>STOCKHOLMS LÄN</t>
        </is>
      </c>
      <c r="E1494" t="inlineStr">
        <is>
          <t>NORRTÄLJE</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9-2024</t>
        </is>
      </c>
      <c r="B1495" s="1" t="n">
        <v>45293</v>
      </c>
      <c r="C1495" s="1" t="n">
        <v>45657</v>
      </c>
      <c r="D1495" t="inlineStr">
        <is>
          <t>STOCKHOLMS LÄN</t>
        </is>
      </c>
      <c r="E1495" t="inlineStr">
        <is>
          <t>NORRTÄLJE</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13-2024</t>
        </is>
      </c>
      <c r="B1496" s="1" t="n">
        <v>45293</v>
      </c>
      <c r="C1496" s="1" t="n">
        <v>45657</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11-2024</t>
        </is>
      </c>
      <c r="B1497" s="1" t="n">
        <v>45293</v>
      </c>
      <c r="C1497" s="1" t="n">
        <v>45657</v>
      </c>
      <c r="D1497" t="inlineStr">
        <is>
          <t>STOCKHOLMS LÄN</t>
        </is>
      </c>
      <c r="E1497" t="inlineStr">
        <is>
          <t>NORRTÄLJE</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45657</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329-2024</t>
        </is>
      </c>
      <c r="B1499" s="1" t="n">
        <v>45295</v>
      </c>
      <c r="C1499" s="1" t="n">
        <v>45657</v>
      </c>
      <c r="D1499" t="inlineStr">
        <is>
          <t>STOCKHOLMS LÄN</t>
        </is>
      </c>
      <c r="E1499" t="inlineStr">
        <is>
          <t>NORRTÄLJE</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498-2024</t>
        </is>
      </c>
      <c r="B1500" s="1" t="n">
        <v>45299</v>
      </c>
      <c r="C1500" s="1" t="n">
        <v>45657</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577-2024</t>
        </is>
      </c>
      <c r="B1501" s="1" t="n">
        <v>45299</v>
      </c>
      <c r="C1501" s="1" t="n">
        <v>45657</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1372-2024</t>
        </is>
      </c>
      <c r="B1502" s="1" t="n">
        <v>45303</v>
      </c>
      <c r="C1502" s="1" t="n">
        <v>45657</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1996-2024</t>
        </is>
      </c>
      <c r="B1503" s="1" t="n">
        <v>45308</v>
      </c>
      <c r="C1503" s="1" t="n">
        <v>45657</v>
      </c>
      <c r="D1503" t="inlineStr">
        <is>
          <t>STOCKHOLMS LÄN</t>
        </is>
      </c>
      <c r="E1503" t="inlineStr">
        <is>
          <t>NORRTÄLJE</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2287-2024</t>
        </is>
      </c>
      <c r="B1504" s="1" t="n">
        <v>45310</v>
      </c>
      <c r="C1504" s="1" t="n">
        <v>45657</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2281-2024</t>
        </is>
      </c>
      <c r="B1505" s="1" t="n">
        <v>45310</v>
      </c>
      <c r="C1505" s="1" t="n">
        <v>45657</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2613-2024</t>
        </is>
      </c>
      <c r="B1506" s="1" t="n">
        <v>45313</v>
      </c>
      <c r="C1506" s="1" t="n">
        <v>45657</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2611-2024</t>
        </is>
      </c>
      <c r="B1507" s="1" t="n">
        <v>45313</v>
      </c>
      <c r="C1507" s="1" t="n">
        <v>45657</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3084-2024</t>
        </is>
      </c>
      <c r="B1508" s="1" t="n">
        <v>45316</v>
      </c>
      <c r="C1508" s="1" t="n">
        <v>45657</v>
      </c>
      <c r="D1508" t="inlineStr">
        <is>
          <t>STOCKHOLMS LÄN</t>
        </is>
      </c>
      <c r="E1508" t="inlineStr">
        <is>
          <t>NORRTÄLJE</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3152-2024</t>
        </is>
      </c>
      <c r="B1509" s="1" t="n">
        <v>45316</v>
      </c>
      <c r="C1509" s="1" t="n">
        <v>45657</v>
      </c>
      <c r="D1509" t="inlineStr">
        <is>
          <t>STOCKHOLMS LÄN</t>
        </is>
      </c>
      <c r="E1509" t="inlineStr">
        <is>
          <t>NORRTÄLJE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3381-2024</t>
        </is>
      </c>
      <c r="B1510" s="1" t="n">
        <v>45317</v>
      </c>
      <c r="C1510" s="1" t="n">
        <v>45657</v>
      </c>
      <c r="D1510" t="inlineStr">
        <is>
          <t>STOCKHOLMS LÄN</t>
        </is>
      </c>
      <c r="E1510" t="inlineStr">
        <is>
          <t>NORRTÄLJE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3942-2024</t>
        </is>
      </c>
      <c r="B1511" s="1" t="n">
        <v>45322</v>
      </c>
      <c r="C1511" s="1" t="n">
        <v>45657</v>
      </c>
      <c r="D1511" t="inlineStr">
        <is>
          <t>STOCKHOLMS LÄN</t>
        </is>
      </c>
      <c r="E1511" t="inlineStr">
        <is>
          <t>NORRTÄLJE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3966-2024</t>
        </is>
      </c>
      <c r="B1512" s="1" t="n">
        <v>45322</v>
      </c>
      <c r="C1512" s="1" t="n">
        <v>45657</v>
      </c>
      <c r="D1512" t="inlineStr">
        <is>
          <t>STOCKHOLMS LÄN</t>
        </is>
      </c>
      <c r="E1512" t="inlineStr">
        <is>
          <t>NORRTÄLJE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4051-2024</t>
        </is>
      </c>
      <c r="B1513" s="1" t="n">
        <v>45323</v>
      </c>
      <c r="C1513" s="1" t="n">
        <v>45657</v>
      </c>
      <c r="D1513" t="inlineStr">
        <is>
          <t>STOCKHOLMS LÄN</t>
        </is>
      </c>
      <c r="E1513" t="inlineStr">
        <is>
          <t>NORRTÄLJE</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4542-2024</t>
        </is>
      </c>
      <c r="B1514" s="1" t="n">
        <v>45327</v>
      </c>
      <c r="C1514" s="1" t="n">
        <v>45657</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4658-2024</t>
        </is>
      </c>
      <c r="B1515" s="1" t="n">
        <v>45328</v>
      </c>
      <c r="C1515" s="1" t="n">
        <v>45657</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4730-2024</t>
        </is>
      </c>
      <c r="B1516" s="1" t="n">
        <v>45328</v>
      </c>
      <c r="C1516" s="1" t="n">
        <v>45657</v>
      </c>
      <c r="D1516" t="inlineStr">
        <is>
          <t>STOCKHOLMS LÄN</t>
        </is>
      </c>
      <c r="E1516" t="inlineStr">
        <is>
          <t>NORRTÄLJE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5158-2024</t>
        </is>
      </c>
      <c r="B1517" s="1" t="n">
        <v>45330</v>
      </c>
      <c r="C1517" s="1" t="n">
        <v>45657</v>
      </c>
      <c r="D1517" t="inlineStr">
        <is>
          <t>STOCKHOLMS LÄN</t>
        </is>
      </c>
      <c r="E1517" t="inlineStr">
        <is>
          <t>NORRTÄLJE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5670-2024</t>
        </is>
      </c>
      <c r="B1518" s="1" t="n">
        <v>45334</v>
      </c>
      <c r="C1518" s="1" t="n">
        <v>45657</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5664-2024</t>
        </is>
      </c>
      <c r="B1519" s="1" t="n">
        <v>45334</v>
      </c>
      <c r="C1519" s="1" t="n">
        <v>45657</v>
      </c>
      <c r="D1519" t="inlineStr">
        <is>
          <t>STOCKHOLMS LÄN</t>
        </is>
      </c>
      <c r="E1519" t="inlineStr">
        <is>
          <t>NORRTÄLJE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5683-2024</t>
        </is>
      </c>
      <c r="B1520" s="1" t="n">
        <v>45334</v>
      </c>
      <c r="C1520" s="1" t="n">
        <v>45657</v>
      </c>
      <c r="D1520" t="inlineStr">
        <is>
          <t>STOCKHOLMS LÄN</t>
        </is>
      </c>
      <c r="E1520" t="inlineStr">
        <is>
          <t>NORRTÄLJE</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5625-2024</t>
        </is>
      </c>
      <c r="B1521" s="1" t="n">
        <v>45334</v>
      </c>
      <c r="C1521" s="1" t="n">
        <v>45657</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5862-2024</t>
        </is>
      </c>
      <c r="B1522" s="1" t="n">
        <v>45335</v>
      </c>
      <c r="C1522" s="1" t="n">
        <v>45657</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5831-2024</t>
        </is>
      </c>
      <c r="B1523" s="1" t="n">
        <v>45335</v>
      </c>
      <c r="C1523" s="1" t="n">
        <v>45657</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5894-2024</t>
        </is>
      </c>
      <c r="B1524" s="1" t="n">
        <v>45335</v>
      </c>
      <c r="C1524" s="1" t="n">
        <v>45657</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6401-2024</t>
        </is>
      </c>
      <c r="B1525" s="1" t="n">
        <v>45338</v>
      </c>
      <c r="C1525" s="1" t="n">
        <v>45657</v>
      </c>
      <c r="D1525" t="inlineStr">
        <is>
          <t>STOCKHOLMS LÄN</t>
        </is>
      </c>
      <c r="E1525" t="inlineStr">
        <is>
          <t>NORRTÄLJE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6537-2024</t>
        </is>
      </c>
      <c r="B1526" s="1" t="n">
        <v>45341</v>
      </c>
      <c r="C1526" s="1" t="n">
        <v>45657</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7009-2024</t>
        </is>
      </c>
      <c r="B1527" s="1" t="n">
        <v>45343</v>
      </c>
      <c r="C1527" s="1" t="n">
        <v>45657</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7186-2024</t>
        </is>
      </c>
      <c r="B1528" s="1" t="n">
        <v>45344</v>
      </c>
      <c r="C1528" s="1" t="n">
        <v>45657</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7408-2024</t>
        </is>
      </c>
      <c r="B1529" s="1" t="n">
        <v>45345</v>
      </c>
      <c r="C1529" s="1" t="n">
        <v>45657</v>
      </c>
      <c r="D1529" t="inlineStr">
        <is>
          <t>STOCKHOLMS LÄN</t>
        </is>
      </c>
      <c r="E1529" t="inlineStr">
        <is>
          <t>NORRTÄLJE</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7573-2024</t>
        </is>
      </c>
      <c r="B1530" s="1" t="n">
        <v>45345</v>
      </c>
      <c r="C1530" s="1" t="n">
        <v>45657</v>
      </c>
      <c r="D1530" t="inlineStr">
        <is>
          <t>STOCKHOLMS LÄN</t>
        </is>
      </c>
      <c r="E1530" t="inlineStr">
        <is>
          <t>NORRTÄLJE</t>
        </is>
      </c>
      <c r="F1530" t="inlineStr">
        <is>
          <t>Övriga Aktiebolag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7425-2024</t>
        </is>
      </c>
      <c r="B1531" s="1" t="n">
        <v>45345</v>
      </c>
      <c r="C1531" s="1" t="n">
        <v>45657</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7413-2024</t>
        </is>
      </c>
      <c r="B1532" s="1" t="n">
        <v>45345</v>
      </c>
      <c r="C1532" s="1" t="n">
        <v>45657</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7385-2024</t>
        </is>
      </c>
      <c r="B1533" s="1" t="n">
        <v>45345</v>
      </c>
      <c r="C1533" s="1" t="n">
        <v>45657</v>
      </c>
      <c r="D1533" t="inlineStr">
        <is>
          <t>STOCKHOLMS LÄN</t>
        </is>
      </c>
      <c r="E1533" t="inlineStr">
        <is>
          <t>NORRTÄLJE</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7329-2024</t>
        </is>
      </c>
      <c r="B1534" s="1" t="n">
        <v>45345</v>
      </c>
      <c r="C1534" s="1" t="n">
        <v>45657</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7483-2024</t>
        </is>
      </c>
      <c r="B1535" s="1" t="n">
        <v>45346</v>
      </c>
      <c r="C1535" s="1" t="n">
        <v>45657</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7571-2024</t>
        </is>
      </c>
      <c r="B1536" s="1" t="n">
        <v>45348</v>
      </c>
      <c r="C1536" s="1" t="n">
        <v>45657</v>
      </c>
      <c r="D1536" t="inlineStr">
        <is>
          <t>STOCKHOLMS LÄN</t>
        </is>
      </c>
      <c r="E1536" t="inlineStr">
        <is>
          <t>NORRTÄLJE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8270-2024</t>
        </is>
      </c>
      <c r="B1537" s="1" t="n">
        <v>45352</v>
      </c>
      <c r="C1537" s="1" t="n">
        <v>45657</v>
      </c>
      <c r="D1537" t="inlineStr">
        <is>
          <t>STOCKHOLMS LÄN</t>
        </is>
      </c>
      <c r="E1537" t="inlineStr">
        <is>
          <t>NORRTÄLJE</t>
        </is>
      </c>
      <c r="F1537" t="inlineStr">
        <is>
          <t>Kyrkan</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8399-2024</t>
        </is>
      </c>
      <c r="B1538" s="1" t="n">
        <v>45352</v>
      </c>
      <c r="C1538" s="1" t="n">
        <v>45657</v>
      </c>
      <c r="D1538" t="inlineStr">
        <is>
          <t>STOCKHOLMS LÄN</t>
        </is>
      </c>
      <c r="E1538" t="inlineStr">
        <is>
          <t>NORRTÄLJE</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8365-2024</t>
        </is>
      </c>
      <c r="B1539" s="1" t="n">
        <v>45352</v>
      </c>
      <c r="C1539" s="1" t="n">
        <v>45657</v>
      </c>
      <c r="D1539" t="inlineStr">
        <is>
          <t>STOCKHOLMS LÄN</t>
        </is>
      </c>
      <c r="E1539" t="inlineStr">
        <is>
          <t>NORRTÄLJE</t>
        </is>
      </c>
      <c r="F1539" t="inlineStr">
        <is>
          <t>Naturvårdsverket</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8400-2024</t>
        </is>
      </c>
      <c r="B1540" s="1" t="n">
        <v>45352</v>
      </c>
      <c r="C1540" s="1" t="n">
        <v>45657</v>
      </c>
      <c r="D1540" t="inlineStr">
        <is>
          <t>STOCKHOLMS LÄN</t>
        </is>
      </c>
      <c r="E1540" t="inlineStr">
        <is>
          <t>NORRTÄLJE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8401-2024</t>
        </is>
      </c>
      <c r="B1541" s="1" t="n">
        <v>45352</v>
      </c>
      <c r="C1541" s="1" t="n">
        <v>45657</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8739-2024</t>
        </is>
      </c>
      <c r="B1542" s="1" t="n">
        <v>45356</v>
      </c>
      <c r="C1542" s="1" t="n">
        <v>45657</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8736-2024</t>
        </is>
      </c>
      <c r="B1543" s="1" t="n">
        <v>45356</v>
      </c>
      <c r="C1543" s="1" t="n">
        <v>45657</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9246-2024</t>
        </is>
      </c>
      <c r="B1544" s="1" t="n">
        <v>45357</v>
      </c>
      <c r="C1544" s="1" t="n">
        <v>45657</v>
      </c>
      <c r="D1544" t="inlineStr">
        <is>
          <t>STOCKHOLMS LÄN</t>
        </is>
      </c>
      <c r="E1544" t="inlineStr">
        <is>
          <t>NORRTÄLJE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9300-2024</t>
        </is>
      </c>
      <c r="B1545" s="1" t="n">
        <v>45358</v>
      </c>
      <c r="C1545" s="1" t="n">
        <v>45657</v>
      </c>
      <c r="D1545" t="inlineStr">
        <is>
          <t>STOCKHOLMS LÄN</t>
        </is>
      </c>
      <c r="E1545" t="inlineStr">
        <is>
          <t>NORRTÄLJE</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9297-2024</t>
        </is>
      </c>
      <c r="B1546" s="1" t="n">
        <v>45358</v>
      </c>
      <c r="C1546" s="1" t="n">
        <v>45657</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9301-2024</t>
        </is>
      </c>
      <c r="B1547" s="1" t="n">
        <v>45358</v>
      </c>
      <c r="C1547" s="1" t="n">
        <v>45657</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9305-2024</t>
        </is>
      </c>
      <c r="B1548" s="1" t="n">
        <v>45358</v>
      </c>
      <c r="C1548" s="1" t="n">
        <v>45657</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9765-2024</t>
        </is>
      </c>
      <c r="B1549" s="1" t="n">
        <v>45362</v>
      </c>
      <c r="C1549" s="1" t="n">
        <v>45657</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9959-2024</t>
        </is>
      </c>
      <c r="B1550" s="1" t="n">
        <v>45363</v>
      </c>
      <c r="C1550" s="1" t="n">
        <v>45657</v>
      </c>
      <c r="D1550" t="inlineStr">
        <is>
          <t>STOCKHOLMS LÄN</t>
        </is>
      </c>
      <c r="E1550" t="inlineStr">
        <is>
          <t>NORRTÄLJE</t>
        </is>
      </c>
      <c r="F1550" t="inlineStr">
        <is>
          <t>Naturvårdsverket</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10258-2024</t>
        </is>
      </c>
      <c r="B1551" s="1" t="n">
        <v>45365</v>
      </c>
      <c r="C1551" s="1" t="n">
        <v>45657</v>
      </c>
      <c r="D1551" t="inlineStr">
        <is>
          <t>STOCKHOLMS LÄN</t>
        </is>
      </c>
      <c r="E1551" t="inlineStr">
        <is>
          <t>NORRTÄLJE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10279-2024</t>
        </is>
      </c>
      <c r="B1552" s="1" t="n">
        <v>45365</v>
      </c>
      <c r="C1552" s="1" t="n">
        <v>45657</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10643-2024</t>
        </is>
      </c>
      <c r="B1553" s="1" t="n">
        <v>45367</v>
      </c>
      <c r="C1553" s="1" t="n">
        <v>45657</v>
      </c>
      <c r="D1553" t="inlineStr">
        <is>
          <t>STOCKHOLMS LÄN</t>
        </is>
      </c>
      <c r="E1553" t="inlineStr">
        <is>
          <t>NORRTÄLJE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10840-2024</t>
        </is>
      </c>
      <c r="B1554" s="1" t="n">
        <v>45369</v>
      </c>
      <c r="C1554" s="1" t="n">
        <v>45657</v>
      </c>
      <c r="D1554" t="inlineStr">
        <is>
          <t>STOCKHOLMS LÄN</t>
        </is>
      </c>
      <c r="E1554" t="inlineStr">
        <is>
          <t>NORRTÄLJE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10810-2024</t>
        </is>
      </c>
      <c r="B1555" s="1" t="n">
        <v>45369</v>
      </c>
      <c r="C1555" s="1" t="n">
        <v>45657</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10930-2024</t>
        </is>
      </c>
      <c r="B1556" s="1" t="n">
        <v>45370</v>
      </c>
      <c r="C1556" s="1" t="n">
        <v>45657</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c r="U1556">
        <f>HYPERLINK("https://klasma.github.io/Logging_0188/knärot/A 10930-2024 karta knärot.png", "A 10930-2024")</f>
        <v/>
      </c>
      <c r="V1556">
        <f>HYPERLINK("https://klasma.github.io/Logging_0188/klagomål/A 10930-2024 FSC-klagomål.docx", "A 10930-2024")</f>
        <v/>
      </c>
      <c r="W1556">
        <f>HYPERLINK("https://klasma.github.io/Logging_0188/klagomålsmail/A 10930-2024 FSC-klagomål mail.docx", "A 10930-2024")</f>
        <v/>
      </c>
      <c r="X1556">
        <f>HYPERLINK("https://klasma.github.io/Logging_0188/tillsyn/A 10930-2024 tillsynsbegäran.docx", "A 10930-2024")</f>
        <v/>
      </c>
      <c r="Y1556">
        <f>HYPERLINK("https://klasma.github.io/Logging_0188/tillsynsmail/A 10930-2024 tillsynsbegäran mail.docx", "A 10930-2024")</f>
        <v/>
      </c>
    </row>
    <row r="1557" ht="15" customHeight="1">
      <c r="A1557" t="inlineStr">
        <is>
          <t>A 11062-2024</t>
        </is>
      </c>
      <c r="B1557" s="1" t="n">
        <v>45370</v>
      </c>
      <c r="C1557" s="1" t="n">
        <v>45657</v>
      </c>
      <c r="D1557" t="inlineStr">
        <is>
          <t>STOCKHOLMS LÄN</t>
        </is>
      </c>
      <c r="E1557" t="inlineStr">
        <is>
          <t>NORRTÄLJE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10968-2024</t>
        </is>
      </c>
      <c r="B1558" s="1" t="n">
        <v>45370</v>
      </c>
      <c r="C1558" s="1" t="n">
        <v>45657</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11902-2024</t>
        </is>
      </c>
      <c r="B1559" s="1" t="n">
        <v>45376</v>
      </c>
      <c r="C1559" s="1" t="n">
        <v>45657</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11926-2024</t>
        </is>
      </c>
      <c r="B1560" s="1" t="n">
        <v>45376</v>
      </c>
      <c r="C1560" s="1" t="n">
        <v>45657</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11896-2024</t>
        </is>
      </c>
      <c r="B1561" s="1" t="n">
        <v>45376</v>
      </c>
      <c r="C1561" s="1" t="n">
        <v>45657</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11900-2024</t>
        </is>
      </c>
      <c r="B1562" s="1" t="n">
        <v>45376</v>
      </c>
      <c r="C1562" s="1" t="n">
        <v>45657</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11924-2024</t>
        </is>
      </c>
      <c r="B1563" s="1" t="n">
        <v>45376</v>
      </c>
      <c r="C1563" s="1" t="n">
        <v>45657</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11893-2024</t>
        </is>
      </c>
      <c r="B1564" s="1" t="n">
        <v>45376</v>
      </c>
      <c r="C1564" s="1" t="n">
        <v>45657</v>
      </c>
      <c r="D1564" t="inlineStr">
        <is>
          <t>STOCKHOLMS LÄN</t>
        </is>
      </c>
      <c r="E1564" t="inlineStr">
        <is>
          <t>NORRTÄLJE</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11901-2024</t>
        </is>
      </c>
      <c r="B1565" s="1" t="n">
        <v>45376</v>
      </c>
      <c r="C1565" s="1" t="n">
        <v>45657</v>
      </c>
      <c r="D1565" t="inlineStr">
        <is>
          <t>STOCKHOLMS LÄN</t>
        </is>
      </c>
      <c r="E1565" t="inlineStr">
        <is>
          <t>NORRTÄLJE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11929-2024</t>
        </is>
      </c>
      <c r="B1566" s="1" t="n">
        <v>45376</v>
      </c>
      <c r="C1566" s="1" t="n">
        <v>45657</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11996-2024</t>
        </is>
      </c>
      <c r="B1567" s="1" t="n">
        <v>45376</v>
      </c>
      <c r="C1567" s="1" t="n">
        <v>45657</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11997-2024</t>
        </is>
      </c>
      <c r="B1568" s="1" t="n">
        <v>45377</v>
      </c>
      <c r="C1568" s="1" t="n">
        <v>45657</v>
      </c>
      <c r="D1568" t="inlineStr">
        <is>
          <t>STOCKHOLMS LÄN</t>
        </is>
      </c>
      <c r="E1568" t="inlineStr">
        <is>
          <t>NORRTÄLJE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12135-2024</t>
        </is>
      </c>
      <c r="B1569" s="1" t="n">
        <v>45377</v>
      </c>
      <c r="C1569" s="1" t="n">
        <v>45657</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12022-2024</t>
        </is>
      </c>
      <c r="B1570" s="1" t="n">
        <v>45377</v>
      </c>
      <c r="C1570" s="1" t="n">
        <v>45657</v>
      </c>
      <c r="D1570" t="inlineStr">
        <is>
          <t>STOCKHOLMS LÄN</t>
        </is>
      </c>
      <c r="E1570" t="inlineStr">
        <is>
          <t>NORRTÄLJE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12323-2024</t>
        </is>
      </c>
      <c r="B1571" s="1" t="n">
        <v>45378</v>
      </c>
      <c r="C1571" s="1" t="n">
        <v>45657</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12470-2024</t>
        </is>
      </c>
      <c r="B1572" s="1" t="n">
        <v>45379</v>
      </c>
      <c r="C1572" s="1" t="n">
        <v>45657</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12560-2024</t>
        </is>
      </c>
      <c r="B1573" s="1" t="n">
        <v>45379</v>
      </c>
      <c r="C1573" s="1" t="n">
        <v>45657</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12629-2024</t>
        </is>
      </c>
      <c r="B1574" s="1" t="n">
        <v>45383</v>
      </c>
      <c r="C1574" s="1" t="n">
        <v>45657</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12896-2024</t>
        </is>
      </c>
      <c r="B1575" s="1" t="n">
        <v>45385</v>
      </c>
      <c r="C1575" s="1" t="n">
        <v>45657</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12904-2024</t>
        </is>
      </c>
      <c r="B1576" s="1" t="n">
        <v>45385</v>
      </c>
      <c r="C1576" s="1" t="n">
        <v>45657</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12901-2024</t>
        </is>
      </c>
      <c r="B1577" s="1" t="n">
        <v>45385</v>
      </c>
      <c r="C1577" s="1" t="n">
        <v>45657</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12890-2024</t>
        </is>
      </c>
      <c r="B1578" s="1" t="n">
        <v>45385</v>
      </c>
      <c r="C1578" s="1" t="n">
        <v>45657</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12902-2024</t>
        </is>
      </c>
      <c r="B1579" s="1" t="n">
        <v>45385</v>
      </c>
      <c r="C1579" s="1" t="n">
        <v>45657</v>
      </c>
      <c r="D1579" t="inlineStr">
        <is>
          <t>STOCKHOLMS LÄN</t>
        </is>
      </c>
      <c r="E1579" t="inlineStr">
        <is>
          <t>NORRTÄLJE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13115-2024</t>
        </is>
      </c>
      <c r="B1580" s="1" t="n">
        <v>45385</v>
      </c>
      <c r="C1580" s="1" t="n">
        <v>45657</v>
      </c>
      <c r="D1580" t="inlineStr">
        <is>
          <t>STOCKHOLMS LÄN</t>
        </is>
      </c>
      <c r="E1580" t="inlineStr">
        <is>
          <t>NORRTÄLJE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13137-2024</t>
        </is>
      </c>
      <c r="B1581" s="1" t="n">
        <v>45386</v>
      </c>
      <c r="C1581" s="1" t="n">
        <v>45657</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13241-2024</t>
        </is>
      </c>
      <c r="B1582" s="1" t="n">
        <v>45386</v>
      </c>
      <c r="C1582" s="1" t="n">
        <v>45657</v>
      </c>
      <c r="D1582" t="inlineStr">
        <is>
          <t>STOCKHOLMS LÄN</t>
        </is>
      </c>
      <c r="E1582" t="inlineStr">
        <is>
          <t>NORRTÄLJE</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13391-2024</t>
        </is>
      </c>
      <c r="B1583" s="1" t="n">
        <v>45387</v>
      </c>
      <c r="C1583" s="1" t="n">
        <v>45657</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13785-2024</t>
        </is>
      </c>
      <c r="B1584" s="1" t="n">
        <v>45391</v>
      </c>
      <c r="C1584" s="1" t="n">
        <v>45657</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14530-2024</t>
        </is>
      </c>
      <c r="B1585" s="1" t="n">
        <v>45394</v>
      </c>
      <c r="C1585" s="1" t="n">
        <v>45657</v>
      </c>
      <c r="D1585" t="inlineStr">
        <is>
          <t>STOCKHOLMS LÄN</t>
        </is>
      </c>
      <c r="E1585" t="inlineStr">
        <is>
          <t>NORRTÄLJE</t>
        </is>
      </c>
      <c r="F1585" t="inlineStr">
        <is>
          <t>Kyrkan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14498-2024</t>
        </is>
      </c>
      <c r="B1586" s="1" t="n">
        <v>45394</v>
      </c>
      <c r="C1586" s="1" t="n">
        <v>45657</v>
      </c>
      <c r="D1586" t="inlineStr">
        <is>
          <t>STOCKHOLMS LÄN</t>
        </is>
      </c>
      <c r="E1586" t="inlineStr">
        <is>
          <t>NORRTÄLJE</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v>
      </c>
      <c r="C1587" s="1" t="n">
        <v>45657</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14751-2024</t>
        </is>
      </c>
      <c r="B1588" s="1" t="n">
        <v>45397</v>
      </c>
      <c r="C1588" s="1" t="n">
        <v>45657</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14762-2024</t>
        </is>
      </c>
      <c r="B1589" s="1" t="n">
        <v>45397</v>
      </c>
      <c r="C1589" s="1" t="n">
        <v>45657</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15347-2024</t>
        </is>
      </c>
      <c r="B1590" s="1" t="n">
        <v>45400</v>
      </c>
      <c r="C1590" s="1" t="n">
        <v>45657</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15317-2024</t>
        </is>
      </c>
      <c r="B1591" s="1" t="n">
        <v>45400</v>
      </c>
      <c r="C1591" s="1" t="n">
        <v>45657</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15429-2024</t>
        </is>
      </c>
      <c r="B1592" s="1" t="n">
        <v>45401</v>
      </c>
      <c r="C1592" s="1" t="n">
        <v>45657</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15422-2024</t>
        </is>
      </c>
      <c r="B1593" s="1" t="n">
        <v>45401</v>
      </c>
      <c r="C1593" s="1" t="n">
        <v>45657</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15470-2024</t>
        </is>
      </c>
      <c r="B1594" s="1" t="n">
        <v>45401</v>
      </c>
      <c r="C1594" s="1" t="n">
        <v>45657</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15428-2024</t>
        </is>
      </c>
      <c r="B1595" s="1" t="n">
        <v>45401</v>
      </c>
      <c r="C1595" s="1" t="n">
        <v>45657</v>
      </c>
      <c r="D1595" t="inlineStr">
        <is>
          <t>STOCKHOLMS LÄN</t>
        </is>
      </c>
      <c r="E1595" t="inlineStr">
        <is>
          <t>NORRTÄLJE</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15415-2024</t>
        </is>
      </c>
      <c r="B1596" s="1" t="n">
        <v>45401</v>
      </c>
      <c r="C1596" s="1" t="n">
        <v>45657</v>
      </c>
      <c r="D1596" t="inlineStr">
        <is>
          <t>STOCKHOLMS LÄN</t>
        </is>
      </c>
      <c r="E1596" t="inlineStr">
        <is>
          <t>NORRTÄLJE</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15956-2024</t>
        </is>
      </c>
      <c r="B1597" s="1" t="n">
        <v>45405</v>
      </c>
      <c r="C1597" s="1" t="n">
        <v>45657</v>
      </c>
      <c r="D1597" t="inlineStr">
        <is>
          <t>STOCKHOLMS LÄN</t>
        </is>
      </c>
      <c r="E1597" t="inlineStr">
        <is>
          <t>NORRTÄLJE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15978-2024</t>
        </is>
      </c>
      <c r="B1598" s="1" t="n">
        <v>45405</v>
      </c>
      <c r="C1598" s="1" t="n">
        <v>45657</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16072-2024</t>
        </is>
      </c>
      <c r="B1599" s="1" t="n">
        <v>45406</v>
      </c>
      <c r="C1599" s="1" t="n">
        <v>45657</v>
      </c>
      <c r="D1599" t="inlineStr">
        <is>
          <t>STOCKHOLMS LÄN</t>
        </is>
      </c>
      <c r="E1599" t="inlineStr">
        <is>
          <t>NORRTÄLJE</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16071-2024</t>
        </is>
      </c>
      <c r="B1600" s="1" t="n">
        <v>45406</v>
      </c>
      <c r="C1600" s="1" t="n">
        <v>45657</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16075-2024</t>
        </is>
      </c>
      <c r="B1601" s="1" t="n">
        <v>45406</v>
      </c>
      <c r="C1601" s="1" t="n">
        <v>45657</v>
      </c>
      <c r="D1601" t="inlineStr">
        <is>
          <t>STOCKHOLMS LÄN</t>
        </is>
      </c>
      <c r="E1601" t="inlineStr">
        <is>
          <t>NORRTÄLJE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16620-2024</t>
        </is>
      </c>
      <c r="B1602" s="1" t="n">
        <v>45408</v>
      </c>
      <c r="C1602" s="1" t="n">
        <v>45657</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16852-2024</t>
        </is>
      </c>
      <c r="B1603" s="1" t="n">
        <v>45411</v>
      </c>
      <c r="C1603" s="1" t="n">
        <v>45657</v>
      </c>
      <c r="D1603" t="inlineStr">
        <is>
          <t>STOCKHOLMS LÄN</t>
        </is>
      </c>
      <c r="E1603" t="inlineStr">
        <is>
          <t>NORRTÄLJE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17013-2024</t>
        </is>
      </c>
      <c r="B1604" s="1" t="n">
        <v>45412</v>
      </c>
      <c r="C1604" s="1" t="n">
        <v>45657</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17039-2024</t>
        </is>
      </c>
      <c r="B1605" s="1" t="n">
        <v>45412</v>
      </c>
      <c r="C1605" s="1" t="n">
        <v>45657</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17348-2024</t>
        </is>
      </c>
      <c r="B1606" s="1" t="n">
        <v>45414</v>
      </c>
      <c r="C1606" s="1" t="n">
        <v>45657</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17304-2024</t>
        </is>
      </c>
      <c r="B1607" s="1" t="n">
        <v>45414</v>
      </c>
      <c r="C1607" s="1" t="n">
        <v>45657</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17354-2024</t>
        </is>
      </c>
      <c r="B1608" s="1" t="n">
        <v>45414</v>
      </c>
      <c r="C1608" s="1" t="n">
        <v>45657</v>
      </c>
      <c r="D1608" t="inlineStr">
        <is>
          <t>STOCKHOLMS LÄN</t>
        </is>
      </c>
      <c r="E1608" t="inlineStr">
        <is>
          <t>NORRTÄLJE</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17385-2024</t>
        </is>
      </c>
      <c r="B1609" s="1" t="n">
        <v>45414</v>
      </c>
      <c r="C1609" s="1" t="n">
        <v>45657</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17382-2024</t>
        </is>
      </c>
      <c r="B1610" s="1" t="n">
        <v>45414</v>
      </c>
      <c r="C1610" s="1" t="n">
        <v>45657</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17397-2024</t>
        </is>
      </c>
      <c r="B1611" s="1" t="n">
        <v>45414</v>
      </c>
      <c r="C1611" s="1" t="n">
        <v>45657</v>
      </c>
      <c r="D1611" t="inlineStr">
        <is>
          <t>STOCKHOLMS LÄN</t>
        </is>
      </c>
      <c r="E1611" t="inlineStr">
        <is>
          <t>NORRTÄLJE</t>
        </is>
      </c>
      <c r="F1611" t="inlineStr">
        <is>
          <t>Holmen skog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17554-2024</t>
        </is>
      </c>
      <c r="B1612" s="1" t="n">
        <v>45415</v>
      </c>
      <c r="C1612" s="1" t="n">
        <v>45657</v>
      </c>
      <c r="D1612" t="inlineStr">
        <is>
          <t>STOCKHOLMS LÄN</t>
        </is>
      </c>
      <c r="E1612" t="inlineStr">
        <is>
          <t>NORRTÄLJE</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17775-2024</t>
        </is>
      </c>
      <c r="B1613" s="1" t="n">
        <v>45418</v>
      </c>
      <c r="C1613" s="1" t="n">
        <v>45657</v>
      </c>
      <c r="D1613" t="inlineStr">
        <is>
          <t>STOCKHOLMS LÄN</t>
        </is>
      </c>
      <c r="E1613" t="inlineStr">
        <is>
          <t>NORRTÄLJE</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17785-2024</t>
        </is>
      </c>
      <c r="B1614" s="1" t="n">
        <v>45418</v>
      </c>
      <c r="C1614" s="1" t="n">
        <v>45657</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17843-2024</t>
        </is>
      </c>
      <c r="B1615" s="1" t="n">
        <v>45418</v>
      </c>
      <c r="C1615" s="1" t="n">
        <v>45657</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18331-2024</t>
        </is>
      </c>
      <c r="B1616" s="1" t="n">
        <v>45422</v>
      </c>
      <c r="C1616" s="1" t="n">
        <v>45657</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18285-2024</t>
        </is>
      </c>
      <c r="B1617" s="1" t="n">
        <v>45422</v>
      </c>
      <c r="C1617" s="1" t="n">
        <v>45657</v>
      </c>
      <c r="D1617" t="inlineStr">
        <is>
          <t>STOCKHOLMS LÄN</t>
        </is>
      </c>
      <c r="E1617" t="inlineStr">
        <is>
          <t>NORRTÄLJE</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18287-2024</t>
        </is>
      </c>
      <c r="B1618" s="1" t="n">
        <v>45422</v>
      </c>
      <c r="C1618" s="1" t="n">
        <v>45657</v>
      </c>
      <c r="D1618" t="inlineStr">
        <is>
          <t>STOCKHOLMS LÄN</t>
        </is>
      </c>
      <c r="E1618" t="inlineStr">
        <is>
          <t>NORRTÄLJE</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19058-2024</t>
        </is>
      </c>
      <c r="B1619" s="1" t="n">
        <v>45427</v>
      </c>
      <c r="C1619" s="1" t="n">
        <v>45657</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19057-2024</t>
        </is>
      </c>
      <c r="B1620" s="1" t="n">
        <v>45427</v>
      </c>
      <c r="C1620" s="1" t="n">
        <v>45657</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19150-2024</t>
        </is>
      </c>
      <c r="B1621" s="1" t="n">
        <v>45428</v>
      </c>
      <c r="C1621" s="1" t="n">
        <v>45657</v>
      </c>
      <c r="D1621" t="inlineStr">
        <is>
          <t>STOCKHOLMS LÄN</t>
        </is>
      </c>
      <c r="E1621" t="inlineStr">
        <is>
          <t>NORRTÄLJE</t>
        </is>
      </c>
      <c r="F1621" t="inlineStr">
        <is>
          <t>Holmen skog AB</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19915-2024</t>
        </is>
      </c>
      <c r="B1622" s="1" t="n">
        <v>45433</v>
      </c>
      <c r="C1622" s="1" t="n">
        <v>45657</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19919-2024</t>
        </is>
      </c>
      <c r="B1623" s="1" t="n">
        <v>45433</v>
      </c>
      <c r="C1623" s="1" t="n">
        <v>45657</v>
      </c>
      <c r="D1623" t="inlineStr">
        <is>
          <t>STOCKHOLMS LÄN</t>
        </is>
      </c>
      <c r="E1623" t="inlineStr">
        <is>
          <t>NORRTÄLJE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20336-2024</t>
        </is>
      </c>
      <c r="B1624" s="1" t="n">
        <v>45435</v>
      </c>
      <c r="C1624" s="1" t="n">
        <v>45657</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20345-2024</t>
        </is>
      </c>
      <c r="B1625" s="1" t="n">
        <v>45435</v>
      </c>
      <c r="C1625" s="1" t="n">
        <v>45657</v>
      </c>
      <c r="D1625" t="inlineStr">
        <is>
          <t>STOCKHOLMS LÄN</t>
        </is>
      </c>
      <c r="E1625" t="inlineStr">
        <is>
          <t>NORRTÄLJE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20343-2024</t>
        </is>
      </c>
      <c r="B1626" s="1" t="n">
        <v>45435</v>
      </c>
      <c r="C1626" s="1" t="n">
        <v>45657</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20393-2024</t>
        </is>
      </c>
      <c r="B1627" s="1" t="n">
        <v>45435</v>
      </c>
      <c r="C1627" s="1" t="n">
        <v>45657</v>
      </c>
      <c r="D1627" t="inlineStr">
        <is>
          <t>STOCKHOLMS LÄN</t>
        </is>
      </c>
      <c r="E1627" t="inlineStr">
        <is>
          <t>NORRTÄLJE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20445-2024</t>
        </is>
      </c>
      <c r="B1628" s="1" t="n">
        <v>45435</v>
      </c>
      <c r="C1628" s="1" t="n">
        <v>45657</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20428-2024</t>
        </is>
      </c>
      <c r="B1629" s="1" t="n">
        <v>45435</v>
      </c>
      <c r="C1629" s="1" t="n">
        <v>45657</v>
      </c>
      <c r="D1629" t="inlineStr">
        <is>
          <t>STOCKHOLMS LÄN</t>
        </is>
      </c>
      <c r="E1629" t="inlineStr">
        <is>
          <t>NORRTÄLJE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20460-2024</t>
        </is>
      </c>
      <c r="B1630" s="1" t="n">
        <v>45435</v>
      </c>
      <c r="C1630" s="1" t="n">
        <v>45657</v>
      </c>
      <c r="D1630" t="inlineStr">
        <is>
          <t>STOCKHOLMS LÄN</t>
        </is>
      </c>
      <c r="E1630" t="inlineStr">
        <is>
          <t>NORRTÄLJE</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20464-2024</t>
        </is>
      </c>
      <c r="B1631" s="1" t="n">
        <v>45435</v>
      </c>
      <c r="C1631" s="1" t="n">
        <v>45657</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20431-2024</t>
        </is>
      </c>
      <c r="B1632" s="1" t="n">
        <v>45435</v>
      </c>
      <c r="C1632" s="1" t="n">
        <v>45657</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20680-2024</t>
        </is>
      </c>
      <c r="B1633" s="1" t="n">
        <v>45436</v>
      </c>
      <c r="C1633" s="1" t="n">
        <v>45657</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20698-2024</t>
        </is>
      </c>
      <c r="B1634" s="1" t="n">
        <v>45436</v>
      </c>
      <c r="C1634" s="1" t="n">
        <v>45657</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20730-2024</t>
        </is>
      </c>
      <c r="B1635" s="1" t="n">
        <v>45436</v>
      </c>
      <c r="C1635" s="1" t="n">
        <v>45657</v>
      </c>
      <c r="D1635" t="inlineStr">
        <is>
          <t>STOCKHOLMS LÄN</t>
        </is>
      </c>
      <c r="E1635" t="inlineStr">
        <is>
          <t>NORRTÄLJE</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20825-2024</t>
        </is>
      </c>
      <c r="B1636" s="1" t="n">
        <v>45439</v>
      </c>
      <c r="C1636" s="1" t="n">
        <v>45657</v>
      </c>
      <c r="D1636" t="inlineStr">
        <is>
          <t>STOCKHOLMS LÄN</t>
        </is>
      </c>
      <c r="E1636" t="inlineStr">
        <is>
          <t>NORRTÄLJE</t>
        </is>
      </c>
      <c r="F1636" t="inlineStr">
        <is>
          <t>Holmen skog AB</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20836-2024</t>
        </is>
      </c>
      <c r="B1637" s="1" t="n">
        <v>45439</v>
      </c>
      <c r="C1637" s="1" t="n">
        <v>45657</v>
      </c>
      <c r="D1637" t="inlineStr">
        <is>
          <t>STOCKHOLMS LÄN</t>
        </is>
      </c>
      <c r="E1637" t="inlineStr">
        <is>
          <t>NORRTÄLJE</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21066-2024</t>
        </is>
      </c>
      <c r="B1638" s="1" t="n">
        <v>45439</v>
      </c>
      <c r="C1638" s="1" t="n">
        <v>45657</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21729-2024</t>
        </is>
      </c>
      <c r="B1639" s="1" t="n">
        <v>45442</v>
      </c>
      <c r="C1639" s="1" t="n">
        <v>45657</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21696-2024</t>
        </is>
      </c>
      <c r="B1640" s="1" t="n">
        <v>45442</v>
      </c>
      <c r="C1640" s="1" t="n">
        <v>45657</v>
      </c>
      <c r="D1640" t="inlineStr">
        <is>
          <t>STOCKHOLMS LÄN</t>
        </is>
      </c>
      <c r="E1640" t="inlineStr">
        <is>
          <t>NORRTÄLJE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22008-2024</t>
        </is>
      </c>
      <c r="B1641" s="1" t="n">
        <v>45443</v>
      </c>
      <c r="C1641" s="1" t="n">
        <v>45657</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22232-2024</t>
        </is>
      </c>
      <c r="B1642" s="1" t="n">
        <v>45446</v>
      </c>
      <c r="C1642" s="1" t="n">
        <v>45657</v>
      </c>
      <c r="D1642" t="inlineStr">
        <is>
          <t>STOCKHOLMS LÄN</t>
        </is>
      </c>
      <c r="E1642" t="inlineStr">
        <is>
          <t>NORRTÄLJE</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22190-2024</t>
        </is>
      </c>
      <c r="B1643" s="1" t="n">
        <v>45446</v>
      </c>
      <c r="C1643" s="1" t="n">
        <v>45657</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22231-2024</t>
        </is>
      </c>
      <c r="B1644" s="1" t="n">
        <v>45446</v>
      </c>
      <c r="C1644" s="1" t="n">
        <v>45657</v>
      </c>
      <c r="D1644" t="inlineStr">
        <is>
          <t>STOCKHOLMS LÄN</t>
        </is>
      </c>
      <c r="E1644" t="inlineStr">
        <is>
          <t>NORRTÄLJE</t>
        </is>
      </c>
      <c r="F1644" t="inlineStr">
        <is>
          <t>Holmen skog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22833-2024</t>
        </is>
      </c>
      <c r="B1645" s="1" t="n">
        <v>45448</v>
      </c>
      <c r="C1645" s="1" t="n">
        <v>45657</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23018-2024</t>
        </is>
      </c>
      <c r="B1646" s="1" t="n">
        <v>45450</v>
      </c>
      <c r="C1646" s="1" t="n">
        <v>45657</v>
      </c>
      <c r="D1646" t="inlineStr">
        <is>
          <t>STOCKHOLMS LÄN</t>
        </is>
      </c>
      <c r="E1646" t="inlineStr">
        <is>
          <t>NORRTÄLJE</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23149-2024</t>
        </is>
      </c>
      <c r="B1647" s="1" t="n">
        <v>45450</v>
      </c>
      <c r="C1647" s="1" t="n">
        <v>45657</v>
      </c>
      <c r="D1647" t="inlineStr">
        <is>
          <t>STOCKHOLMS LÄN</t>
        </is>
      </c>
      <c r="E1647" t="inlineStr">
        <is>
          <t>NORRTÄLJE</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23150-2024</t>
        </is>
      </c>
      <c r="B1648" s="1" t="n">
        <v>45450</v>
      </c>
      <c r="C1648" s="1" t="n">
        <v>45657</v>
      </c>
      <c r="D1648" t="inlineStr">
        <is>
          <t>STOCKHOLMS LÄN</t>
        </is>
      </c>
      <c r="E1648" t="inlineStr">
        <is>
          <t>NORRTÄLJE</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23151-2024</t>
        </is>
      </c>
      <c r="B1649" s="1" t="n">
        <v>45450</v>
      </c>
      <c r="C1649" s="1" t="n">
        <v>45657</v>
      </c>
      <c r="D1649" t="inlineStr">
        <is>
          <t>STOCKHOLMS LÄN</t>
        </is>
      </c>
      <c r="E1649" t="inlineStr">
        <is>
          <t>NORRTÄLJE</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23307-2024</t>
        </is>
      </c>
      <c r="B1650" s="1" t="n">
        <v>45453</v>
      </c>
      <c r="C1650" s="1" t="n">
        <v>45657</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45657</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45657</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45657</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45657</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45657</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45657</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45657</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45657</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45657</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45657</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45657</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45657</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45657</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45657</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45657</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45657</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45657</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45657</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45657</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45657</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45657</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45657</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45657</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45657</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45657</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45657</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45657</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45657</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45657</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45657</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45657</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45657</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45657</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45657</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45657</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45657</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45657</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45657</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45657</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45657</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45657</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45657</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45657</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45657</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45657</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45657</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45657</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45657</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45657</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45657</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45657</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45657</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45657</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45657</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45657</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45657</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45657</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45657</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45657</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45657</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45657</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45657</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45657</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45657</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45657</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45657</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45657</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45657</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45657</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45657</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45657</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45657</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45657</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45657</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45657</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45657</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45657</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45657</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45657</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45657</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45657</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45657</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45657</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45657</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45657</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45657</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45657</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45657</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45657</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45657</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45657</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45657</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45657</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45657</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45657</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45657</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45657</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45657</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45657</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45657</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45657</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45657</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45657</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45657</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45657</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45657</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45657</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45657</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45657</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45657</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45657</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45657</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45657</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45657</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45657</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45657</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45657</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45657</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45657</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45657</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45657</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45657</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45657</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45657</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45657</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45657</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45657</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45657</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45657</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45657</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45657</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45657</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45657</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45657</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45657</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45657</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45657</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45657</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45657</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45657</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45657</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45657</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45657</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45657</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45657</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45657</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45657</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45657</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45657</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45657</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45657</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45657</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45657</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45657</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45657</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45657</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45657</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45657</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45657</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45657</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45657</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45657</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45657</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45657</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45657</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45657</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45657</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45657</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45657</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45657</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45657</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45657</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45657</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45657</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45657</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45657</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45657</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45657</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55012-2024</t>
        </is>
      </c>
      <c r="B1829" s="1" t="n">
        <v>45621</v>
      </c>
      <c r="C1829" s="1" t="n">
        <v>45657</v>
      </c>
      <c r="D1829" t="inlineStr">
        <is>
          <t>STOCKHOLMS LÄN</t>
        </is>
      </c>
      <c r="E1829" t="inlineStr">
        <is>
          <t>NORRTÄLJE</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45657</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45657</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45657</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45657</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45657</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58041-2024</t>
        </is>
      </c>
      <c r="B1835" s="1" t="n">
        <v>45631</v>
      </c>
      <c r="C1835" s="1" t="n">
        <v>45657</v>
      </c>
      <c r="D1835" t="inlineStr">
        <is>
          <t>STOCKHOLMS LÄN</t>
        </is>
      </c>
      <c r="E1835" t="inlineStr">
        <is>
          <t>NORRTÄLJE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58040-2024</t>
        </is>
      </c>
      <c r="B1836" s="1" t="n">
        <v>45631</v>
      </c>
      <c r="C1836" s="1" t="n">
        <v>45657</v>
      </c>
      <c r="D1836" t="inlineStr">
        <is>
          <t>STOCKHOLMS LÄN</t>
        </is>
      </c>
      <c r="E1836" t="inlineStr">
        <is>
          <t>NORRTÄLJE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45657</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45657</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58853-2024</t>
        </is>
      </c>
      <c r="B1839" s="1" t="n">
        <v>45636</v>
      </c>
      <c r="C1839" s="1" t="n">
        <v>45657</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58863-2024</t>
        </is>
      </c>
      <c r="B1840" s="1" t="n">
        <v>45636</v>
      </c>
      <c r="C1840" s="1" t="n">
        <v>45657</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45657</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45657</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45657</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59535-2024</t>
        </is>
      </c>
      <c r="B1844" s="1" t="n">
        <v>45638</v>
      </c>
      <c r="C1844" s="1" t="n">
        <v>45657</v>
      </c>
      <c r="D1844" t="inlineStr">
        <is>
          <t>STOCKHOLMS LÄN</t>
        </is>
      </c>
      <c r="E1844" t="inlineStr">
        <is>
          <t>NORRTÄLJE</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59712-2024</t>
        </is>
      </c>
      <c r="B1845" s="1" t="n">
        <v>45639</v>
      </c>
      <c r="C1845" s="1" t="n">
        <v>45657</v>
      </c>
      <c r="D1845" t="inlineStr">
        <is>
          <t>STOCKHOLMS LÄN</t>
        </is>
      </c>
      <c r="E1845" t="inlineStr">
        <is>
          <t>NORRTÄLJE</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59721-2024</t>
        </is>
      </c>
      <c r="B1846" s="1" t="n">
        <v>45639</v>
      </c>
      <c r="C1846" s="1" t="n">
        <v>45657</v>
      </c>
      <c r="D1846" t="inlineStr">
        <is>
          <t>STOCKHOLMS LÄN</t>
        </is>
      </c>
      <c r="E1846" t="inlineStr">
        <is>
          <t>NORRTÄLJE</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59874-2024</t>
        </is>
      </c>
      <c r="B1847" s="1" t="n">
        <v>45640</v>
      </c>
      <c r="C1847" s="1" t="n">
        <v>45657</v>
      </c>
      <c r="D1847" t="inlineStr">
        <is>
          <t>STOCKHOLMS LÄN</t>
        </is>
      </c>
      <c r="E1847" t="inlineStr">
        <is>
          <t>NORRTÄLJE</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59878-2024</t>
        </is>
      </c>
      <c r="B1848" s="1" t="n">
        <v>45640</v>
      </c>
      <c r="C1848" s="1" t="n">
        <v>45657</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59875-2024</t>
        </is>
      </c>
      <c r="B1849" s="1" t="n">
        <v>45640</v>
      </c>
      <c r="C1849" s="1" t="n">
        <v>45657</v>
      </c>
      <c r="D1849" t="inlineStr">
        <is>
          <t>STOCKHOLMS LÄN</t>
        </is>
      </c>
      <c r="E1849" t="inlineStr">
        <is>
          <t>NORRTÄLJE</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59873-2024</t>
        </is>
      </c>
      <c r="B1850" s="1" t="n">
        <v>45640</v>
      </c>
      <c r="C1850" s="1" t="n">
        <v>45657</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59877-2024</t>
        </is>
      </c>
      <c r="B1851" s="1" t="n">
        <v>45640</v>
      </c>
      <c r="C1851" s="1" t="n">
        <v>45657</v>
      </c>
      <c r="D1851" t="inlineStr">
        <is>
          <t>STOCKHOLMS LÄN</t>
        </is>
      </c>
      <c r="E1851" t="inlineStr">
        <is>
          <t>NORRTÄLJE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45657</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60166-2024</t>
        </is>
      </c>
      <c r="B1853" s="1" t="n">
        <v>45642</v>
      </c>
      <c r="C1853" s="1" t="n">
        <v>45657</v>
      </c>
      <c r="D1853" t="inlineStr">
        <is>
          <t>STOCKHOLMS LÄN</t>
        </is>
      </c>
      <c r="E1853" t="inlineStr">
        <is>
          <t>NORRTÄLJE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60185-2024</t>
        </is>
      </c>
      <c r="B1854" s="1" t="n">
        <v>45642</v>
      </c>
      <c r="C1854" s="1" t="n">
        <v>45657</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60160-2024</t>
        </is>
      </c>
      <c r="B1855" s="1" t="n">
        <v>45642</v>
      </c>
      <c r="C1855" s="1" t="n">
        <v>45657</v>
      </c>
      <c r="D1855" t="inlineStr">
        <is>
          <t>STOCKHOLMS LÄN</t>
        </is>
      </c>
      <c r="E1855" t="inlineStr">
        <is>
          <t>NORRTÄLJE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45657</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60884-2024</t>
        </is>
      </c>
      <c r="B1857" s="1" t="n">
        <v>45644</v>
      </c>
      <c r="C1857" s="1" t="n">
        <v>45657</v>
      </c>
      <c r="D1857" t="inlineStr">
        <is>
          <t>STOCKHOLMS LÄN</t>
        </is>
      </c>
      <c r="E1857" t="inlineStr">
        <is>
          <t>NORRTÄLJE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60694-2024</t>
        </is>
      </c>
      <c r="B1858" s="1" t="n">
        <v>45644</v>
      </c>
      <c r="C1858" s="1" t="n">
        <v>45657</v>
      </c>
      <c r="D1858" t="inlineStr">
        <is>
          <t>STOCKHOLMS LÄN</t>
        </is>
      </c>
      <c r="E1858" t="inlineStr">
        <is>
          <t>NORRTÄLJE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61516-2024</t>
        </is>
      </c>
      <c r="B1859" s="1" t="n">
        <v>45646</v>
      </c>
      <c r="C1859" s="1" t="n">
        <v>45657</v>
      </c>
      <c r="D1859" t="inlineStr">
        <is>
          <t>STOCKHOLMS LÄN</t>
        </is>
      </c>
      <c r="E1859" t="inlineStr">
        <is>
          <t>NORRTÄLJE</t>
        </is>
      </c>
      <c r="G1859" t="n">
        <v>3.9</v>
      </c>
      <c r="H1859" t="n">
        <v>0</v>
      </c>
      <c r="I1859" t="n">
        <v>0</v>
      </c>
      <c r="J1859" t="n">
        <v>0</v>
      </c>
      <c r="K1859" t="n">
        <v>0</v>
      </c>
      <c r="L1859" t="n">
        <v>0</v>
      </c>
      <c r="M1859" t="n">
        <v>0</v>
      </c>
      <c r="N1859" t="n">
        <v>0</v>
      </c>
      <c r="O1859" t="n">
        <v>0</v>
      </c>
      <c r="P1859" t="n">
        <v>0</v>
      </c>
      <c r="Q1859" t="n">
        <v>0</v>
      </c>
      <c r="R1859" s="2" t="inlineStr"/>
    </row>
    <row r="1860">
      <c r="A1860" t="inlineStr">
        <is>
          <t>A 62129-2024</t>
        </is>
      </c>
      <c r="B1860" s="1" t="n">
        <v>45646</v>
      </c>
      <c r="C1860" s="1" t="n">
        <v>45657</v>
      </c>
      <c r="D1860" t="inlineStr">
        <is>
          <t>STOCKHOLMS LÄN</t>
        </is>
      </c>
      <c r="E1860" t="inlineStr">
        <is>
          <t>NORRTÄLJE</t>
        </is>
      </c>
      <c r="G1860" t="n">
        <v>5.9</v>
      </c>
      <c r="H1860" t="n">
        <v>0</v>
      </c>
      <c r="I1860" t="n">
        <v>0</v>
      </c>
      <c r="J1860" t="n">
        <v>0</v>
      </c>
      <c r="K1860" t="n">
        <v>0</v>
      </c>
      <c r="L1860" t="n">
        <v>0</v>
      </c>
      <c r="M1860" t="n">
        <v>0</v>
      </c>
      <c r="N1860" t="n">
        <v>0</v>
      </c>
      <c r="O1860" t="n">
        <v>0</v>
      </c>
      <c r="P1860" t="n">
        <v>0</v>
      </c>
      <c r="Q1860" t="n">
        <v>0</v>
      </c>
      <c r="R1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2024-12-31T15:52:58Z</dcterms:created>
  <dcterms:modified xmlns:dcterms="http://purl.org/dc/terms/" xmlns:xsi="http://www.w3.org/2001/XMLSchema-instance" xsi:type="dcterms:W3CDTF">2024-12-31T15:52:59Z</dcterms:modified>
</cp:coreProperties>
</file>