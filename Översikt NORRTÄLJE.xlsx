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45917</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45917</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45917</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45917</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45917</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45917</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45917</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24692-2025</t>
        </is>
      </c>
      <c r="B10" s="1" t="n">
        <v>45798</v>
      </c>
      <c r="C10" s="1" t="n">
        <v>45917</v>
      </c>
      <c r="D10" t="inlineStr">
        <is>
          <t>STOCKHOLMS LÄN</t>
        </is>
      </c>
      <c r="E10" t="inlineStr">
        <is>
          <t>NORRTÄLJE</t>
        </is>
      </c>
      <c r="G10" t="n">
        <v>26.3</v>
      </c>
      <c r="H10" t="n">
        <v>3</v>
      </c>
      <c r="I10" t="n">
        <v>10</v>
      </c>
      <c r="J10" t="n">
        <v>5</v>
      </c>
      <c r="K10" t="n">
        <v>0</v>
      </c>
      <c r="L10" t="n">
        <v>2</v>
      </c>
      <c r="M10" t="n">
        <v>0</v>
      </c>
      <c r="N10" t="n">
        <v>0</v>
      </c>
      <c r="O10" t="n">
        <v>7</v>
      </c>
      <c r="P10" t="n">
        <v>2</v>
      </c>
      <c r="Q10" t="n">
        <v>18</v>
      </c>
      <c r="R10" s="2" t="inlineStr">
        <is>
          <t>Ask
Asknätfjäril
Dofttaggsvamp
Granticka
Motaggsvamp
Skrovlig taggsvamp
Vedtrappmossa
Blodticka
Bronshjon
Fjällig taggsvamp s.str.
Granbarkgnagare
Nästrot
Svavelriska
Tibast
Trådticka
Vågbandad barkbock
Vårärt
Blåsippa</t>
        </is>
      </c>
      <c r="S10">
        <f>HYPERLINK("https://klasma.github.io/Logging_0188/artfynd/A 24692-2025 artfynd.xlsx", "A 24692-2025")</f>
        <v/>
      </c>
      <c r="T10">
        <f>HYPERLINK("https://klasma.github.io/Logging_0188/kartor/A 24692-2025 karta.png", "A 24692-2025")</f>
        <v/>
      </c>
      <c r="V10">
        <f>HYPERLINK("https://klasma.github.io/Logging_0188/klagomål/A 24692-2025 FSC-klagomål.docx", "A 24692-2025")</f>
        <v/>
      </c>
      <c r="W10">
        <f>HYPERLINK("https://klasma.github.io/Logging_0188/klagomålsmail/A 24692-2025 FSC-klagomål mail.docx", "A 24692-2025")</f>
        <v/>
      </c>
      <c r="X10">
        <f>HYPERLINK("https://klasma.github.io/Logging_0188/tillsyn/A 24692-2025 tillsynsbegäran.docx", "A 24692-2025")</f>
        <v/>
      </c>
      <c r="Y10">
        <f>HYPERLINK("https://klasma.github.io/Logging_0188/tillsynsmail/A 24692-2025 tillsynsbegäran mail.docx", "A 24692-2025")</f>
        <v/>
      </c>
    </row>
    <row r="11" ht="15" customHeight="1">
      <c r="A11" t="inlineStr">
        <is>
          <t>A 9472-2025</t>
        </is>
      </c>
      <c r="B11" s="1" t="n">
        <v>45715</v>
      </c>
      <c r="C11" s="1" t="n">
        <v>45917</v>
      </c>
      <c r="D11" t="inlineStr">
        <is>
          <t>STOCKHOLMS LÄN</t>
        </is>
      </c>
      <c r="E11" t="inlineStr">
        <is>
          <t>NORRTÄLJE</t>
        </is>
      </c>
      <c r="G11" t="n">
        <v>11.9</v>
      </c>
      <c r="H11" t="n">
        <v>5</v>
      </c>
      <c r="I11" t="n">
        <v>8</v>
      </c>
      <c r="J11" t="n">
        <v>2</v>
      </c>
      <c r="K11" t="n">
        <v>2</v>
      </c>
      <c r="L11" t="n">
        <v>0</v>
      </c>
      <c r="M11" t="n">
        <v>0</v>
      </c>
      <c r="N11" t="n">
        <v>0</v>
      </c>
      <c r="O11" t="n">
        <v>4</v>
      </c>
      <c r="P11" t="n">
        <v>2</v>
      </c>
      <c r="Q11" t="n">
        <v>15</v>
      </c>
      <c r="R11" s="2" t="inlineStr">
        <is>
          <t>Knärot
Ringlav
Slåtterfibbla
Spillkråka
Aprikosfingersvamp
Bronshjon
Fjällig taggsvamp s.str.
Granbarkgnagare
Grönpyrola
Honungsvaxing
Sårläka
Ängsfingersvamp
Kungsfågel
Blåsippa
Revlummer</t>
        </is>
      </c>
      <c r="S11">
        <f>HYPERLINK("https://klasma.github.io/Logging_0188/artfynd/A 9472-2025 artfynd.xlsx", "A 9472-2025")</f>
        <v/>
      </c>
      <c r="T11">
        <f>HYPERLINK("https://klasma.github.io/Logging_0188/kartor/A 9472-2025 karta.png", "A 9472-2025")</f>
        <v/>
      </c>
      <c r="U11">
        <f>HYPERLINK("https://klasma.github.io/Logging_0188/knärot/A 9472-2025 karta knärot.png", "A 9472-2025")</f>
        <v/>
      </c>
      <c r="V11">
        <f>HYPERLINK("https://klasma.github.io/Logging_0188/klagomål/A 9472-2025 FSC-klagomål.docx", "A 9472-2025")</f>
        <v/>
      </c>
      <c r="W11">
        <f>HYPERLINK("https://klasma.github.io/Logging_0188/klagomålsmail/A 9472-2025 FSC-klagomål mail.docx", "A 9472-2025")</f>
        <v/>
      </c>
      <c r="X11">
        <f>HYPERLINK("https://klasma.github.io/Logging_0188/tillsyn/A 9472-2025 tillsynsbegäran.docx", "A 9472-2025")</f>
        <v/>
      </c>
      <c r="Y11">
        <f>HYPERLINK("https://klasma.github.io/Logging_0188/tillsynsmail/A 9472-2025 tillsynsbegäran mail.docx", "A 9472-2025")</f>
        <v/>
      </c>
      <c r="Z11">
        <f>HYPERLINK("https://klasma.github.io/Logging_0188/fåglar/A 9472-2025 prioriterade fågelarter.docx", "A 9472-2025")</f>
        <v/>
      </c>
    </row>
    <row r="12" ht="15" customHeight="1">
      <c r="A12" t="inlineStr">
        <is>
          <t>A 51334-2022</t>
        </is>
      </c>
      <c r="B12" s="1" t="n">
        <v>44869</v>
      </c>
      <c r="C12" s="1" t="n">
        <v>45917</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45917</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20722-2024</t>
        </is>
      </c>
      <c r="B14" s="1" t="n">
        <v>45436</v>
      </c>
      <c r="C14" s="1" t="n">
        <v>45917</v>
      </c>
      <c r="D14" t="inlineStr">
        <is>
          <t>STOCKHOLMS LÄN</t>
        </is>
      </c>
      <c r="E14" t="inlineStr">
        <is>
          <t>NORRTÄLJE</t>
        </is>
      </c>
      <c r="G14" t="n">
        <v>5.2</v>
      </c>
      <c r="H14" t="n">
        <v>4</v>
      </c>
      <c r="I14" t="n">
        <v>2</v>
      </c>
      <c r="J14" t="n">
        <v>6</v>
      </c>
      <c r="K14" t="n">
        <v>1</v>
      </c>
      <c r="L14" t="n">
        <v>0</v>
      </c>
      <c r="M14" t="n">
        <v>0</v>
      </c>
      <c r="N14" t="n">
        <v>0</v>
      </c>
      <c r="O14" t="n">
        <v>7</v>
      </c>
      <c r="P14" t="n">
        <v>1</v>
      </c>
      <c r="Q14" t="n">
        <v>10</v>
      </c>
      <c r="R14" s="2" t="inlineStr">
        <is>
          <t>Knärot
Garnlav
Granticka
Gränsticka
Spillkråka
Svartvit flugsnappare
Ullticka
Bronshjon
Vågbandad barkbock
Blåsippa</t>
        </is>
      </c>
      <c r="S14">
        <f>HYPERLINK("https://klasma.github.io/Logging_0188/artfynd/A 20722-2024 artfynd.xlsx", "A 20722-2024")</f>
        <v/>
      </c>
      <c r="T14">
        <f>HYPERLINK("https://klasma.github.io/Logging_0188/kartor/A 20722-2024 karta.png", "A 20722-2024")</f>
        <v/>
      </c>
      <c r="U14">
        <f>HYPERLINK("https://klasma.github.io/Logging_0188/knärot/A 20722-2024 karta knärot.png", "A 20722-2024")</f>
        <v/>
      </c>
      <c r="V14">
        <f>HYPERLINK("https://klasma.github.io/Logging_0188/klagomål/A 20722-2024 FSC-klagomål.docx", "A 20722-2024")</f>
        <v/>
      </c>
      <c r="W14">
        <f>HYPERLINK("https://klasma.github.io/Logging_0188/klagomålsmail/A 20722-2024 FSC-klagomål mail.docx", "A 20722-2024")</f>
        <v/>
      </c>
      <c r="X14">
        <f>HYPERLINK("https://klasma.github.io/Logging_0188/tillsyn/A 20722-2024 tillsynsbegäran.docx", "A 20722-2024")</f>
        <v/>
      </c>
      <c r="Y14">
        <f>HYPERLINK("https://klasma.github.io/Logging_0188/tillsynsmail/A 20722-2024 tillsynsbegäran mail.docx", "A 20722-2024")</f>
        <v/>
      </c>
      <c r="Z14">
        <f>HYPERLINK("https://klasma.github.io/Logging_0188/fåglar/A 20722-2024 prioriterade fågelarter.docx", "A 20722-2024")</f>
        <v/>
      </c>
    </row>
    <row r="15" ht="15" customHeight="1">
      <c r="A15" t="inlineStr">
        <is>
          <t>A 11231-2021</t>
        </is>
      </c>
      <c r="B15" s="1" t="n">
        <v>44263</v>
      </c>
      <c r="C15" s="1" t="n">
        <v>45917</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44847-2023</t>
        </is>
      </c>
      <c r="B16" s="1" t="n">
        <v>45190</v>
      </c>
      <c r="C16" s="1" t="n">
        <v>45917</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52815-2021</t>
        </is>
      </c>
      <c r="B17" s="1" t="n">
        <v>44467</v>
      </c>
      <c r="C17" s="1" t="n">
        <v>45917</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47274-2024</t>
        </is>
      </c>
      <c r="B18" s="1" t="n">
        <v>45586.88145833334</v>
      </c>
      <c r="C18" s="1" t="n">
        <v>45917</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50326-2024</t>
        </is>
      </c>
      <c r="B19" s="1" t="n">
        <v>45600</v>
      </c>
      <c r="C19" s="1" t="n">
        <v>45917</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73093-2021</t>
        </is>
      </c>
      <c r="B20" s="1" t="n">
        <v>44550</v>
      </c>
      <c r="C20" s="1" t="n">
        <v>45917</v>
      </c>
      <c r="D20" t="inlineStr">
        <is>
          <t>STOCKHOLMS LÄN</t>
        </is>
      </c>
      <c r="E20" t="inlineStr">
        <is>
          <t>NORRTÄLJE</t>
        </is>
      </c>
      <c r="G20" t="n">
        <v>5.1</v>
      </c>
      <c r="H20" t="n">
        <v>6</v>
      </c>
      <c r="I20" t="n">
        <v>6</v>
      </c>
      <c r="J20" t="n">
        <v>1</v>
      </c>
      <c r="K20" t="n">
        <v>0</v>
      </c>
      <c r="L20" t="n">
        <v>0</v>
      </c>
      <c r="M20" t="n">
        <v>0</v>
      </c>
      <c r="N20" t="n">
        <v>0</v>
      </c>
      <c r="O20" t="n">
        <v>1</v>
      </c>
      <c r="P20" t="n">
        <v>0</v>
      </c>
      <c r="Q20" t="n">
        <v>9</v>
      </c>
      <c r="R20" s="2" t="inlineStr">
        <is>
          <t>Rödvingetrast
Guckusko
Myskmadra
Nästrot
Skogsknipprot
Tibast
Vätteros
Nattviol
Blåsippa</t>
        </is>
      </c>
      <c r="S20">
        <f>HYPERLINK("https://klasma.github.io/Logging_0188/artfynd/A 73093-2021 artfynd.xlsx", "A 73093-2021")</f>
        <v/>
      </c>
      <c r="T20">
        <f>HYPERLINK("https://klasma.github.io/Logging_0188/kartor/A 73093-2021 karta.png", "A 73093-2021")</f>
        <v/>
      </c>
      <c r="V20">
        <f>HYPERLINK("https://klasma.github.io/Logging_0188/klagomål/A 73093-2021 FSC-klagomål.docx", "A 73093-2021")</f>
        <v/>
      </c>
      <c r="W20">
        <f>HYPERLINK("https://klasma.github.io/Logging_0188/klagomålsmail/A 73093-2021 FSC-klagomål mail.docx", "A 73093-2021")</f>
        <v/>
      </c>
      <c r="X20">
        <f>HYPERLINK("https://klasma.github.io/Logging_0188/tillsyn/A 73093-2021 tillsynsbegäran.docx", "A 73093-2021")</f>
        <v/>
      </c>
      <c r="Y20">
        <f>HYPERLINK("https://klasma.github.io/Logging_0188/tillsynsmail/A 73093-2021 tillsynsbegäran mail.docx", "A 73093-2021")</f>
        <v/>
      </c>
      <c r="Z20">
        <f>HYPERLINK("https://klasma.github.io/Logging_0188/fåglar/A 73093-2021 prioriterade fågelarter.docx", "A 73093-2021")</f>
        <v/>
      </c>
    </row>
    <row r="21" ht="15" customHeight="1">
      <c r="A21" t="inlineStr">
        <is>
          <t>A 59582-2024</t>
        </is>
      </c>
      <c r="B21" s="1" t="n">
        <v>45638</v>
      </c>
      <c r="C21" s="1" t="n">
        <v>45917</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4705-2025</t>
        </is>
      </c>
      <c r="B22" s="1" t="n">
        <v>45688.38224537037</v>
      </c>
      <c r="C22" s="1" t="n">
        <v>45917</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45811-2022</t>
        </is>
      </c>
      <c r="B23" s="1" t="n">
        <v>44846</v>
      </c>
      <c r="C23" s="1" t="n">
        <v>45917</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45917</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15278-2024</t>
        </is>
      </c>
      <c r="B25" s="1" t="n">
        <v>45400.5958912037</v>
      </c>
      <c r="C25" s="1" t="n">
        <v>45917</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47346-2021</t>
        </is>
      </c>
      <c r="B26" s="1" t="n">
        <v>44447</v>
      </c>
      <c r="C26" s="1" t="n">
        <v>45917</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13933-2022</t>
        </is>
      </c>
      <c r="B27" s="1" t="n">
        <v>44650</v>
      </c>
      <c r="C27" s="1" t="n">
        <v>45917</v>
      </c>
      <c r="D27" t="inlineStr">
        <is>
          <t>STOCKHOLMS LÄN</t>
        </is>
      </c>
      <c r="E27" t="inlineStr">
        <is>
          <t>NORRTÄLJE</t>
        </is>
      </c>
      <c r="G27" t="n">
        <v>4.4</v>
      </c>
      <c r="H27" t="n">
        <v>3</v>
      </c>
      <c r="I27" t="n">
        <v>5</v>
      </c>
      <c r="J27" t="n">
        <v>1</v>
      </c>
      <c r="K27" t="n">
        <v>0</v>
      </c>
      <c r="L27" t="n">
        <v>0</v>
      </c>
      <c r="M27" t="n">
        <v>0</v>
      </c>
      <c r="N27" t="n">
        <v>0</v>
      </c>
      <c r="O27" t="n">
        <v>1</v>
      </c>
      <c r="P27" t="n">
        <v>0</v>
      </c>
      <c r="Q27" t="n">
        <v>7</v>
      </c>
      <c r="R27" s="2" t="inlineStr">
        <is>
          <t>Ullticka
Grön sköldmossa
Nästrot
Skogshakmossa
Tibast
Ögonpyrola
Blåsippa</t>
        </is>
      </c>
      <c r="S27">
        <f>HYPERLINK("https://klasma.github.io/Logging_0188/artfynd/A 13933-2022 artfynd.xlsx", "A 13933-2022")</f>
        <v/>
      </c>
      <c r="T27">
        <f>HYPERLINK("https://klasma.github.io/Logging_0188/kartor/A 13933-2022 karta.png", "A 13933-2022")</f>
        <v/>
      </c>
      <c r="V27">
        <f>HYPERLINK("https://klasma.github.io/Logging_0188/klagomål/A 13933-2022 FSC-klagomål.docx", "A 13933-2022")</f>
        <v/>
      </c>
      <c r="W27">
        <f>HYPERLINK("https://klasma.github.io/Logging_0188/klagomålsmail/A 13933-2022 FSC-klagomål mail.docx", "A 13933-2022")</f>
        <v/>
      </c>
      <c r="X27">
        <f>HYPERLINK("https://klasma.github.io/Logging_0188/tillsyn/A 13933-2022 tillsynsbegäran.docx", "A 13933-2022")</f>
        <v/>
      </c>
      <c r="Y27">
        <f>HYPERLINK("https://klasma.github.io/Logging_0188/tillsynsmail/A 13933-2022 tillsynsbegäran mail.docx", "A 13933-2022")</f>
        <v/>
      </c>
    </row>
    <row r="28" ht="15" customHeight="1">
      <c r="A28" t="inlineStr">
        <is>
          <t>A 34528-2025</t>
        </is>
      </c>
      <c r="B28" s="1" t="n">
        <v>45847.48436342592</v>
      </c>
      <c r="C28" s="1" t="n">
        <v>45917</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45917</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30687-2025</t>
        </is>
      </c>
      <c r="B30" s="1" t="n">
        <v>45831.53390046296</v>
      </c>
      <c r="C30" s="1" t="n">
        <v>45917</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15804-2025</t>
        </is>
      </c>
      <c r="B31" s="1" t="n">
        <v>45748.6521875</v>
      </c>
      <c r="C31" s="1" t="n">
        <v>45917</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72111-2021</t>
        </is>
      </c>
      <c r="B32" s="1" t="n">
        <v>44544</v>
      </c>
      <c r="C32" s="1" t="n">
        <v>45917</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21922-2023</t>
        </is>
      </c>
      <c r="B33" s="1" t="n">
        <v>45068</v>
      </c>
      <c r="C33" s="1" t="n">
        <v>45917</v>
      </c>
      <c r="D33" t="inlineStr">
        <is>
          <t>STOCKHOLMS LÄN</t>
        </is>
      </c>
      <c r="E33" t="inlineStr">
        <is>
          <t>NORRTÄLJE</t>
        </is>
      </c>
      <c r="G33" t="n">
        <v>4.9</v>
      </c>
      <c r="H33" t="n">
        <v>2</v>
      </c>
      <c r="I33" t="n">
        <v>2</v>
      </c>
      <c r="J33" t="n">
        <v>1</v>
      </c>
      <c r="K33" t="n">
        <v>0</v>
      </c>
      <c r="L33" t="n">
        <v>0</v>
      </c>
      <c r="M33" t="n">
        <v>0</v>
      </c>
      <c r="N33" t="n">
        <v>0</v>
      </c>
      <c r="O33" t="n">
        <v>1</v>
      </c>
      <c r="P33" t="n">
        <v>0</v>
      </c>
      <c r="Q33" t="n">
        <v>5</v>
      </c>
      <c r="R33" s="2" t="inlineStr">
        <is>
          <t>Asppraktbagge
Stor aspticka
Svavelriska
Blåsippa
Gullviva</t>
        </is>
      </c>
      <c r="S33">
        <f>HYPERLINK("https://klasma.github.io/Logging_0188/artfynd/A 21922-2023 artfynd.xlsx", "A 21922-2023")</f>
        <v/>
      </c>
      <c r="T33">
        <f>HYPERLINK("https://klasma.github.io/Logging_0188/kartor/A 21922-2023 karta.png", "A 21922-2023")</f>
        <v/>
      </c>
      <c r="V33">
        <f>HYPERLINK("https://klasma.github.io/Logging_0188/klagomål/A 21922-2023 FSC-klagomål.docx", "A 21922-2023")</f>
        <v/>
      </c>
      <c r="W33">
        <f>HYPERLINK("https://klasma.github.io/Logging_0188/klagomålsmail/A 21922-2023 FSC-klagomål mail.docx", "A 21922-2023")</f>
        <v/>
      </c>
      <c r="X33">
        <f>HYPERLINK("https://klasma.github.io/Logging_0188/tillsyn/A 21922-2023 tillsynsbegäran.docx", "A 21922-2023")</f>
        <v/>
      </c>
      <c r="Y33">
        <f>HYPERLINK("https://klasma.github.io/Logging_0188/tillsynsmail/A 21922-2023 tillsynsbegäran mail.docx", "A 21922-2023")</f>
        <v/>
      </c>
    </row>
    <row r="34" ht="15" customHeight="1">
      <c r="A34" t="inlineStr">
        <is>
          <t>A 22071-2022</t>
        </is>
      </c>
      <c r="B34" s="1" t="n">
        <v>44711</v>
      </c>
      <c r="C34" s="1" t="n">
        <v>45917</v>
      </c>
      <c r="D34" t="inlineStr">
        <is>
          <t>STOCKHOLMS LÄN</t>
        </is>
      </c>
      <c r="E34" t="inlineStr">
        <is>
          <t>NORRTÄLJE</t>
        </is>
      </c>
      <c r="G34" t="n">
        <v>7</v>
      </c>
      <c r="H34" t="n">
        <v>1</v>
      </c>
      <c r="I34" t="n">
        <v>2</v>
      </c>
      <c r="J34" t="n">
        <v>2</v>
      </c>
      <c r="K34" t="n">
        <v>0</v>
      </c>
      <c r="L34" t="n">
        <v>0</v>
      </c>
      <c r="M34" t="n">
        <v>0</v>
      </c>
      <c r="N34" t="n">
        <v>0</v>
      </c>
      <c r="O34" t="n">
        <v>2</v>
      </c>
      <c r="P34" t="n">
        <v>0</v>
      </c>
      <c r="Q34" t="n">
        <v>4</v>
      </c>
      <c r="R34" s="2" t="inlineStr">
        <is>
          <t>Spillkråka
Vedskivlav
Björksplintborre
Kattfotslav</t>
        </is>
      </c>
      <c r="S34">
        <f>HYPERLINK("https://klasma.github.io/Logging_0188/artfynd/A 22071-2022 artfynd.xlsx", "A 22071-2022")</f>
        <v/>
      </c>
      <c r="T34">
        <f>HYPERLINK("https://klasma.github.io/Logging_0188/kartor/A 22071-2022 karta.png", "A 22071-2022")</f>
        <v/>
      </c>
      <c r="V34">
        <f>HYPERLINK("https://klasma.github.io/Logging_0188/klagomål/A 22071-2022 FSC-klagomål.docx", "A 22071-2022")</f>
        <v/>
      </c>
      <c r="W34">
        <f>HYPERLINK("https://klasma.github.io/Logging_0188/klagomålsmail/A 22071-2022 FSC-klagomål mail.docx", "A 22071-2022")</f>
        <v/>
      </c>
      <c r="X34">
        <f>HYPERLINK("https://klasma.github.io/Logging_0188/tillsyn/A 22071-2022 tillsynsbegäran.docx", "A 22071-2022")</f>
        <v/>
      </c>
      <c r="Y34">
        <f>HYPERLINK("https://klasma.github.io/Logging_0188/tillsynsmail/A 22071-2022 tillsynsbegäran mail.docx", "A 22071-2022")</f>
        <v/>
      </c>
      <c r="Z34">
        <f>HYPERLINK("https://klasma.github.io/Logging_0188/fåglar/A 22071-2022 prioriterade fågelarter.docx", "A 22071-2022")</f>
        <v/>
      </c>
    </row>
    <row r="35" ht="15" customHeight="1">
      <c r="A35" t="inlineStr">
        <is>
          <t>A 44709-2022</t>
        </is>
      </c>
      <c r="B35" s="1" t="n">
        <v>44839</v>
      </c>
      <c r="C35" s="1" t="n">
        <v>45917</v>
      </c>
      <c r="D35" t="inlineStr">
        <is>
          <t>STOCKHOLMS LÄN</t>
        </is>
      </c>
      <c r="E35" t="inlineStr">
        <is>
          <t>NORRTÄLJE</t>
        </is>
      </c>
      <c r="G35" t="n">
        <v>16.3</v>
      </c>
      <c r="H35" t="n">
        <v>3</v>
      </c>
      <c r="I35" t="n">
        <v>0</v>
      </c>
      <c r="J35" t="n">
        <v>2</v>
      </c>
      <c r="K35" t="n">
        <v>0</v>
      </c>
      <c r="L35" t="n">
        <v>0</v>
      </c>
      <c r="M35" t="n">
        <v>0</v>
      </c>
      <c r="N35" t="n">
        <v>0</v>
      </c>
      <c r="O35" t="n">
        <v>2</v>
      </c>
      <c r="P35" t="n">
        <v>0</v>
      </c>
      <c r="Q35" t="n">
        <v>4</v>
      </c>
      <c r="R35" s="2" t="inlineStr">
        <is>
          <t>Asppraktbagge
Spillkråka
Enkelbeckasin
Orre</t>
        </is>
      </c>
      <c r="S35">
        <f>HYPERLINK("https://klasma.github.io/Logging_0188/artfynd/A 44709-2022 artfynd.xlsx", "A 44709-2022")</f>
        <v/>
      </c>
      <c r="T35">
        <f>HYPERLINK("https://klasma.github.io/Logging_0188/kartor/A 44709-2022 karta.png", "A 44709-2022")</f>
        <v/>
      </c>
      <c r="V35">
        <f>HYPERLINK("https://klasma.github.io/Logging_0188/klagomål/A 44709-2022 FSC-klagomål.docx", "A 44709-2022")</f>
        <v/>
      </c>
      <c r="W35">
        <f>HYPERLINK("https://klasma.github.io/Logging_0188/klagomålsmail/A 44709-2022 FSC-klagomål mail.docx", "A 44709-2022")</f>
        <v/>
      </c>
      <c r="X35">
        <f>HYPERLINK("https://klasma.github.io/Logging_0188/tillsyn/A 44709-2022 tillsynsbegäran.docx", "A 44709-2022")</f>
        <v/>
      </c>
      <c r="Y35">
        <f>HYPERLINK("https://klasma.github.io/Logging_0188/tillsynsmail/A 44709-2022 tillsynsbegäran mail.docx", "A 44709-2022")</f>
        <v/>
      </c>
      <c r="Z35">
        <f>HYPERLINK("https://klasma.github.io/Logging_0188/fåglar/A 44709-2022 prioriterade fågelarter.docx", "A 44709-2022")</f>
        <v/>
      </c>
    </row>
    <row r="36" ht="15" customHeight="1">
      <c r="A36" t="inlineStr">
        <is>
          <t>A 34521-2025</t>
        </is>
      </c>
      <c r="B36" s="1" t="n">
        <v>45847.47052083333</v>
      </c>
      <c r="C36" s="1" t="n">
        <v>45917</v>
      </c>
      <c r="D36" t="inlineStr">
        <is>
          <t>STOCKHOLMS LÄN</t>
        </is>
      </c>
      <c r="E36" t="inlineStr">
        <is>
          <t>NORRTÄLJE</t>
        </is>
      </c>
      <c r="G36" t="n">
        <v>4.3</v>
      </c>
      <c r="H36" t="n">
        <v>0</v>
      </c>
      <c r="I36" t="n">
        <v>2</v>
      </c>
      <c r="J36" t="n">
        <v>2</v>
      </c>
      <c r="K36" t="n">
        <v>0</v>
      </c>
      <c r="L36" t="n">
        <v>0</v>
      </c>
      <c r="M36" t="n">
        <v>0</v>
      </c>
      <c r="N36" t="n">
        <v>0</v>
      </c>
      <c r="O36" t="n">
        <v>2</v>
      </c>
      <c r="P36" t="n">
        <v>0</v>
      </c>
      <c r="Q36" t="n">
        <v>4</v>
      </c>
      <c r="R36" s="2" t="inlineStr">
        <is>
          <t>Kandelabersvamp
Vedtrappmossa
Anisspindling
Stor aspticka</t>
        </is>
      </c>
      <c r="S36">
        <f>HYPERLINK("https://klasma.github.io/Logging_0188/artfynd/A 34521-2025 artfynd.xlsx", "A 34521-2025")</f>
        <v/>
      </c>
      <c r="T36">
        <f>HYPERLINK("https://klasma.github.io/Logging_0188/kartor/A 34521-2025 karta.png", "A 34521-2025")</f>
        <v/>
      </c>
      <c r="V36">
        <f>HYPERLINK("https://klasma.github.io/Logging_0188/klagomål/A 34521-2025 FSC-klagomål.docx", "A 34521-2025")</f>
        <v/>
      </c>
      <c r="W36">
        <f>HYPERLINK("https://klasma.github.io/Logging_0188/klagomålsmail/A 34521-2025 FSC-klagomål mail.docx", "A 34521-2025")</f>
        <v/>
      </c>
      <c r="X36">
        <f>HYPERLINK("https://klasma.github.io/Logging_0188/tillsyn/A 34521-2025 tillsynsbegäran.docx", "A 34521-2025")</f>
        <v/>
      </c>
      <c r="Y36">
        <f>HYPERLINK("https://klasma.github.io/Logging_0188/tillsynsmail/A 34521-2025 tillsynsbegäran mail.docx", "A 34521-2025")</f>
        <v/>
      </c>
    </row>
    <row r="37" ht="15" customHeight="1">
      <c r="A37" t="inlineStr">
        <is>
          <t>A 41276-2025</t>
        </is>
      </c>
      <c r="B37" s="1" t="n">
        <v>45898.62723379629</v>
      </c>
      <c r="C37" s="1" t="n">
        <v>45917</v>
      </c>
      <c r="D37" t="inlineStr">
        <is>
          <t>STOCKHOLMS LÄN</t>
        </is>
      </c>
      <c r="E37" t="inlineStr">
        <is>
          <t>NORRTÄLJE</t>
        </is>
      </c>
      <c r="G37" t="n">
        <v>3.2</v>
      </c>
      <c r="H37" t="n">
        <v>1</v>
      </c>
      <c r="I37" t="n">
        <v>2</v>
      </c>
      <c r="J37" t="n">
        <v>0</v>
      </c>
      <c r="K37" t="n">
        <v>0</v>
      </c>
      <c r="L37" t="n">
        <v>1</v>
      </c>
      <c r="M37" t="n">
        <v>0</v>
      </c>
      <c r="N37" t="n">
        <v>0</v>
      </c>
      <c r="O37" t="n">
        <v>1</v>
      </c>
      <c r="P37" t="n">
        <v>1</v>
      </c>
      <c r="Q37" t="n">
        <v>4</v>
      </c>
      <c r="R37" s="2" t="inlineStr">
        <is>
          <t>Ask
Underviol
Vårärt
Blåsippa</t>
        </is>
      </c>
      <c r="S37">
        <f>HYPERLINK("https://klasma.github.io/Logging_0188/artfynd/A 41276-2025 artfynd.xlsx", "A 41276-2025")</f>
        <v/>
      </c>
      <c r="T37">
        <f>HYPERLINK("https://klasma.github.io/Logging_0188/kartor/A 41276-2025 karta.png", "A 41276-2025")</f>
        <v/>
      </c>
      <c r="V37">
        <f>HYPERLINK("https://klasma.github.io/Logging_0188/klagomål/A 41276-2025 FSC-klagomål.docx", "A 41276-2025")</f>
        <v/>
      </c>
      <c r="W37">
        <f>HYPERLINK("https://klasma.github.io/Logging_0188/klagomålsmail/A 41276-2025 FSC-klagomål mail.docx", "A 41276-2025")</f>
        <v/>
      </c>
      <c r="X37">
        <f>HYPERLINK("https://klasma.github.io/Logging_0188/tillsyn/A 41276-2025 tillsynsbegäran.docx", "A 41276-2025")</f>
        <v/>
      </c>
      <c r="Y37">
        <f>HYPERLINK("https://klasma.github.io/Logging_0188/tillsynsmail/A 41276-2025 tillsynsbegäran mail.docx", "A 41276-2025")</f>
        <v/>
      </c>
    </row>
    <row r="38" ht="15" customHeight="1">
      <c r="A38" t="inlineStr">
        <is>
          <t>A 10876-2025</t>
        </is>
      </c>
      <c r="B38" s="1" t="n">
        <v>45722</v>
      </c>
      <c r="C38" s="1" t="n">
        <v>45917</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21837-2025</t>
        </is>
      </c>
      <c r="B39" s="1" t="n">
        <v>45784.32179398148</v>
      </c>
      <c r="C39" s="1" t="n">
        <v>45917</v>
      </c>
      <c r="D39" t="inlineStr">
        <is>
          <t>STOCKHOLMS LÄN</t>
        </is>
      </c>
      <c r="E39" t="inlineStr">
        <is>
          <t>NORRTÄLJE</t>
        </is>
      </c>
      <c r="G39" t="n">
        <v>6.4</v>
      </c>
      <c r="H39" t="n">
        <v>2</v>
      </c>
      <c r="I39" t="n">
        <v>2</v>
      </c>
      <c r="J39" t="n">
        <v>1</v>
      </c>
      <c r="K39" t="n">
        <v>0</v>
      </c>
      <c r="L39" t="n">
        <v>0</v>
      </c>
      <c r="M39" t="n">
        <v>0</v>
      </c>
      <c r="N39" t="n">
        <v>0</v>
      </c>
      <c r="O39" t="n">
        <v>1</v>
      </c>
      <c r="P39" t="n">
        <v>0</v>
      </c>
      <c r="Q39" t="n">
        <v>4</v>
      </c>
      <c r="R39" s="2" t="inlineStr">
        <is>
          <t>Granticka
Brandticka
Nästrot
Blåsippa</t>
        </is>
      </c>
      <c r="S39">
        <f>HYPERLINK("https://klasma.github.io/Logging_0188/artfynd/A 21837-2025 artfynd.xlsx", "A 21837-2025")</f>
        <v/>
      </c>
      <c r="T39">
        <f>HYPERLINK("https://klasma.github.io/Logging_0188/kartor/A 21837-2025 karta.png", "A 21837-2025")</f>
        <v/>
      </c>
      <c r="V39">
        <f>HYPERLINK("https://klasma.github.io/Logging_0188/klagomål/A 21837-2025 FSC-klagomål.docx", "A 21837-2025")</f>
        <v/>
      </c>
      <c r="W39">
        <f>HYPERLINK("https://klasma.github.io/Logging_0188/klagomålsmail/A 21837-2025 FSC-klagomål mail.docx", "A 21837-2025")</f>
        <v/>
      </c>
      <c r="X39">
        <f>HYPERLINK("https://klasma.github.io/Logging_0188/tillsyn/A 21837-2025 tillsynsbegäran.docx", "A 21837-2025")</f>
        <v/>
      </c>
      <c r="Y39">
        <f>HYPERLINK("https://klasma.github.io/Logging_0188/tillsynsmail/A 21837-2025 tillsynsbegäran mail.docx", "A 21837-2025")</f>
        <v/>
      </c>
    </row>
    <row r="40" ht="15" customHeight="1">
      <c r="A40" t="inlineStr">
        <is>
          <t>A 21730-2025</t>
        </is>
      </c>
      <c r="B40" s="1" t="n">
        <v>45783.58123842593</v>
      </c>
      <c r="C40" s="1" t="n">
        <v>45917</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72305-2021</t>
        </is>
      </c>
      <c r="B41" s="1" t="n">
        <v>44545</v>
      </c>
      <c r="C41" s="1" t="n">
        <v>45917</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24052-2021</t>
        </is>
      </c>
      <c r="B42" s="1" t="n">
        <v>44336</v>
      </c>
      <c r="C42" s="1" t="n">
        <v>45917</v>
      </c>
      <c r="D42" t="inlineStr">
        <is>
          <t>STOCKHOLMS LÄN</t>
        </is>
      </c>
      <c r="E42" t="inlineStr">
        <is>
          <t>NORRTÄLJE</t>
        </is>
      </c>
      <c r="G42" t="n">
        <v>8.6</v>
      </c>
      <c r="H42" t="n">
        <v>4</v>
      </c>
      <c r="I42" t="n">
        <v>0</v>
      </c>
      <c r="J42" t="n">
        <v>2</v>
      </c>
      <c r="K42" t="n">
        <v>0</v>
      </c>
      <c r="L42" t="n">
        <v>0</v>
      </c>
      <c r="M42" t="n">
        <v>0</v>
      </c>
      <c r="N42" t="n">
        <v>0</v>
      </c>
      <c r="O42" t="n">
        <v>2</v>
      </c>
      <c r="P42" t="n">
        <v>0</v>
      </c>
      <c r="Q42" t="n">
        <v>4</v>
      </c>
      <c r="R42" s="2" t="inlineStr">
        <is>
          <t>Brunlångöra
Nordfladdermus
Dvärgpipistrell
Större brunfladdermus</t>
        </is>
      </c>
      <c r="S42">
        <f>HYPERLINK("https://klasma.github.io/Logging_0188/artfynd/A 24052-2021 artfynd.xlsx", "A 24052-2021")</f>
        <v/>
      </c>
      <c r="T42">
        <f>HYPERLINK("https://klasma.github.io/Logging_0188/kartor/A 24052-2021 karta.png", "A 24052-2021")</f>
        <v/>
      </c>
      <c r="V42">
        <f>HYPERLINK("https://klasma.github.io/Logging_0188/klagomål/A 24052-2021 FSC-klagomål.docx", "A 24052-2021")</f>
        <v/>
      </c>
      <c r="W42">
        <f>HYPERLINK("https://klasma.github.io/Logging_0188/klagomålsmail/A 24052-2021 FSC-klagomål mail.docx", "A 24052-2021")</f>
        <v/>
      </c>
      <c r="X42">
        <f>HYPERLINK("https://klasma.github.io/Logging_0188/tillsyn/A 24052-2021 tillsynsbegäran.docx", "A 24052-2021")</f>
        <v/>
      </c>
      <c r="Y42">
        <f>HYPERLINK("https://klasma.github.io/Logging_0188/tillsynsmail/A 24052-2021 tillsynsbegäran mail.docx", "A 24052-2021")</f>
        <v/>
      </c>
    </row>
    <row r="43" ht="15" customHeight="1">
      <c r="A43" t="inlineStr">
        <is>
          <t>A 17673-2021</t>
        </is>
      </c>
      <c r="B43" s="1" t="n">
        <v>44300</v>
      </c>
      <c r="C43" s="1" t="n">
        <v>45917</v>
      </c>
      <c r="D43" t="inlineStr">
        <is>
          <t>STOCKHOLMS LÄN</t>
        </is>
      </c>
      <c r="E43" t="inlineStr">
        <is>
          <t>NORRTÄLJE</t>
        </is>
      </c>
      <c r="G43" t="n">
        <v>9.199999999999999</v>
      </c>
      <c r="H43" t="n">
        <v>3</v>
      </c>
      <c r="I43" t="n">
        <v>0</v>
      </c>
      <c r="J43" t="n">
        <v>2</v>
      </c>
      <c r="K43" t="n">
        <v>0</v>
      </c>
      <c r="L43" t="n">
        <v>0</v>
      </c>
      <c r="M43" t="n">
        <v>0</v>
      </c>
      <c r="N43" t="n">
        <v>0</v>
      </c>
      <c r="O43" t="n">
        <v>2</v>
      </c>
      <c r="P43" t="n">
        <v>0</v>
      </c>
      <c r="Q43" t="n">
        <v>3</v>
      </c>
      <c r="R43" s="2" t="inlineStr">
        <is>
          <t>Grönsångare
Havsörn
Blåsippa</t>
        </is>
      </c>
      <c r="S43">
        <f>HYPERLINK("https://klasma.github.io/Logging_0188/artfynd/A 17673-2021 artfynd.xlsx", "A 17673-2021")</f>
        <v/>
      </c>
      <c r="T43">
        <f>HYPERLINK("https://klasma.github.io/Logging_0188/kartor/A 17673-2021 karta.png", "A 17673-2021")</f>
        <v/>
      </c>
      <c r="V43">
        <f>HYPERLINK("https://klasma.github.io/Logging_0188/klagomål/A 17673-2021 FSC-klagomål.docx", "A 17673-2021")</f>
        <v/>
      </c>
      <c r="W43">
        <f>HYPERLINK("https://klasma.github.io/Logging_0188/klagomålsmail/A 17673-2021 FSC-klagomål mail.docx", "A 17673-2021")</f>
        <v/>
      </c>
      <c r="X43">
        <f>HYPERLINK("https://klasma.github.io/Logging_0188/tillsyn/A 17673-2021 tillsynsbegäran.docx", "A 17673-2021")</f>
        <v/>
      </c>
      <c r="Y43">
        <f>HYPERLINK("https://klasma.github.io/Logging_0188/tillsynsmail/A 17673-2021 tillsynsbegäran mail.docx", "A 17673-2021")</f>
        <v/>
      </c>
      <c r="Z43">
        <f>HYPERLINK("https://klasma.github.io/Logging_0188/fåglar/A 17673-2021 prioriterade fågelarter.docx", "A 17673-2021")</f>
        <v/>
      </c>
    </row>
    <row r="44" ht="15" customHeight="1">
      <c r="A44" t="inlineStr">
        <is>
          <t>A 14560-2021</t>
        </is>
      </c>
      <c r="B44" s="1" t="n">
        <v>44279</v>
      </c>
      <c r="C44" s="1" t="n">
        <v>45917</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45113-2022</t>
        </is>
      </c>
      <c r="B45" s="1" t="n">
        <v>44843</v>
      </c>
      <c r="C45" s="1" t="n">
        <v>45917</v>
      </c>
      <c r="D45" t="inlineStr">
        <is>
          <t>STOCKHOLMS LÄN</t>
        </is>
      </c>
      <c r="E45" t="inlineStr">
        <is>
          <t>NORRTÄLJE</t>
        </is>
      </c>
      <c r="G45" t="n">
        <v>1.7</v>
      </c>
      <c r="H45" t="n">
        <v>0</v>
      </c>
      <c r="I45" t="n">
        <v>1</v>
      </c>
      <c r="J45" t="n">
        <v>1</v>
      </c>
      <c r="K45" t="n">
        <v>1</v>
      </c>
      <c r="L45" t="n">
        <v>0</v>
      </c>
      <c r="M45" t="n">
        <v>0</v>
      </c>
      <c r="N45" t="n">
        <v>0</v>
      </c>
      <c r="O45" t="n">
        <v>2</v>
      </c>
      <c r="P45" t="n">
        <v>1</v>
      </c>
      <c r="Q45" t="n">
        <v>3</v>
      </c>
      <c r="R45" s="2" t="inlineStr">
        <is>
          <t>Violett fingersvamp
Kandelabersvamp
Slät lönnlav</t>
        </is>
      </c>
      <c r="S45">
        <f>HYPERLINK("https://klasma.github.io/Logging_0188/artfynd/A 45113-2022 artfynd.xlsx", "A 45113-2022")</f>
        <v/>
      </c>
      <c r="T45">
        <f>HYPERLINK("https://klasma.github.io/Logging_0188/kartor/A 45113-2022 karta.png", "A 45113-2022")</f>
        <v/>
      </c>
      <c r="V45">
        <f>HYPERLINK("https://klasma.github.io/Logging_0188/klagomål/A 45113-2022 FSC-klagomål.docx", "A 45113-2022")</f>
        <v/>
      </c>
      <c r="W45">
        <f>HYPERLINK("https://klasma.github.io/Logging_0188/klagomålsmail/A 45113-2022 FSC-klagomål mail.docx", "A 45113-2022")</f>
        <v/>
      </c>
      <c r="X45">
        <f>HYPERLINK("https://klasma.github.io/Logging_0188/tillsyn/A 45113-2022 tillsynsbegäran.docx", "A 45113-2022")</f>
        <v/>
      </c>
      <c r="Y45">
        <f>HYPERLINK("https://klasma.github.io/Logging_0188/tillsynsmail/A 45113-2022 tillsynsbegäran mail.docx", "A 45113-2022")</f>
        <v/>
      </c>
    </row>
    <row r="46" ht="15" customHeight="1">
      <c r="A46" t="inlineStr">
        <is>
          <t>A 28836-2022</t>
        </is>
      </c>
      <c r="B46" s="1" t="n">
        <v>44749</v>
      </c>
      <c r="C46" s="1" t="n">
        <v>45917</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29185-2025</t>
        </is>
      </c>
      <c r="B47" s="1" t="n">
        <v>45821</v>
      </c>
      <c r="C47" s="1" t="n">
        <v>45917</v>
      </c>
      <c r="D47" t="inlineStr">
        <is>
          <t>STOCKHOLMS LÄN</t>
        </is>
      </c>
      <c r="E47" t="inlineStr">
        <is>
          <t>NORRTÄLJE</t>
        </is>
      </c>
      <c r="F47" t="inlineStr">
        <is>
          <t>Övriga Aktiebolag</t>
        </is>
      </c>
      <c r="G47" t="n">
        <v>8.5</v>
      </c>
      <c r="H47" t="n">
        <v>2</v>
      </c>
      <c r="I47" t="n">
        <v>1</v>
      </c>
      <c r="J47" t="n">
        <v>0</v>
      </c>
      <c r="K47" t="n">
        <v>0</v>
      </c>
      <c r="L47" t="n">
        <v>0</v>
      </c>
      <c r="M47" t="n">
        <v>0</v>
      </c>
      <c r="N47" t="n">
        <v>0</v>
      </c>
      <c r="O47" t="n">
        <v>0</v>
      </c>
      <c r="P47" t="n">
        <v>0</v>
      </c>
      <c r="Q47" t="n">
        <v>3</v>
      </c>
      <c r="R47" s="2" t="inlineStr">
        <is>
          <t>Vårärt
Fläcknycklar
Blåsippa</t>
        </is>
      </c>
      <c r="S47">
        <f>HYPERLINK("https://klasma.github.io/Logging_0188/artfynd/A 29185-2025 artfynd.xlsx", "A 29185-2025")</f>
        <v/>
      </c>
      <c r="T47">
        <f>HYPERLINK("https://klasma.github.io/Logging_0188/kartor/A 29185-2025 karta.png", "A 29185-2025")</f>
        <v/>
      </c>
      <c r="V47">
        <f>HYPERLINK("https://klasma.github.io/Logging_0188/klagomål/A 29185-2025 FSC-klagomål.docx", "A 29185-2025")</f>
        <v/>
      </c>
      <c r="W47">
        <f>HYPERLINK("https://klasma.github.io/Logging_0188/klagomålsmail/A 29185-2025 FSC-klagomål mail.docx", "A 29185-2025")</f>
        <v/>
      </c>
      <c r="X47">
        <f>HYPERLINK("https://klasma.github.io/Logging_0188/tillsyn/A 29185-2025 tillsynsbegäran.docx", "A 29185-2025")</f>
        <v/>
      </c>
      <c r="Y47">
        <f>HYPERLINK("https://klasma.github.io/Logging_0188/tillsynsmail/A 29185-2025 tillsynsbegäran mail.docx", "A 29185-2025")</f>
        <v/>
      </c>
    </row>
    <row r="48" ht="15" customHeight="1">
      <c r="A48" t="inlineStr">
        <is>
          <t>A 2851-2023</t>
        </is>
      </c>
      <c r="B48" s="1" t="n">
        <v>44945</v>
      </c>
      <c r="C48" s="1" t="n">
        <v>45917</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20185-2022</t>
        </is>
      </c>
      <c r="B49" s="1" t="n">
        <v>44698</v>
      </c>
      <c r="C49" s="1" t="n">
        <v>45917</v>
      </c>
      <c r="D49" t="inlineStr">
        <is>
          <t>STOCKHOLMS LÄN</t>
        </is>
      </c>
      <c r="E49" t="inlineStr">
        <is>
          <t>NORRTÄLJE</t>
        </is>
      </c>
      <c r="G49" t="n">
        <v>8.4</v>
      </c>
      <c r="H49" t="n">
        <v>1</v>
      </c>
      <c r="I49" t="n">
        <v>2</v>
      </c>
      <c r="J49" t="n">
        <v>0</v>
      </c>
      <c r="K49" t="n">
        <v>1</v>
      </c>
      <c r="L49" t="n">
        <v>0</v>
      </c>
      <c r="M49" t="n">
        <v>0</v>
      </c>
      <c r="N49" t="n">
        <v>0</v>
      </c>
      <c r="O49" t="n">
        <v>1</v>
      </c>
      <c r="P49" t="n">
        <v>1</v>
      </c>
      <c r="Q49" t="n">
        <v>3</v>
      </c>
      <c r="R49" s="2" t="inlineStr">
        <is>
          <t>Tallbit
Gullgröppa
Vedticka</t>
        </is>
      </c>
      <c r="S49">
        <f>HYPERLINK("https://klasma.github.io/Logging_0188/artfynd/A 20185-2022 artfynd.xlsx", "A 20185-2022")</f>
        <v/>
      </c>
      <c r="T49">
        <f>HYPERLINK("https://klasma.github.io/Logging_0188/kartor/A 20185-2022 karta.png", "A 20185-2022")</f>
        <v/>
      </c>
      <c r="V49">
        <f>HYPERLINK("https://klasma.github.io/Logging_0188/klagomål/A 20185-2022 FSC-klagomål.docx", "A 20185-2022")</f>
        <v/>
      </c>
      <c r="W49">
        <f>HYPERLINK("https://klasma.github.io/Logging_0188/klagomålsmail/A 20185-2022 FSC-klagomål mail.docx", "A 20185-2022")</f>
        <v/>
      </c>
      <c r="X49">
        <f>HYPERLINK("https://klasma.github.io/Logging_0188/tillsyn/A 20185-2022 tillsynsbegäran.docx", "A 20185-2022")</f>
        <v/>
      </c>
      <c r="Y49">
        <f>HYPERLINK("https://klasma.github.io/Logging_0188/tillsynsmail/A 20185-2022 tillsynsbegäran mail.docx", "A 20185-2022")</f>
        <v/>
      </c>
      <c r="Z49">
        <f>HYPERLINK("https://klasma.github.io/Logging_0188/fåglar/A 20185-2022 prioriterade fågelarter.docx", "A 20185-2022")</f>
        <v/>
      </c>
    </row>
    <row r="50" ht="15" customHeight="1">
      <c r="A50" t="inlineStr">
        <is>
          <t>A 34524-2025</t>
        </is>
      </c>
      <c r="B50" s="1" t="n">
        <v>45847.47685185185</v>
      </c>
      <c r="C50" s="1" t="n">
        <v>45917</v>
      </c>
      <c r="D50" t="inlineStr">
        <is>
          <t>STOCKHOLMS LÄN</t>
        </is>
      </c>
      <c r="E50" t="inlineStr">
        <is>
          <t>NORRTÄLJE</t>
        </is>
      </c>
      <c r="G50" t="n">
        <v>3.3</v>
      </c>
      <c r="H50" t="n">
        <v>0</v>
      </c>
      <c r="I50" t="n">
        <v>1</v>
      </c>
      <c r="J50" t="n">
        <v>2</v>
      </c>
      <c r="K50" t="n">
        <v>0</v>
      </c>
      <c r="L50" t="n">
        <v>0</v>
      </c>
      <c r="M50" t="n">
        <v>0</v>
      </c>
      <c r="N50" t="n">
        <v>0</v>
      </c>
      <c r="O50" t="n">
        <v>2</v>
      </c>
      <c r="P50" t="n">
        <v>0</v>
      </c>
      <c r="Q50" t="n">
        <v>3</v>
      </c>
      <c r="R50" s="2" t="inlineStr">
        <is>
          <t>Tallticka
Vedtrappmossa
Kornknutmossa</t>
        </is>
      </c>
      <c r="S50">
        <f>HYPERLINK("https://klasma.github.io/Logging_0188/artfynd/A 34524-2025 artfynd.xlsx", "A 34524-2025")</f>
        <v/>
      </c>
      <c r="T50">
        <f>HYPERLINK("https://klasma.github.io/Logging_0188/kartor/A 34524-2025 karta.png", "A 34524-2025")</f>
        <v/>
      </c>
      <c r="V50">
        <f>HYPERLINK("https://klasma.github.io/Logging_0188/klagomål/A 34524-2025 FSC-klagomål.docx", "A 34524-2025")</f>
        <v/>
      </c>
      <c r="W50">
        <f>HYPERLINK("https://klasma.github.io/Logging_0188/klagomålsmail/A 34524-2025 FSC-klagomål mail.docx", "A 34524-2025")</f>
        <v/>
      </c>
      <c r="X50">
        <f>HYPERLINK("https://klasma.github.io/Logging_0188/tillsyn/A 34524-2025 tillsynsbegäran.docx", "A 34524-2025")</f>
        <v/>
      </c>
      <c r="Y50">
        <f>HYPERLINK("https://klasma.github.io/Logging_0188/tillsynsmail/A 34524-2025 tillsynsbegäran mail.docx", "A 34524-2025")</f>
        <v/>
      </c>
    </row>
    <row r="51" ht="15" customHeight="1">
      <c r="A51" t="inlineStr">
        <is>
          <t>A 27870-2022</t>
        </is>
      </c>
      <c r="B51" s="1" t="n">
        <v>44743.64592592593</v>
      </c>
      <c r="C51" s="1" t="n">
        <v>45917</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54110-2024</t>
        </is>
      </c>
      <c r="B52" s="1" t="n">
        <v>45616.54866898148</v>
      </c>
      <c r="C52" s="1" t="n">
        <v>45917</v>
      </c>
      <c r="D52" t="inlineStr">
        <is>
          <t>STOCKHOLMS LÄN</t>
        </is>
      </c>
      <c r="E52" t="inlineStr">
        <is>
          <t>NORRTÄLJE</t>
        </is>
      </c>
      <c r="G52" t="n">
        <v>6.7</v>
      </c>
      <c r="H52" t="n">
        <v>2</v>
      </c>
      <c r="I52" t="n">
        <v>0</v>
      </c>
      <c r="J52" t="n">
        <v>1</v>
      </c>
      <c r="K52" t="n">
        <v>0</v>
      </c>
      <c r="L52" t="n">
        <v>0</v>
      </c>
      <c r="M52" t="n">
        <v>0</v>
      </c>
      <c r="N52" t="n">
        <v>0</v>
      </c>
      <c r="O52" t="n">
        <v>1</v>
      </c>
      <c r="P52" t="n">
        <v>0</v>
      </c>
      <c r="Q52" t="n">
        <v>3</v>
      </c>
      <c r="R52" s="2" t="inlineStr">
        <is>
          <t>Klasefibbla
Nattviol
Gullviva</t>
        </is>
      </c>
      <c r="S52">
        <f>HYPERLINK("https://klasma.github.io/Logging_0188/artfynd/A 54110-2024 artfynd.xlsx", "A 54110-2024")</f>
        <v/>
      </c>
      <c r="T52">
        <f>HYPERLINK("https://klasma.github.io/Logging_0188/kartor/A 54110-2024 karta.png", "A 54110-2024")</f>
        <v/>
      </c>
      <c r="V52">
        <f>HYPERLINK("https://klasma.github.io/Logging_0188/klagomål/A 54110-2024 FSC-klagomål.docx", "A 54110-2024")</f>
        <v/>
      </c>
      <c r="W52">
        <f>HYPERLINK("https://klasma.github.io/Logging_0188/klagomålsmail/A 54110-2024 FSC-klagomål mail.docx", "A 54110-2024")</f>
        <v/>
      </c>
      <c r="X52">
        <f>HYPERLINK("https://klasma.github.io/Logging_0188/tillsyn/A 54110-2024 tillsynsbegäran.docx", "A 54110-2024")</f>
        <v/>
      </c>
      <c r="Y52">
        <f>HYPERLINK("https://klasma.github.io/Logging_0188/tillsynsmail/A 54110-2024 tillsynsbegäran mail.docx", "A 54110-2024")</f>
        <v/>
      </c>
    </row>
    <row r="53" ht="15" customHeight="1">
      <c r="A53" t="inlineStr">
        <is>
          <t>A 53065-2024</t>
        </is>
      </c>
      <c r="B53" s="1" t="n">
        <v>45611.47233796296</v>
      </c>
      <c r="C53" s="1" t="n">
        <v>45917</v>
      </c>
      <c r="D53" t="inlineStr">
        <is>
          <t>STOCKHOLMS LÄN</t>
        </is>
      </c>
      <c r="E53" t="inlineStr">
        <is>
          <t>NORRTÄLJE</t>
        </is>
      </c>
      <c r="G53" t="n">
        <v>12.3</v>
      </c>
      <c r="H53" t="n">
        <v>0</v>
      </c>
      <c r="I53" t="n">
        <v>1</v>
      </c>
      <c r="J53" t="n">
        <v>1</v>
      </c>
      <c r="K53" t="n">
        <v>1</v>
      </c>
      <c r="L53" t="n">
        <v>0</v>
      </c>
      <c r="M53" t="n">
        <v>0</v>
      </c>
      <c r="N53" t="n">
        <v>0</v>
      </c>
      <c r="O53" t="n">
        <v>2</v>
      </c>
      <c r="P53" t="n">
        <v>1</v>
      </c>
      <c r="Q53" t="n">
        <v>3</v>
      </c>
      <c r="R53" s="2" t="inlineStr">
        <is>
          <t>Aspsplintbock
Grön aspvedbock
Gulröd blankbock</t>
        </is>
      </c>
      <c r="S53">
        <f>HYPERLINK("https://klasma.github.io/Logging_0188/artfynd/A 53065-2024 artfynd.xlsx", "A 53065-2024")</f>
        <v/>
      </c>
      <c r="T53">
        <f>HYPERLINK("https://klasma.github.io/Logging_0188/kartor/A 53065-2024 karta.png", "A 53065-2024")</f>
        <v/>
      </c>
      <c r="V53">
        <f>HYPERLINK("https://klasma.github.io/Logging_0188/klagomål/A 53065-2024 FSC-klagomål.docx", "A 53065-2024")</f>
        <v/>
      </c>
      <c r="W53">
        <f>HYPERLINK("https://klasma.github.io/Logging_0188/klagomålsmail/A 53065-2024 FSC-klagomål mail.docx", "A 53065-2024")</f>
        <v/>
      </c>
      <c r="X53">
        <f>HYPERLINK("https://klasma.github.io/Logging_0188/tillsyn/A 53065-2024 tillsynsbegäran.docx", "A 53065-2024")</f>
        <v/>
      </c>
      <c r="Y53">
        <f>HYPERLINK("https://klasma.github.io/Logging_0188/tillsynsmail/A 53065-2024 tillsynsbegäran mail.docx", "A 53065-2024")</f>
        <v/>
      </c>
    </row>
    <row r="54" ht="15" customHeight="1">
      <c r="A54" t="inlineStr">
        <is>
          <t>A 50618-2022</t>
        </is>
      </c>
      <c r="B54" s="1" t="n">
        <v>44866</v>
      </c>
      <c r="C54" s="1" t="n">
        <v>45917</v>
      </c>
      <c r="D54" t="inlineStr">
        <is>
          <t>STOCKHOLMS LÄN</t>
        </is>
      </c>
      <c r="E54" t="inlineStr">
        <is>
          <t>NORRTÄLJE</t>
        </is>
      </c>
      <c r="G54" t="n">
        <v>7.8</v>
      </c>
      <c r="H54" t="n">
        <v>2</v>
      </c>
      <c r="I54" t="n">
        <v>2</v>
      </c>
      <c r="J54" t="n">
        <v>0</v>
      </c>
      <c r="K54" t="n">
        <v>0</v>
      </c>
      <c r="L54" t="n">
        <v>0</v>
      </c>
      <c r="M54" t="n">
        <v>0</v>
      </c>
      <c r="N54" t="n">
        <v>0</v>
      </c>
      <c r="O54" t="n">
        <v>0</v>
      </c>
      <c r="P54" t="n">
        <v>0</v>
      </c>
      <c r="Q54" t="n">
        <v>3</v>
      </c>
      <c r="R54" s="2" t="inlineStr">
        <is>
          <t>Skogsknipprot
Vårärt
Blåsippa</t>
        </is>
      </c>
      <c r="S54">
        <f>HYPERLINK("https://klasma.github.io/Logging_0188/artfynd/A 50618-2022 artfynd.xlsx", "A 50618-2022")</f>
        <v/>
      </c>
      <c r="T54">
        <f>HYPERLINK("https://klasma.github.io/Logging_0188/kartor/A 50618-2022 karta.png", "A 50618-2022")</f>
        <v/>
      </c>
      <c r="V54">
        <f>HYPERLINK("https://klasma.github.io/Logging_0188/klagomål/A 50618-2022 FSC-klagomål.docx", "A 50618-2022")</f>
        <v/>
      </c>
      <c r="W54">
        <f>HYPERLINK("https://klasma.github.io/Logging_0188/klagomålsmail/A 50618-2022 FSC-klagomål mail.docx", "A 50618-2022")</f>
        <v/>
      </c>
      <c r="X54">
        <f>HYPERLINK("https://klasma.github.io/Logging_0188/tillsyn/A 50618-2022 tillsynsbegäran.docx", "A 50618-2022")</f>
        <v/>
      </c>
      <c r="Y54">
        <f>HYPERLINK("https://klasma.github.io/Logging_0188/tillsynsmail/A 50618-2022 tillsynsbegäran mail.docx", "A 50618-2022")</f>
        <v/>
      </c>
    </row>
    <row r="55" ht="15" customHeight="1">
      <c r="A55" t="inlineStr">
        <is>
          <t>A 31803-2021</t>
        </is>
      </c>
      <c r="B55" s="1" t="n">
        <v>44370</v>
      </c>
      <c r="C55" s="1" t="n">
        <v>45917</v>
      </c>
      <c r="D55" t="inlineStr">
        <is>
          <t>STOCKHOLMS LÄN</t>
        </is>
      </c>
      <c r="E55" t="inlineStr">
        <is>
          <t>NORRTÄLJE</t>
        </is>
      </c>
      <c r="G55" t="n">
        <v>4.6</v>
      </c>
      <c r="H55" t="n">
        <v>0</v>
      </c>
      <c r="I55" t="n">
        <v>1</v>
      </c>
      <c r="J55" t="n">
        <v>1</v>
      </c>
      <c r="K55" t="n">
        <v>0</v>
      </c>
      <c r="L55" t="n">
        <v>0</v>
      </c>
      <c r="M55" t="n">
        <v>0</v>
      </c>
      <c r="N55" t="n">
        <v>0</v>
      </c>
      <c r="O55" t="n">
        <v>1</v>
      </c>
      <c r="P55" t="n">
        <v>0</v>
      </c>
      <c r="Q55" t="n">
        <v>2</v>
      </c>
      <c r="R55" s="2" t="inlineStr">
        <is>
          <t>Slåtterfibbla
Vårärt</t>
        </is>
      </c>
      <c r="S55">
        <f>HYPERLINK("https://klasma.github.io/Logging_0188/artfynd/A 31803-2021 artfynd.xlsx", "A 31803-2021")</f>
        <v/>
      </c>
      <c r="T55">
        <f>HYPERLINK("https://klasma.github.io/Logging_0188/kartor/A 31803-2021 karta.png", "A 31803-2021")</f>
        <v/>
      </c>
      <c r="V55">
        <f>HYPERLINK("https://klasma.github.io/Logging_0188/klagomål/A 31803-2021 FSC-klagomål.docx", "A 31803-2021")</f>
        <v/>
      </c>
      <c r="W55">
        <f>HYPERLINK("https://klasma.github.io/Logging_0188/klagomålsmail/A 31803-2021 FSC-klagomål mail.docx", "A 31803-2021")</f>
        <v/>
      </c>
      <c r="X55">
        <f>HYPERLINK("https://klasma.github.io/Logging_0188/tillsyn/A 31803-2021 tillsynsbegäran.docx", "A 31803-2021")</f>
        <v/>
      </c>
      <c r="Y55">
        <f>HYPERLINK("https://klasma.github.io/Logging_0188/tillsynsmail/A 31803-2021 tillsynsbegäran mail.docx", "A 31803-2021")</f>
        <v/>
      </c>
    </row>
    <row r="56" ht="15" customHeight="1">
      <c r="A56" t="inlineStr">
        <is>
          <t>A 58676-2021</t>
        </is>
      </c>
      <c r="B56" s="1" t="n">
        <v>44489</v>
      </c>
      <c r="C56" s="1" t="n">
        <v>45917</v>
      </c>
      <c r="D56" t="inlineStr">
        <is>
          <t>STOCKHOLMS LÄN</t>
        </is>
      </c>
      <c r="E56" t="inlineStr">
        <is>
          <t>NORRTÄLJE</t>
        </is>
      </c>
      <c r="G56" t="n">
        <v>0.6</v>
      </c>
      <c r="H56" t="n">
        <v>2</v>
      </c>
      <c r="I56" t="n">
        <v>0</v>
      </c>
      <c r="J56" t="n">
        <v>0</v>
      </c>
      <c r="K56" t="n">
        <v>0</v>
      </c>
      <c r="L56" t="n">
        <v>0</v>
      </c>
      <c r="M56" t="n">
        <v>0</v>
      </c>
      <c r="N56" t="n">
        <v>0</v>
      </c>
      <c r="O56" t="n">
        <v>0</v>
      </c>
      <c r="P56" t="n">
        <v>0</v>
      </c>
      <c r="Q56" t="n">
        <v>2</v>
      </c>
      <c r="R56" s="2" t="inlineStr">
        <is>
          <t>Nattviol
Blåsippa</t>
        </is>
      </c>
      <c r="S56">
        <f>HYPERLINK("https://klasma.github.io/Logging_0188/artfynd/A 58676-2021 artfynd.xlsx", "A 58676-2021")</f>
        <v/>
      </c>
      <c r="T56">
        <f>HYPERLINK("https://klasma.github.io/Logging_0188/kartor/A 58676-2021 karta.png", "A 58676-2021")</f>
        <v/>
      </c>
      <c r="V56">
        <f>HYPERLINK("https://klasma.github.io/Logging_0188/klagomål/A 58676-2021 FSC-klagomål.docx", "A 58676-2021")</f>
        <v/>
      </c>
      <c r="W56">
        <f>HYPERLINK("https://klasma.github.io/Logging_0188/klagomålsmail/A 58676-2021 FSC-klagomål mail.docx", "A 58676-2021")</f>
        <v/>
      </c>
      <c r="X56">
        <f>HYPERLINK("https://klasma.github.io/Logging_0188/tillsyn/A 58676-2021 tillsynsbegäran.docx", "A 58676-2021")</f>
        <v/>
      </c>
      <c r="Y56">
        <f>HYPERLINK("https://klasma.github.io/Logging_0188/tillsynsmail/A 58676-2021 tillsynsbegäran mail.docx", "A 58676-2021")</f>
        <v/>
      </c>
    </row>
    <row r="57" ht="15" customHeight="1">
      <c r="A57" t="inlineStr">
        <is>
          <t>A 51220-2023</t>
        </is>
      </c>
      <c r="B57" s="1" t="n">
        <v>45219</v>
      </c>
      <c r="C57" s="1" t="n">
        <v>45917</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45917</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11031-2025</t>
        </is>
      </c>
      <c r="B59" s="1" t="n">
        <v>45723</v>
      </c>
      <c r="C59" s="1" t="n">
        <v>45917</v>
      </c>
      <c r="D59" t="inlineStr">
        <is>
          <t>STOCKHOLMS LÄN</t>
        </is>
      </c>
      <c r="E59" t="inlineStr">
        <is>
          <t>NORRTÄLJE</t>
        </is>
      </c>
      <c r="F59" t="inlineStr">
        <is>
          <t>Övriga Aktiebolag</t>
        </is>
      </c>
      <c r="G59" t="n">
        <v>13.2</v>
      </c>
      <c r="H59" t="n">
        <v>1</v>
      </c>
      <c r="I59" t="n">
        <v>0</v>
      </c>
      <c r="J59" t="n">
        <v>2</v>
      </c>
      <c r="K59" t="n">
        <v>0</v>
      </c>
      <c r="L59" t="n">
        <v>0</v>
      </c>
      <c r="M59" t="n">
        <v>0</v>
      </c>
      <c r="N59" t="n">
        <v>0</v>
      </c>
      <c r="O59" t="n">
        <v>2</v>
      </c>
      <c r="P59" t="n">
        <v>0</v>
      </c>
      <c r="Q59" t="n">
        <v>2</v>
      </c>
      <c r="R59" s="2" t="inlineStr">
        <is>
          <t>Järpe
Ullticka</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52825-2023</t>
        </is>
      </c>
      <c r="B60" s="1" t="n">
        <v>45226</v>
      </c>
      <c r="C60" s="1" t="n">
        <v>45917</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16260-2022</t>
        </is>
      </c>
      <c r="B61" s="1" t="n">
        <v>44670</v>
      </c>
      <c r="C61" s="1" t="n">
        <v>45917</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45917</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52124-2022</t>
        </is>
      </c>
      <c r="B63" s="1" t="n">
        <v>44868</v>
      </c>
      <c r="C63" s="1" t="n">
        <v>45917</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51980-2022</t>
        </is>
      </c>
      <c r="B64" s="1" t="n">
        <v>44872</v>
      </c>
      <c r="C64" s="1" t="n">
        <v>45917</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25731-2025</t>
        </is>
      </c>
      <c r="B65" s="1" t="n">
        <v>45800</v>
      </c>
      <c r="C65" s="1" t="n">
        <v>45917</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20012-2025</t>
        </is>
      </c>
      <c r="B66" s="1" t="n">
        <v>45772.30234953704</v>
      </c>
      <c r="C66" s="1" t="n">
        <v>45917</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52360-2024</t>
        </is>
      </c>
      <c r="B67" s="1" t="n">
        <v>45609.37094907407</v>
      </c>
      <c r="C67" s="1" t="n">
        <v>45917</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1547-2022</t>
        </is>
      </c>
      <c r="B68" s="1" t="n">
        <v>44573</v>
      </c>
      <c r="C68" s="1" t="n">
        <v>45917</v>
      </c>
      <c r="D68" t="inlineStr">
        <is>
          <t>STOCKHOLMS LÄN</t>
        </is>
      </c>
      <c r="E68" t="inlineStr">
        <is>
          <t>NORRTÄLJE</t>
        </is>
      </c>
      <c r="G68" t="n">
        <v>1.8</v>
      </c>
      <c r="H68" t="n">
        <v>1</v>
      </c>
      <c r="I68" t="n">
        <v>0</v>
      </c>
      <c r="J68" t="n">
        <v>0</v>
      </c>
      <c r="K68" t="n">
        <v>1</v>
      </c>
      <c r="L68" t="n">
        <v>0</v>
      </c>
      <c r="M68" t="n">
        <v>0</v>
      </c>
      <c r="N68" t="n">
        <v>0</v>
      </c>
      <c r="O68" t="n">
        <v>1</v>
      </c>
      <c r="P68" t="n">
        <v>1</v>
      </c>
      <c r="Q68" t="n">
        <v>1</v>
      </c>
      <c r="R68" s="2" t="inlineStr">
        <is>
          <t>Hällebräcka</t>
        </is>
      </c>
      <c r="S68">
        <f>HYPERLINK("https://klasma.github.io/Logging_0188/artfynd/A 1547-2022 artfynd.xlsx", "A 1547-2022")</f>
        <v/>
      </c>
      <c r="T68">
        <f>HYPERLINK("https://klasma.github.io/Logging_0188/kartor/A 1547-2022 karta.png", "A 1547-2022")</f>
        <v/>
      </c>
      <c r="V68">
        <f>HYPERLINK("https://klasma.github.io/Logging_0188/klagomål/A 1547-2022 FSC-klagomål.docx", "A 1547-2022")</f>
        <v/>
      </c>
      <c r="W68">
        <f>HYPERLINK("https://klasma.github.io/Logging_0188/klagomålsmail/A 1547-2022 FSC-klagomål mail.docx", "A 1547-2022")</f>
        <v/>
      </c>
      <c r="X68">
        <f>HYPERLINK("https://klasma.github.io/Logging_0188/tillsyn/A 1547-2022 tillsynsbegäran.docx", "A 1547-2022")</f>
        <v/>
      </c>
      <c r="Y68">
        <f>HYPERLINK("https://klasma.github.io/Logging_0188/tillsynsmail/A 1547-2022 tillsynsbegäran mail.docx", "A 1547-2022")</f>
        <v/>
      </c>
    </row>
    <row r="69" ht="15" customHeight="1">
      <c r="A69" t="inlineStr">
        <is>
          <t>A 48288-2020</t>
        </is>
      </c>
      <c r="B69" s="1" t="n">
        <v>44102</v>
      </c>
      <c r="C69" s="1" t="n">
        <v>45917</v>
      </c>
      <c r="D69" t="inlineStr">
        <is>
          <t>STOCKHOLMS LÄN</t>
        </is>
      </c>
      <c r="E69" t="inlineStr">
        <is>
          <t>NORRTÄLJE</t>
        </is>
      </c>
      <c r="F69" t="inlineStr">
        <is>
          <t>Holmen skog AB</t>
        </is>
      </c>
      <c r="G69" t="n">
        <v>2.9</v>
      </c>
      <c r="H69" t="n">
        <v>1</v>
      </c>
      <c r="I69" t="n">
        <v>0</v>
      </c>
      <c r="J69" t="n">
        <v>0</v>
      </c>
      <c r="K69" t="n">
        <v>0</v>
      </c>
      <c r="L69" t="n">
        <v>1</v>
      </c>
      <c r="M69" t="n">
        <v>0</v>
      </c>
      <c r="N69" t="n">
        <v>0</v>
      </c>
      <c r="O69" t="n">
        <v>1</v>
      </c>
      <c r="P69" t="n">
        <v>1</v>
      </c>
      <c r="Q69" t="n">
        <v>1</v>
      </c>
      <c r="R69" s="2" t="inlineStr">
        <is>
          <t>Asknätfjäril</t>
        </is>
      </c>
      <c r="S69">
        <f>HYPERLINK("https://klasma.github.io/Logging_0188/artfynd/A 48288-2020 artfynd.xlsx", "A 48288-2020")</f>
        <v/>
      </c>
      <c r="T69">
        <f>HYPERLINK("https://klasma.github.io/Logging_0188/kartor/A 48288-2020 karta.png", "A 48288-2020")</f>
        <v/>
      </c>
      <c r="V69">
        <f>HYPERLINK("https://klasma.github.io/Logging_0188/klagomål/A 48288-2020 FSC-klagomål.docx", "A 48288-2020")</f>
        <v/>
      </c>
      <c r="W69">
        <f>HYPERLINK("https://klasma.github.io/Logging_0188/klagomålsmail/A 48288-2020 FSC-klagomål mail.docx", "A 48288-2020")</f>
        <v/>
      </c>
      <c r="X69">
        <f>HYPERLINK("https://klasma.github.io/Logging_0188/tillsyn/A 48288-2020 tillsynsbegäran.docx", "A 48288-2020")</f>
        <v/>
      </c>
      <c r="Y69">
        <f>HYPERLINK("https://klasma.github.io/Logging_0188/tillsynsmail/A 48288-2020 tillsynsbegäran mail.docx", "A 48288-2020")</f>
        <v/>
      </c>
    </row>
    <row r="70" ht="15" customHeight="1">
      <c r="A70" t="inlineStr">
        <is>
          <t>A 188-2022</t>
        </is>
      </c>
      <c r="B70" s="1" t="n">
        <v>44564.66387731482</v>
      </c>
      <c r="C70" s="1" t="n">
        <v>45917</v>
      </c>
      <c r="D70" t="inlineStr">
        <is>
          <t>STOCKHOLMS LÄN</t>
        </is>
      </c>
      <c r="E70" t="inlineStr">
        <is>
          <t>NORRTÄLJE</t>
        </is>
      </c>
      <c r="G70" t="n">
        <v>4.1</v>
      </c>
      <c r="H70" t="n">
        <v>0</v>
      </c>
      <c r="I70" t="n">
        <v>1</v>
      </c>
      <c r="J70" t="n">
        <v>0</v>
      </c>
      <c r="K70" t="n">
        <v>0</v>
      </c>
      <c r="L70" t="n">
        <v>0</v>
      </c>
      <c r="M70" t="n">
        <v>0</v>
      </c>
      <c r="N70" t="n">
        <v>0</v>
      </c>
      <c r="O70" t="n">
        <v>0</v>
      </c>
      <c r="P70" t="n">
        <v>0</v>
      </c>
      <c r="Q70" t="n">
        <v>1</v>
      </c>
      <c r="R70" s="2" t="inlineStr">
        <is>
          <t>Svart trolldruva</t>
        </is>
      </c>
      <c r="S70">
        <f>HYPERLINK("https://klasma.github.io/Logging_0188/artfynd/A 188-2022 artfynd.xlsx", "A 188-2022")</f>
        <v/>
      </c>
      <c r="T70">
        <f>HYPERLINK("https://klasma.github.io/Logging_0188/kartor/A 188-2022 karta.png", "A 188-2022")</f>
        <v/>
      </c>
      <c r="V70">
        <f>HYPERLINK("https://klasma.github.io/Logging_0188/klagomål/A 188-2022 FSC-klagomål.docx", "A 188-2022")</f>
        <v/>
      </c>
      <c r="W70">
        <f>HYPERLINK("https://klasma.github.io/Logging_0188/klagomålsmail/A 188-2022 FSC-klagomål mail.docx", "A 188-2022")</f>
        <v/>
      </c>
      <c r="X70">
        <f>HYPERLINK("https://klasma.github.io/Logging_0188/tillsyn/A 188-2022 tillsynsbegäran.docx", "A 188-2022")</f>
        <v/>
      </c>
      <c r="Y70">
        <f>HYPERLINK("https://klasma.github.io/Logging_0188/tillsynsmail/A 188-2022 tillsynsbegäran mail.docx", "A 188-2022")</f>
        <v/>
      </c>
    </row>
    <row r="71" ht="15" customHeight="1">
      <c r="A71" t="inlineStr">
        <is>
          <t>A 62846-2020</t>
        </is>
      </c>
      <c r="B71" s="1" t="n">
        <v>44161</v>
      </c>
      <c r="C71" s="1" t="n">
        <v>45917</v>
      </c>
      <c r="D71" t="inlineStr">
        <is>
          <t>STOCKHOLMS LÄN</t>
        </is>
      </c>
      <c r="E71" t="inlineStr">
        <is>
          <t>NORRTÄLJE</t>
        </is>
      </c>
      <c r="G71" t="n">
        <v>1.4</v>
      </c>
      <c r="H71" t="n">
        <v>1</v>
      </c>
      <c r="I71" t="n">
        <v>0</v>
      </c>
      <c r="J71" t="n">
        <v>0</v>
      </c>
      <c r="K71" t="n">
        <v>0</v>
      </c>
      <c r="L71" t="n">
        <v>0</v>
      </c>
      <c r="M71" t="n">
        <v>0</v>
      </c>
      <c r="N71" t="n">
        <v>0</v>
      </c>
      <c r="O71" t="n">
        <v>0</v>
      </c>
      <c r="P71" t="n">
        <v>0</v>
      </c>
      <c r="Q71" t="n">
        <v>1</v>
      </c>
      <c r="R71" s="2" t="inlineStr">
        <is>
          <t>Fläcknycklar</t>
        </is>
      </c>
      <c r="S71">
        <f>HYPERLINK("https://klasma.github.io/Logging_0188/artfynd/A 62846-2020 artfynd.xlsx", "A 62846-2020")</f>
        <v/>
      </c>
      <c r="T71">
        <f>HYPERLINK("https://klasma.github.io/Logging_0188/kartor/A 62846-2020 karta.png", "A 62846-2020")</f>
        <v/>
      </c>
      <c r="V71">
        <f>HYPERLINK("https://klasma.github.io/Logging_0188/klagomål/A 62846-2020 FSC-klagomål.docx", "A 62846-2020")</f>
        <v/>
      </c>
      <c r="W71">
        <f>HYPERLINK("https://klasma.github.io/Logging_0188/klagomålsmail/A 62846-2020 FSC-klagomål mail.docx", "A 62846-2020")</f>
        <v/>
      </c>
      <c r="X71">
        <f>HYPERLINK("https://klasma.github.io/Logging_0188/tillsyn/A 62846-2020 tillsynsbegäran.docx", "A 62846-2020")</f>
        <v/>
      </c>
      <c r="Y71">
        <f>HYPERLINK("https://klasma.github.io/Logging_0188/tillsynsmail/A 62846-2020 tillsynsbegäran mail.docx", "A 62846-2020")</f>
        <v/>
      </c>
    </row>
    <row r="72" ht="15" customHeight="1">
      <c r="A72" t="inlineStr">
        <is>
          <t>A 30138-2021</t>
        </is>
      </c>
      <c r="B72" s="1" t="n">
        <v>44363</v>
      </c>
      <c r="C72" s="1" t="n">
        <v>45917</v>
      </c>
      <c r="D72" t="inlineStr">
        <is>
          <t>STOCKHOLMS LÄN</t>
        </is>
      </c>
      <c r="E72" t="inlineStr">
        <is>
          <t>NORRTÄLJE</t>
        </is>
      </c>
      <c r="G72" t="n">
        <v>4.5</v>
      </c>
      <c r="H72" t="n">
        <v>0</v>
      </c>
      <c r="I72" t="n">
        <v>1</v>
      </c>
      <c r="J72" t="n">
        <v>0</v>
      </c>
      <c r="K72" t="n">
        <v>0</v>
      </c>
      <c r="L72" t="n">
        <v>0</v>
      </c>
      <c r="M72" t="n">
        <v>0</v>
      </c>
      <c r="N72" t="n">
        <v>0</v>
      </c>
      <c r="O72" t="n">
        <v>0</v>
      </c>
      <c r="P72" t="n">
        <v>0</v>
      </c>
      <c r="Q72" t="n">
        <v>1</v>
      </c>
      <c r="R72" s="2" t="inlineStr">
        <is>
          <t>Vårärt</t>
        </is>
      </c>
      <c r="S72">
        <f>HYPERLINK("https://klasma.github.io/Logging_0188/artfynd/A 30138-2021 artfynd.xlsx", "A 30138-2021")</f>
        <v/>
      </c>
      <c r="T72">
        <f>HYPERLINK("https://klasma.github.io/Logging_0188/kartor/A 30138-2021 karta.png", "A 30138-2021")</f>
        <v/>
      </c>
      <c r="V72">
        <f>HYPERLINK("https://klasma.github.io/Logging_0188/klagomål/A 30138-2021 FSC-klagomål.docx", "A 30138-2021")</f>
        <v/>
      </c>
      <c r="W72">
        <f>HYPERLINK("https://klasma.github.io/Logging_0188/klagomålsmail/A 30138-2021 FSC-klagomål mail.docx", "A 30138-2021")</f>
        <v/>
      </c>
      <c r="X72">
        <f>HYPERLINK("https://klasma.github.io/Logging_0188/tillsyn/A 30138-2021 tillsynsbegäran.docx", "A 30138-2021")</f>
        <v/>
      </c>
      <c r="Y72">
        <f>HYPERLINK("https://klasma.github.io/Logging_0188/tillsynsmail/A 30138-2021 tillsynsbegäran mail.docx", "A 30138-2021")</f>
        <v/>
      </c>
    </row>
    <row r="73" ht="15" customHeight="1">
      <c r="A73" t="inlineStr">
        <is>
          <t>A 17629-2022</t>
        </is>
      </c>
      <c r="B73" s="1" t="n">
        <v>44680</v>
      </c>
      <c r="C73" s="1" t="n">
        <v>45917</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32111-2022</t>
        </is>
      </c>
      <c r="B74" s="1" t="n">
        <v>44778.92797453704</v>
      </c>
      <c r="C74" s="1" t="n">
        <v>45917</v>
      </c>
      <c r="D74" t="inlineStr">
        <is>
          <t>STOCKHOLMS LÄN</t>
        </is>
      </c>
      <c r="E74" t="inlineStr">
        <is>
          <t>NORRTÄLJE</t>
        </is>
      </c>
      <c r="G74" t="n">
        <v>3.1</v>
      </c>
      <c r="H74" t="n">
        <v>0</v>
      </c>
      <c r="I74" t="n">
        <v>0</v>
      </c>
      <c r="J74" t="n">
        <v>1</v>
      </c>
      <c r="K74" t="n">
        <v>0</v>
      </c>
      <c r="L74" t="n">
        <v>0</v>
      </c>
      <c r="M74" t="n">
        <v>0</v>
      </c>
      <c r="N74" t="n">
        <v>0</v>
      </c>
      <c r="O74" t="n">
        <v>1</v>
      </c>
      <c r="P74" t="n">
        <v>0</v>
      </c>
      <c r="Q74" t="n">
        <v>1</v>
      </c>
      <c r="R74" s="2" t="inlineStr">
        <is>
          <t>Orange taggsvamp</t>
        </is>
      </c>
      <c r="S74">
        <f>HYPERLINK("https://klasma.github.io/Logging_0188/artfynd/A 32111-2022 artfynd.xlsx", "A 32111-2022")</f>
        <v/>
      </c>
      <c r="T74">
        <f>HYPERLINK("https://klasma.github.io/Logging_0188/kartor/A 32111-2022 karta.png", "A 32111-2022")</f>
        <v/>
      </c>
      <c r="V74">
        <f>HYPERLINK("https://klasma.github.io/Logging_0188/klagomål/A 32111-2022 FSC-klagomål.docx", "A 32111-2022")</f>
        <v/>
      </c>
      <c r="W74">
        <f>HYPERLINK("https://klasma.github.io/Logging_0188/klagomålsmail/A 32111-2022 FSC-klagomål mail.docx", "A 32111-2022")</f>
        <v/>
      </c>
      <c r="X74">
        <f>HYPERLINK("https://klasma.github.io/Logging_0188/tillsyn/A 32111-2022 tillsynsbegäran.docx", "A 32111-2022")</f>
        <v/>
      </c>
      <c r="Y74">
        <f>HYPERLINK("https://klasma.github.io/Logging_0188/tillsynsmail/A 32111-2022 tillsynsbegäran mail.docx", "A 32111-2022")</f>
        <v/>
      </c>
    </row>
    <row r="75" ht="15" customHeight="1">
      <c r="A75" t="inlineStr">
        <is>
          <t>A 33477-2022</t>
        </is>
      </c>
      <c r="B75" s="1" t="n">
        <v>44788.70217592592</v>
      </c>
      <c r="C75" s="1" t="n">
        <v>45917</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25669-2025</t>
        </is>
      </c>
      <c r="B76" s="1" t="n">
        <v>45803.62766203703</v>
      </c>
      <c r="C76" s="1" t="n">
        <v>45917</v>
      </c>
      <c r="D76" t="inlineStr">
        <is>
          <t>STOCKHOLMS LÄN</t>
        </is>
      </c>
      <c r="E76" t="inlineStr">
        <is>
          <t>NORRTÄLJE</t>
        </is>
      </c>
      <c r="F76" t="inlineStr">
        <is>
          <t>Holmen skog AB</t>
        </is>
      </c>
      <c r="G76" t="n">
        <v>3.1</v>
      </c>
      <c r="H76" t="n">
        <v>1</v>
      </c>
      <c r="I76" t="n">
        <v>0</v>
      </c>
      <c r="J76" t="n">
        <v>0</v>
      </c>
      <c r="K76" t="n">
        <v>0</v>
      </c>
      <c r="L76" t="n">
        <v>0</v>
      </c>
      <c r="M76" t="n">
        <v>0</v>
      </c>
      <c r="N76" t="n">
        <v>0</v>
      </c>
      <c r="O76" t="n">
        <v>0</v>
      </c>
      <c r="P76" t="n">
        <v>0</v>
      </c>
      <c r="Q76" t="n">
        <v>1</v>
      </c>
      <c r="R76" s="2" t="inlineStr">
        <is>
          <t>Tjäder</t>
        </is>
      </c>
      <c r="S76">
        <f>HYPERLINK("https://klasma.github.io/Logging_0188/artfynd/A 25669-2025 artfynd.xlsx", "A 25669-2025")</f>
        <v/>
      </c>
      <c r="T76">
        <f>HYPERLINK("https://klasma.github.io/Logging_0188/kartor/A 25669-2025 karta.png", "A 25669-2025")</f>
        <v/>
      </c>
      <c r="V76">
        <f>HYPERLINK("https://klasma.github.io/Logging_0188/klagomål/A 25669-2025 FSC-klagomål.docx", "A 25669-2025")</f>
        <v/>
      </c>
      <c r="W76">
        <f>HYPERLINK("https://klasma.github.io/Logging_0188/klagomålsmail/A 25669-2025 FSC-klagomål mail.docx", "A 25669-2025")</f>
        <v/>
      </c>
      <c r="X76">
        <f>HYPERLINK("https://klasma.github.io/Logging_0188/tillsyn/A 25669-2025 tillsynsbegäran.docx", "A 25669-2025")</f>
        <v/>
      </c>
      <c r="Y76">
        <f>HYPERLINK("https://klasma.github.io/Logging_0188/tillsynsmail/A 25669-2025 tillsynsbegäran mail.docx", "A 25669-2025")</f>
        <v/>
      </c>
      <c r="Z76">
        <f>HYPERLINK("https://klasma.github.io/Logging_0188/fåglar/A 25669-2025 prioriterade fågelarter.docx", "A 25669-2025")</f>
        <v/>
      </c>
    </row>
    <row r="77" ht="15" customHeight="1">
      <c r="A77" t="inlineStr">
        <is>
          <t>A 14365-2025</t>
        </is>
      </c>
      <c r="B77" s="1" t="n">
        <v>45741.38688657407</v>
      </c>
      <c r="C77" s="1" t="n">
        <v>45917</v>
      </c>
      <c r="D77" t="inlineStr">
        <is>
          <t>STOCKHOLMS LÄN</t>
        </is>
      </c>
      <c r="E77" t="inlineStr">
        <is>
          <t>NORRTÄLJE</t>
        </is>
      </c>
      <c r="G77" t="n">
        <v>2.4</v>
      </c>
      <c r="H77" t="n">
        <v>0</v>
      </c>
      <c r="I77" t="n">
        <v>0</v>
      </c>
      <c r="J77" t="n">
        <v>1</v>
      </c>
      <c r="K77" t="n">
        <v>0</v>
      </c>
      <c r="L77" t="n">
        <v>0</v>
      </c>
      <c r="M77" t="n">
        <v>0</v>
      </c>
      <c r="N77" t="n">
        <v>0</v>
      </c>
      <c r="O77" t="n">
        <v>1</v>
      </c>
      <c r="P77" t="n">
        <v>0</v>
      </c>
      <c r="Q77" t="n">
        <v>1</v>
      </c>
      <c r="R77" s="2" t="inlineStr">
        <is>
          <t>Granticka</t>
        </is>
      </c>
      <c r="S77">
        <f>HYPERLINK("https://klasma.github.io/Logging_0188/artfynd/A 14365-2025 artfynd.xlsx", "A 14365-2025")</f>
        <v/>
      </c>
      <c r="T77">
        <f>HYPERLINK("https://klasma.github.io/Logging_0188/kartor/A 14365-2025 karta.png", "A 14365-2025")</f>
        <v/>
      </c>
      <c r="V77">
        <f>HYPERLINK("https://klasma.github.io/Logging_0188/klagomål/A 14365-2025 FSC-klagomål.docx", "A 14365-2025")</f>
        <v/>
      </c>
      <c r="W77">
        <f>HYPERLINK("https://klasma.github.io/Logging_0188/klagomålsmail/A 14365-2025 FSC-klagomål mail.docx", "A 14365-2025")</f>
        <v/>
      </c>
      <c r="X77">
        <f>HYPERLINK("https://klasma.github.io/Logging_0188/tillsyn/A 14365-2025 tillsynsbegäran.docx", "A 14365-2025")</f>
        <v/>
      </c>
      <c r="Y77">
        <f>HYPERLINK("https://klasma.github.io/Logging_0188/tillsynsmail/A 14365-2025 tillsynsbegäran mail.docx", "A 14365-2025")</f>
        <v/>
      </c>
    </row>
    <row r="78" ht="15" customHeight="1">
      <c r="A78" t="inlineStr">
        <is>
          <t>A 47898-2022</t>
        </is>
      </c>
      <c r="B78" s="1" t="n">
        <v>44855</v>
      </c>
      <c r="C78" s="1" t="n">
        <v>45917</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21150-2022</t>
        </is>
      </c>
      <c r="B79" s="1" t="n">
        <v>44704</v>
      </c>
      <c r="C79" s="1" t="n">
        <v>45917</v>
      </c>
      <c r="D79" t="inlineStr">
        <is>
          <t>STOCKHOLMS LÄN</t>
        </is>
      </c>
      <c r="E79" t="inlineStr">
        <is>
          <t>NORRTÄLJE</t>
        </is>
      </c>
      <c r="G79" t="n">
        <v>12.5</v>
      </c>
      <c r="H79" t="n">
        <v>1</v>
      </c>
      <c r="I79" t="n">
        <v>0</v>
      </c>
      <c r="J79" t="n">
        <v>0</v>
      </c>
      <c r="K79" t="n">
        <v>0</v>
      </c>
      <c r="L79" t="n">
        <v>1</v>
      </c>
      <c r="M79" t="n">
        <v>0</v>
      </c>
      <c r="N79" t="n">
        <v>0</v>
      </c>
      <c r="O79" t="n">
        <v>1</v>
      </c>
      <c r="P79" t="n">
        <v>1</v>
      </c>
      <c r="Q79" t="n">
        <v>1</v>
      </c>
      <c r="R79" s="2" t="inlineStr">
        <is>
          <t>Asknätfjäril</t>
        </is>
      </c>
      <c r="S79">
        <f>HYPERLINK("https://klasma.github.io/Logging_0188/artfynd/A 21150-2022 artfynd.xlsx", "A 21150-2022")</f>
        <v/>
      </c>
      <c r="T79">
        <f>HYPERLINK("https://klasma.github.io/Logging_0188/kartor/A 21150-2022 karta.png", "A 21150-2022")</f>
        <v/>
      </c>
      <c r="V79">
        <f>HYPERLINK("https://klasma.github.io/Logging_0188/klagomål/A 21150-2022 FSC-klagomål.docx", "A 21150-2022")</f>
        <v/>
      </c>
      <c r="W79">
        <f>HYPERLINK("https://klasma.github.io/Logging_0188/klagomålsmail/A 21150-2022 FSC-klagomål mail.docx", "A 21150-2022")</f>
        <v/>
      </c>
      <c r="X79">
        <f>HYPERLINK("https://klasma.github.io/Logging_0188/tillsyn/A 21150-2022 tillsynsbegäran.docx", "A 21150-2022")</f>
        <v/>
      </c>
      <c r="Y79">
        <f>HYPERLINK("https://klasma.github.io/Logging_0188/tillsynsmail/A 21150-2022 tillsynsbegäran mail.docx", "A 21150-2022")</f>
        <v/>
      </c>
    </row>
    <row r="80" ht="15" customHeight="1">
      <c r="A80" t="inlineStr">
        <is>
          <t>A 6381-2023</t>
        </is>
      </c>
      <c r="B80" s="1" t="n">
        <v>44965</v>
      </c>
      <c r="C80" s="1" t="n">
        <v>45917</v>
      </c>
      <c r="D80" t="inlineStr">
        <is>
          <t>STOCKHOLMS LÄN</t>
        </is>
      </c>
      <c r="E80" t="inlineStr">
        <is>
          <t>NORRTÄLJE</t>
        </is>
      </c>
      <c r="G80" t="n">
        <v>3.5</v>
      </c>
      <c r="H80" t="n">
        <v>1</v>
      </c>
      <c r="I80" t="n">
        <v>1</v>
      </c>
      <c r="J80" t="n">
        <v>0</v>
      </c>
      <c r="K80" t="n">
        <v>0</v>
      </c>
      <c r="L80" t="n">
        <v>0</v>
      </c>
      <c r="M80" t="n">
        <v>0</v>
      </c>
      <c r="N80" t="n">
        <v>0</v>
      </c>
      <c r="O80" t="n">
        <v>0</v>
      </c>
      <c r="P80" t="n">
        <v>0</v>
      </c>
      <c r="Q80" t="n">
        <v>1</v>
      </c>
      <c r="R80" s="2" t="inlineStr">
        <is>
          <t>Guckusko</t>
        </is>
      </c>
      <c r="S80">
        <f>HYPERLINK("https://klasma.github.io/Logging_0188/artfynd/A 6381-2023 artfynd.xlsx", "A 6381-2023")</f>
        <v/>
      </c>
      <c r="T80">
        <f>HYPERLINK("https://klasma.github.io/Logging_0188/kartor/A 6381-2023 karta.png", "A 6381-2023")</f>
        <v/>
      </c>
      <c r="V80">
        <f>HYPERLINK("https://klasma.github.io/Logging_0188/klagomål/A 6381-2023 FSC-klagomål.docx", "A 6381-2023")</f>
        <v/>
      </c>
      <c r="W80">
        <f>HYPERLINK("https://klasma.github.io/Logging_0188/klagomålsmail/A 6381-2023 FSC-klagomål mail.docx", "A 6381-2023")</f>
        <v/>
      </c>
      <c r="X80">
        <f>HYPERLINK("https://klasma.github.io/Logging_0188/tillsyn/A 6381-2023 tillsynsbegäran.docx", "A 6381-2023")</f>
        <v/>
      </c>
      <c r="Y80">
        <f>HYPERLINK("https://klasma.github.io/Logging_0188/tillsynsmail/A 6381-2023 tillsynsbegäran mail.docx", "A 6381-2023")</f>
        <v/>
      </c>
    </row>
    <row r="81" ht="15" customHeight="1">
      <c r="A81" t="inlineStr">
        <is>
          <t>A 29946-2025</t>
        </is>
      </c>
      <c r="B81" s="1" t="n">
        <v>45826.46392361111</v>
      </c>
      <c r="C81" s="1" t="n">
        <v>45917</v>
      </c>
      <c r="D81" t="inlineStr">
        <is>
          <t>STOCKHOLMS LÄN</t>
        </is>
      </c>
      <c r="E81" t="inlineStr">
        <is>
          <t>NORRTÄLJE</t>
        </is>
      </c>
      <c r="F81" t="inlineStr">
        <is>
          <t>Holmen skog AB</t>
        </is>
      </c>
      <c r="G81" t="n">
        <v>3.6</v>
      </c>
      <c r="H81" t="n">
        <v>1</v>
      </c>
      <c r="I81" t="n">
        <v>0</v>
      </c>
      <c r="J81" t="n">
        <v>0</v>
      </c>
      <c r="K81" t="n">
        <v>0</v>
      </c>
      <c r="L81" t="n">
        <v>1</v>
      </c>
      <c r="M81" t="n">
        <v>0</v>
      </c>
      <c r="N81" t="n">
        <v>0</v>
      </c>
      <c r="O81" t="n">
        <v>1</v>
      </c>
      <c r="P81" t="n">
        <v>1</v>
      </c>
      <c r="Q81" t="n">
        <v>1</v>
      </c>
      <c r="R81" s="2" t="inlineStr">
        <is>
          <t>Asknätfjäril</t>
        </is>
      </c>
      <c r="S81">
        <f>HYPERLINK("https://klasma.github.io/Logging_0188/artfynd/A 29946-2025 artfynd.xlsx", "A 29946-2025")</f>
        <v/>
      </c>
      <c r="T81">
        <f>HYPERLINK("https://klasma.github.io/Logging_0188/kartor/A 29946-2025 karta.png", "A 29946-2025")</f>
        <v/>
      </c>
      <c r="V81">
        <f>HYPERLINK("https://klasma.github.io/Logging_0188/klagomål/A 29946-2025 FSC-klagomål.docx", "A 29946-2025")</f>
        <v/>
      </c>
      <c r="W81">
        <f>HYPERLINK("https://klasma.github.io/Logging_0188/klagomålsmail/A 29946-2025 FSC-klagomål mail.docx", "A 29946-2025")</f>
        <v/>
      </c>
      <c r="X81">
        <f>HYPERLINK("https://klasma.github.io/Logging_0188/tillsyn/A 29946-2025 tillsynsbegäran.docx", "A 29946-2025")</f>
        <v/>
      </c>
      <c r="Y81">
        <f>HYPERLINK("https://klasma.github.io/Logging_0188/tillsynsmail/A 29946-2025 tillsynsbegäran mail.docx", "A 29946-2025")</f>
        <v/>
      </c>
    </row>
    <row r="82" ht="15" customHeight="1">
      <c r="A82" t="inlineStr">
        <is>
          <t>A 4595-2023</t>
        </is>
      </c>
      <c r="B82" s="1" t="n">
        <v>44956</v>
      </c>
      <c r="C82" s="1" t="n">
        <v>45917</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1162-2021</t>
        </is>
      </c>
      <c r="B83" s="1" t="n">
        <v>44207</v>
      </c>
      <c r="C83" s="1" t="n">
        <v>45917</v>
      </c>
      <c r="D83" t="inlineStr">
        <is>
          <t>STOCKHOLMS LÄN</t>
        </is>
      </c>
      <c r="E83" t="inlineStr">
        <is>
          <t>NORRTÄLJE</t>
        </is>
      </c>
      <c r="G83" t="n">
        <v>2.2</v>
      </c>
      <c r="H83" t="n">
        <v>1</v>
      </c>
      <c r="I83" t="n">
        <v>0</v>
      </c>
      <c r="J83" t="n">
        <v>0</v>
      </c>
      <c r="K83" t="n">
        <v>1</v>
      </c>
      <c r="L83" t="n">
        <v>0</v>
      </c>
      <c r="M83" t="n">
        <v>0</v>
      </c>
      <c r="N83" t="n">
        <v>0</v>
      </c>
      <c r="O83" t="n">
        <v>1</v>
      </c>
      <c r="P83" t="n">
        <v>1</v>
      </c>
      <c r="Q83" t="n">
        <v>1</v>
      </c>
      <c r="R83" s="2" t="inlineStr">
        <is>
          <t>Hällebräcka</t>
        </is>
      </c>
      <c r="S83">
        <f>HYPERLINK("https://klasma.github.io/Logging_0188/artfynd/A 1162-2021 artfynd.xlsx", "A 1162-2021")</f>
        <v/>
      </c>
      <c r="T83">
        <f>HYPERLINK("https://klasma.github.io/Logging_0188/kartor/A 1162-2021 karta.png", "A 1162-2021")</f>
        <v/>
      </c>
      <c r="V83">
        <f>HYPERLINK("https://klasma.github.io/Logging_0188/klagomål/A 1162-2021 FSC-klagomål.docx", "A 1162-2021")</f>
        <v/>
      </c>
      <c r="W83">
        <f>HYPERLINK("https://klasma.github.io/Logging_0188/klagomålsmail/A 1162-2021 FSC-klagomål mail.docx", "A 1162-2021")</f>
        <v/>
      </c>
      <c r="X83">
        <f>HYPERLINK("https://klasma.github.io/Logging_0188/tillsyn/A 1162-2021 tillsynsbegäran.docx", "A 1162-2021")</f>
        <v/>
      </c>
      <c r="Y83">
        <f>HYPERLINK("https://klasma.github.io/Logging_0188/tillsynsmail/A 1162-2021 tillsynsbegäran mail.docx", "A 1162-2021")</f>
        <v/>
      </c>
    </row>
    <row r="84" ht="15" customHeight="1">
      <c r="A84" t="inlineStr">
        <is>
          <t>A 26120-2024</t>
        </is>
      </c>
      <c r="B84" s="1" t="n">
        <v>45468.45995370371</v>
      </c>
      <c r="C84" s="1" t="n">
        <v>45917</v>
      </c>
      <c r="D84" t="inlineStr">
        <is>
          <t>STOCKHOLMS LÄN</t>
        </is>
      </c>
      <c r="E84" t="inlineStr">
        <is>
          <t>NORRTÄLJE</t>
        </is>
      </c>
      <c r="G84" t="n">
        <v>1.8</v>
      </c>
      <c r="H84" t="n">
        <v>0</v>
      </c>
      <c r="I84" t="n">
        <v>0</v>
      </c>
      <c r="J84" t="n">
        <v>1</v>
      </c>
      <c r="K84" t="n">
        <v>0</v>
      </c>
      <c r="L84" t="n">
        <v>0</v>
      </c>
      <c r="M84" t="n">
        <v>0</v>
      </c>
      <c r="N84" t="n">
        <v>0</v>
      </c>
      <c r="O84" t="n">
        <v>1</v>
      </c>
      <c r="P84" t="n">
        <v>0</v>
      </c>
      <c r="Q84" t="n">
        <v>1</v>
      </c>
      <c r="R84" s="2" t="inlineStr">
        <is>
          <t>Majviva</t>
        </is>
      </c>
      <c r="S84">
        <f>HYPERLINK("https://klasma.github.io/Logging_0188/artfynd/A 26120-2024 artfynd.xlsx", "A 26120-2024")</f>
        <v/>
      </c>
      <c r="T84">
        <f>HYPERLINK("https://klasma.github.io/Logging_0188/kartor/A 26120-2024 karta.png", "A 26120-2024")</f>
        <v/>
      </c>
      <c r="V84">
        <f>HYPERLINK("https://klasma.github.io/Logging_0188/klagomål/A 26120-2024 FSC-klagomål.docx", "A 26120-2024")</f>
        <v/>
      </c>
      <c r="W84">
        <f>HYPERLINK("https://klasma.github.io/Logging_0188/klagomålsmail/A 26120-2024 FSC-klagomål mail.docx", "A 26120-2024")</f>
        <v/>
      </c>
      <c r="X84">
        <f>HYPERLINK("https://klasma.github.io/Logging_0188/tillsyn/A 26120-2024 tillsynsbegäran.docx", "A 26120-2024")</f>
        <v/>
      </c>
      <c r="Y84">
        <f>HYPERLINK("https://klasma.github.io/Logging_0188/tillsynsmail/A 26120-2024 tillsynsbegäran mail.docx", "A 26120-2024")</f>
        <v/>
      </c>
    </row>
    <row r="85" ht="15" customHeight="1">
      <c r="A85" t="inlineStr">
        <is>
          <t>A 11429-2023</t>
        </is>
      </c>
      <c r="B85" s="1" t="n">
        <v>44993</v>
      </c>
      <c r="C85" s="1" t="n">
        <v>45917</v>
      </c>
      <c r="D85" t="inlineStr">
        <is>
          <t>STOCKHOLMS LÄN</t>
        </is>
      </c>
      <c r="E85" t="inlineStr">
        <is>
          <t>NORRTÄLJE</t>
        </is>
      </c>
      <c r="G85" t="n">
        <v>2</v>
      </c>
      <c r="H85" t="n">
        <v>0</v>
      </c>
      <c r="I85" t="n">
        <v>0</v>
      </c>
      <c r="J85" t="n">
        <v>1</v>
      </c>
      <c r="K85" t="n">
        <v>0</v>
      </c>
      <c r="L85" t="n">
        <v>0</v>
      </c>
      <c r="M85" t="n">
        <v>0</v>
      </c>
      <c r="N85" t="n">
        <v>0</v>
      </c>
      <c r="O85" t="n">
        <v>1</v>
      </c>
      <c r="P85" t="n">
        <v>0</v>
      </c>
      <c r="Q85" t="n">
        <v>1</v>
      </c>
      <c r="R85" s="2" t="inlineStr">
        <is>
          <t>Skogsklocka</t>
        </is>
      </c>
      <c r="S85">
        <f>HYPERLINK("https://klasma.github.io/Logging_0188/artfynd/A 11429-2023 artfynd.xlsx", "A 11429-2023")</f>
        <v/>
      </c>
      <c r="T85">
        <f>HYPERLINK("https://klasma.github.io/Logging_0188/kartor/A 11429-2023 karta.png", "A 11429-2023")</f>
        <v/>
      </c>
      <c r="V85">
        <f>HYPERLINK("https://klasma.github.io/Logging_0188/klagomål/A 11429-2023 FSC-klagomål.docx", "A 11429-2023")</f>
        <v/>
      </c>
      <c r="W85">
        <f>HYPERLINK("https://klasma.github.io/Logging_0188/klagomålsmail/A 11429-2023 FSC-klagomål mail.docx", "A 11429-2023")</f>
        <v/>
      </c>
      <c r="X85">
        <f>HYPERLINK("https://klasma.github.io/Logging_0188/tillsyn/A 11429-2023 tillsynsbegäran.docx", "A 11429-2023")</f>
        <v/>
      </c>
      <c r="Y85">
        <f>HYPERLINK("https://klasma.github.io/Logging_0188/tillsynsmail/A 11429-2023 tillsynsbegäran mail.docx", "A 11429-2023")</f>
        <v/>
      </c>
    </row>
    <row r="86" ht="15" customHeight="1">
      <c r="A86" t="inlineStr">
        <is>
          <t>A 33548-2025</t>
        </is>
      </c>
      <c r="B86" s="1" t="n">
        <v>45841.5721875</v>
      </c>
      <c r="C86" s="1" t="n">
        <v>45917</v>
      </c>
      <c r="D86" t="inlineStr">
        <is>
          <t>STOCKHOLMS LÄN</t>
        </is>
      </c>
      <c r="E86" t="inlineStr">
        <is>
          <t>NORRTÄLJE</t>
        </is>
      </c>
      <c r="G86" t="n">
        <v>12.2</v>
      </c>
      <c r="H86" t="n">
        <v>0</v>
      </c>
      <c r="I86" t="n">
        <v>0</v>
      </c>
      <c r="J86" t="n">
        <v>1</v>
      </c>
      <c r="K86" t="n">
        <v>0</v>
      </c>
      <c r="L86" t="n">
        <v>0</v>
      </c>
      <c r="M86" t="n">
        <v>0</v>
      </c>
      <c r="N86" t="n">
        <v>0</v>
      </c>
      <c r="O86" t="n">
        <v>1</v>
      </c>
      <c r="P86" t="n">
        <v>0</v>
      </c>
      <c r="Q86" t="n">
        <v>1</v>
      </c>
      <c r="R86" s="2" t="inlineStr">
        <is>
          <t>Dofttaggsvamp</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row>
    <row r="87" ht="15" customHeight="1">
      <c r="A87" t="inlineStr">
        <is>
          <t>A 50854-2022</t>
        </is>
      </c>
      <c r="B87" s="1" t="n">
        <v>44863</v>
      </c>
      <c r="C87" s="1" t="n">
        <v>45917</v>
      </c>
      <c r="D87" t="inlineStr">
        <is>
          <t>STOCKHOLMS LÄN</t>
        </is>
      </c>
      <c r="E87" t="inlineStr">
        <is>
          <t>NORRTÄLJE</t>
        </is>
      </c>
      <c r="G87" t="n">
        <v>2.9</v>
      </c>
      <c r="H87" t="n">
        <v>0</v>
      </c>
      <c r="I87" t="n">
        <v>1</v>
      </c>
      <c r="J87" t="n">
        <v>0</v>
      </c>
      <c r="K87" t="n">
        <v>0</v>
      </c>
      <c r="L87" t="n">
        <v>0</v>
      </c>
      <c r="M87" t="n">
        <v>0</v>
      </c>
      <c r="N87" t="n">
        <v>0</v>
      </c>
      <c r="O87" t="n">
        <v>0</v>
      </c>
      <c r="P87" t="n">
        <v>0</v>
      </c>
      <c r="Q87" t="n">
        <v>1</v>
      </c>
      <c r="R87" s="2" t="inlineStr">
        <is>
          <t>Tibast</t>
        </is>
      </c>
      <c r="S87">
        <f>HYPERLINK("https://klasma.github.io/Logging_0188/artfynd/A 50854-2022 artfynd.xlsx", "A 50854-2022")</f>
        <v/>
      </c>
      <c r="T87">
        <f>HYPERLINK("https://klasma.github.io/Logging_0188/kartor/A 50854-2022 karta.png", "A 50854-2022")</f>
        <v/>
      </c>
      <c r="V87">
        <f>HYPERLINK("https://klasma.github.io/Logging_0188/klagomål/A 50854-2022 FSC-klagomål.docx", "A 50854-2022")</f>
        <v/>
      </c>
      <c r="W87">
        <f>HYPERLINK("https://klasma.github.io/Logging_0188/klagomålsmail/A 50854-2022 FSC-klagomål mail.docx", "A 50854-2022")</f>
        <v/>
      </c>
      <c r="X87">
        <f>HYPERLINK("https://klasma.github.io/Logging_0188/tillsyn/A 50854-2022 tillsynsbegäran.docx", "A 50854-2022")</f>
        <v/>
      </c>
      <c r="Y87">
        <f>HYPERLINK("https://klasma.github.io/Logging_0188/tillsynsmail/A 50854-2022 tillsynsbegäran mail.docx", "A 50854-2022")</f>
        <v/>
      </c>
    </row>
    <row r="88" ht="15" customHeight="1">
      <c r="A88" t="inlineStr">
        <is>
          <t>A 33546-2025</t>
        </is>
      </c>
      <c r="B88" s="1" t="n">
        <v>45841.56996527778</v>
      </c>
      <c r="C88" s="1" t="n">
        <v>45917</v>
      </c>
      <c r="D88" t="inlineStr">
        <is>
          <t>STOCKHOLMS LÄN</t>
        </is>
      </c>
      <c r="E88" t="inlineStr">
        <is>
          <t>NORRTÄLJE</t>
        </is>
      </c>
      <c r="G88" t="n">
        <v>7.2</v>
      </c>
      <c r="H88" t="n">
        <v>1</v>
      </c>
      <c r="I88" t="n">
        <v>1</v>
      </c>
      <c r="J88" t="n">
        <v>0</v>
      </c>
      <c r="K88" t="n">
        <v>0</v>
      </c>
      <c r="L88" t="n">
        <v>0</v>
      </c>
      <c r="M88" t="n">
        <v>0</v>
      </c>
      <c r="N88" t="n">
        <v>0</v>
      </c>
      <c r="O88" t="n">
        <v>0</v>
      </c>
      <c r="P88" t="n">
        <v>0</v>
      </c>
      <c r="Q88" t="n">
        <v>1</v>
      </c>
      <c r="R88" s="2" t="inlineStr">
        <is>
          <t>Nästrot</t>
        </is>
      </c>
      <c r="S88">
        <f>HYPERLINK("https://klasma.github.io/Logging_0188/artfynd/A 33546-2025 artfynd.xlsx", "A 33546-2025")</f>
        <v/>
      </c>
      <c r="T88">
        <f>HYPERLINK("https://klasma.github.io/Logging_0188/kartor/A 33546-2025 karta.png", "A 33546-2025")</f>
        <v/>
      </c>
      <c r="V88">
        <f>HYPERLINK("https://klasma.github.io/Logging_0188/klagomål/A 33546-2025 FSC-klagomål.docx", "A 33546-2025")</f>
        <v/>
      </c>
      <c r="W88">
        <f>HYPERLINK("https://klasma.github.io/Logging_0188/klagomålsmail/A 33546-2025 FSC-klagomål mail.docx", "A 33546-2025")</f>
        <v/>
      </c>
      <c r="X88">
        <f>HYPERLINK("https://klasma.github.io/Logging_0188/tillsyn/A 33546-2025 tillsynsbegäran.docx", "A 33546-2025")</f>
        <v/>
      </c>
      <c r="Y88">
        <f>HYPERLINK("https://klasma.github.io/Logging_0188/tillsynsmail/A 33546-2025 tillsynsbegäran mail.docx", "A 33546-2025")</f>
        <v/>
      </c>
    </row>
    <row r="89" ht="15" customHeight="1">
      <c r="A89" t="inlineStr">
        <is>
          <t>A 39158-2025</t>
        </is>
      </c>
      <c r="B89" s="1" t="n">
        <v>45888.62712962963</v>
      </c>
      <c r="C89" s="1" t="n">
        <v>45917</v>
      </c>
      <c r="D89" t="inlineStr">
        <is>
          <t>STOCKHOLMS LÄN</t>
        </is>
      </c>
      <c r="E89" t="inlineStr">
        <is>
          <t>NORRTÄLJE</t>
        </is>
      </c>
      <c r="G89" t="n">
        <v>1.5</v>
      </c>
      <c r="H89" t="n">
        <v>1</v>
      </c>
      <c r="I89" t="n">
        <v>0</v>
      </c>
      <c r="J89" t="n">
        <v>0</v>
      </c>
      <c r="K89" t="n">
        <v>0</v>
      </c>
      <c r="L89" t="n">
        <v>0</v>
      </c>
      <c r="M89" t="n">
        <v>0</v>
      </c>
      <c r="N89" t="n">
        <v>0</v>
      </c>
      <c r="O89" t="n">
        <v>0</v>
      </c>
      <c r="P89" t="n">
        <v>0</v>
      </c>
      <c r="Q89" t="n">
        <v>1</v>
      </c>
      <c r="R89" s="2" t="inlineStr">
        <is>
          <t>Blåsippa</t>
        </is>
      </c>
      <c r="S89">
        <f>HYPERLINK("https://klasma.github.io/Logging_0188/artfynd/A 39158-2025 artfynd.xlsx", "A 39158-2025")</f>
        <v/>
      </c>
      <c r="T89">
        <f>HYPERLINK("https://klasma.github.io/Logging_0188/kartor/A 39158-2025 karta.png", "A 39158-2025")</f>
        <v/>
      </c>
      <c r="V89">
        <f>HYPERLINK("https://klasma.github.io/Logging_0188/klagomål/A 39158-2025 FSC-klagomål.docx", "A 39158-2025")</f>
        <v/>
      </c>
      <c r="W89">
        <f>HYPERLINK("https://klasma.github.io/Logging_0188/klagomålsmail/A 39158-2025 FSC-klagomål mail.docx", "A 39158-2025")</f>
        <v/>
      </c>
      <c r="X89">
        <f>HYPERLINK("https://klasma.github.io/Logging_0188/tillsyn/A 39158-2025 tillsynsbegäran.docx", "A 39158-2025")</f>
        <v/>
      </c>
      <c r="Y89">
        <f>HYPERLINK("https://klasma.github.io/Logging_0188/tillsynsmail/A 39158-2025 tillsynsbegäran mail.docx", "A 39158-2025")</f>
        <v/>
      </c>
    </row>
    <row r="90" ht="15" customHeight="1">
      <c r="A90" t="inlineStr">
        <is>
          <t>A 58888-2021</t>
        </is>
      </c>
      <c r="B90" s="1" t="n">
        <v>44489</v>
      </c>
      <c r="C90" s="1" t="n">
        <v>45917</v>
      </c>
      <c r="D90" t="inlineStr">
        <is>
          <t>STOCKHOLMS LÄN</t>
        </is>
      </c>
      <c r="E90" t="inlineStr">
        <is>
          <t>NORRTÄLJE</t>
        </is>
      </c>
      <c r="F90" t="inlineStr">
        <is>
          <t>Holmen skog AB</t>
        </is>
      </c>
      <c r="G90" t="n">
        <v>2.5</v>
      </c>
      <c r="H90" t="n">
        <v>1</v>
      </c>
      <c r="I90" t="n">
        <v>0</v>
      </c>
      <c r="J90" t="n">
        <v>0</v>
      </c>
      <c r="K90" t="n">
        <v>0</v>
      </c>
      <c r="L90" t="n">
        <v>1</v>
      </c>
      <c r="M90" t="n">
        <v>0</v>
      </c>
      <c r="N90" t="n">
        <v>0</v>
      </c>
      <c r="O90" t="n">
        <v>1</v>
      </c>
      <c r="P90" t="n">
        <v>1</v>
      </c>
      <c r="Q90" t="n">
        <v>1</v>
      </c>
      <c r="R90" s="2" t="inlineStr">
        <is>
          <t>Asknätfjäril</t>
        </is>
      </c>
      <c r="S90">
        <f>HYPERLINK("https://klasma.github.io/Logging_0188/artfynd/A 58888-2021 artfynd.xlsx", "A 58888-2021")</f>
        <v/>
      </c>
      <c r="T90">
        <f>HYPERLINK("https://klasma.github.io/Logging_0188/kartor/A 58888-2021 karta.png", "A 58888-2021")</f>
        <v/>
      </c>
      <c r="V90">
        <f>HYPERLINK("https://klasma.github.io/Logging_0188/klagomål/A 58888-2021 FSC-klagomål.docx", "A 58888-2021")</f>
        <v/>
      </c>
      <c r="W90">
        <f>HYPERLINK("https://klasma.github.io/Logging_0188/klagomålsmail/A 58888-2021 FSC-klagomål mail.docx", "A 58888-2021")</f>
        <v/>
      </c>
      <c r="X90">
        <f>HYPERLINK("https://klasma.github.io/Logging_0188/tillsyn/A 58888-2021 tillsynsbegäran.docx", "A 58888-2021")</f>
        <v/>
      </c>
      <c r="Y90">
        <f>HYPERLINK("https://klasma.github.io/Logging_0188/tillsynsmail/A 58888-2021 tillsynsbegäran mail.docx", "A 58888-2021")</f>
        <v/>
      </c>
    </row>
    <row r="91" ht="15" customHeight="1">
      <c r="A91" t="inlineStr">
        <is>
          <t>A 64456-2023</t>
        </is>
      </c>
      <c r="B91" s="1" t="n">
        <v>45280</v>
      </c>
      <c r="C91" s="1" t="n">
        <v>45917</v>
      </c>
      <c r="D91" t="inlineStr">
        <is>
          <t>STOCKHOLMS LÄN</t>
        </is>
      </c>
      <c r="E91" t="inlineStr">
        <is>
          <t>NORRTÄLJE</t>
        </is>
      </c>
      <c r="G91" t="n">
        <v>2.5</v>
      </c>
      <c r="H91" t="n">
        <v>0</v>
      </c>
      <c r="I91" t="n">
        <v>1</v>
      </c>
      <c r="J91" t="n">
        <v>0</v>
      </c>
      <c r="K91" t="n">
        <v>0</v>
      </c>
      <c r="L91" t="n">
        <v>0</v>
      </c>
      <c r="M91" t="n">
        <v>0</v>
      </c>
      <c r="N91" t="n">
        <v>0</v>
      </c>
      <c r="O91" t="n">
        <v>0</v>
      </c>
      <c r="P91" t="n">
        <v>0</v>
      </c>
      <c r="Q91" t="n">
        <v>1</v>
      </c>
      <c r="R91" s="2" t="inlineStr">
        <is>
          <t>Rödgul trumpetsvamp</t>
        </is>
      </c>
      <c r="S91">
        <f>HYPERLINK("https://klasma.github.io/Logging_0188/artfynd/A 64456-2023 artfynd.xlsx", "A 64456-2023")</f>
        <v/>
      </c>
      <c r="T91">
        <f>HYPERLINK("https://klasma.github.io/Logging_0188/kartor/A 64456-2023 karta.png", "A 64456-2023")</f>
        <v/>
      </c>
      <c r="V91">
        <f>HYPERLINK("https://klasma.github.io/Logging_0188/klagomål/A 64456-2023 FSC-klagomål.docx", "A 64456-2023")</f>
        <v/>
      </c>
      <c r="W91">
        <f>HYPERLINK("https://klasma.github.io/Logging_0188/klagomålsmail/A 64456-2023 FSC-klagomål mail.docx", "A 64456-2023")</f>
        <v/>
      </c>
      <c r="X91">
        <f>HYPERLINK("https://klasma.github.io/Logging_0188/tillsyn/A 64456-2023 tillsynsbegäran.docx", "A 64456-2023")</f>
        <v/>
      </c>
      <c r="Y91">
        <f>HYPERLINK("https://klasma.github.io/Logging_0188/tillsynsmail/A 64456-2023 tillsynsbegäran mail.docx", "A 64456-2023")</f>
        <v/>
      </c>
    </row>
    <row r="92" ht="15" customHeight="1">
      <c r="A92" t="inlineStr">
        <is>
          <t>A 40861-2025</t>
        </is>
      </c>
      <c r="B92" s="1" t="n">
        <v>45897.56356481482</v>
      </c>
      <c r="C92" s="1" t="n">
        <v>45917</v>
      </c>
      <c r="D92" t="inlineStr">
        <is>
          <t>STOCKHOLMS LÄN</t>
        </is>
      </c>
      <c r="E92" t="inlineStr">
        <is>
          <t>NORRTÄLJE</t>
        </is>
      </c>
      <c r="G92" t="n">
        <v>4</v>
      </c>
      <c r="H92" t="n">
        <v>0</v>
      </c>
      <c r="I92" t="n">
        <v>0</v>
      </c>
      <c r="J92" t="n">
        <v>1</v>
      </c>
      <c r="K92" t="n">
        <v>0</v>
      </c>
      <c r="L92" t="n">
        <v>0</v>
      </c>
      <c r="M92" t="n">
        <v>0</v>
      </c>
      <c r="N92" t="n">
        <v>0</v>
      </c>
      <c r="O92" t="n">
        <v>1</v>
      </c>
      <c r="P92" t="n">
        <v>0</v>
      </c>
      <c r="Q92" t="n">
        <v>1</v>
      </c>
      <c r="R92" s="2" t="inlineStr">
        <is>
          <t>Skogsklocka</t>
        </is>
      </c>
      <c r="S92">
        <f>HYPERLINK("https://klasma.github.io/Logging_0188/artfynd/A 40861-2025 artfynd.xlsx", "A 40861-2025")</f>
        <v/>
      </c>
      <c r="T92">
        <f>HYPERLINK("https://klasma.github.io/Logging_0188/kartor/A 40861-2025 karta.png", "A 40861-2025")</f>
        <v/>
      </c>
      <c r="V92">
        <f>HYPERLINK("https://klasma.github.io/Logging_0188/klagomål/A 40861-2025 FSC-klagomål.docx", "A 40861-2025")</f>
        <v/>
      </c>
      <c r="W92">
        <f>HYPERLINK("https://klasma.github.io/Logging_0188/klagomålsmail/A 40861-2025 FSC-klagomål mail.docx", "A 40861-2025")</f>
        <v/>
      </c>
      <c r="X92">
        <f>HYPERLINK("https://klasma.github.io/Logging_0188/tillsyn/A 40861-2025 tillsynsbegäran.docx", "A 40861-2025")</f>
        <v/>
      </c>
      <c r="Y92">
        <f>HYPERLINK("https://klasma.github.io/Logging_0188/tillsynsmail/A 40861-2025 tillsynsbegäran mail.docx", "A 40861-2025")</f>
        <v/>
      </c>
    </row>
    <row r="93" ht="15" customHeight="1">
      <c r="A93" t="inlineStr">
        <is>
          <t>A 42313-2025</t>
        </is>
      </c>
      <c r="B93" s="1" t="n">
        <v>45904.6575</v>
      </c>
      <c r="C93" s="1" t="n">
        <v>45917</v>
      </c>
      <c r="D93" t="inlineStr">
        <is>
          <t>STOCKHOLMS LÄN</t>
        </is>
      </c>
      <c r="E93" t="inlineStr">
        <is>
          <t>NORRTÄLJE</t>
        </is>
      </c>
      <c r="G93" t="n">
        <v>1.7</v>
      </c>
      <c r="H93" t="n">
        <v>1</v>
      </c>
      <c r="I93" t="n">
        <v>0</v>
      </c>
      <c r="J93" t="n">
        <v>0</v>
      </c>
      <c r="K93" t="n">
        <v>0</v>
      </c>
      <c r="L93" t="n">
        <v>0</v>
      </c>
      <c r="M93" t="n">
        <v>0</v>
      </c>
      <c r="N93" t="n">
        <v>0</v>
      </c>
      <c r="O93" t="n">
        <v>0</v>
      </c>
      <c r="P93" t="n">
        <v>0</v>
      </c>
      <c r="Q93" t="n">
        <v>1</v>
      </c>
      <c r="R93" s="2" t="inlineStr">
        <is>
          <t>Vanlig padda</t>
        </is>
      </c>
      <c r="S93">
        <f>HYPERLINK("https://klasma.github.io/Logging_0188/artfynd/A 42313-2025 artfynd.xlsx", "A 42313-2025")</f>
        <v/>
      </c>
      <c r="T93">
        <f>HYPERLINK("https://klasma.github.io/Logging_0188/kartor/A 42313-2025 karta.png", "A 42313-2025")</f>
        <v/>
      </c>
      <c r="V93">
        <f>HYPERLINK("https://klasma.github.io/Logging_0188/klagomål/A 42313-2025 FSC-klagomål.docx", "A 42313-2025")</f>
        <v/>
      </c>
      <c r="W93">
        <f>HYPERLINK("https://klasma.github.io/Logging_0188/klagomålsmail/A 42313-2025 FSC-klagomål mail.docx", "A 42313-2025")</f>
        <v/>
      </c>
      <c r="X93">
        <f>HYPERLINK("https://klasma.github.io/Logging_0188/tillsyn/A 42313-2025 tillsynsbegäran.docx", "A 42313-2025")</f>
        <v/>
      </c>
      <c r="Y93">
        <f>HYPERLINK("https://klasma.github.io/Logging_0188/tillsynsmail/A 42313-2025 tillsynsbegäran mail.docx", "A 42313-2025")</f>
        <v/>
      </c>
    </row>
    <row r="94" ht="15" customHeight="1">
      <c r="A94" t="inlineStr">
        <is>
          <t>A 21744-2023</t>
        </is>
      </c>
      <c r="B94" s="1" t="n">
        <v>45065</v>
      </c>
      <c r="C94" s="1" t="n">
        <v>45917</v>
      </c>
      <c r="D94" t="inlineStr">
        <is>
          <t>STOCKHOLMS LÄN</t>
        </is>
      </c>
      <c r="E94" t="inlineStr">
        <is>
          <t>NORRTÄLJE</t>
        </is>
      </c>
      <c r="F94" t="inlineStr">
        <is>
          <t>Holmen skog AB</t>
        </is>
      </c>
      <c r="G94" t="n">
        <v>4.2</v>
      </c>
      <c r="H94" t="n">
        <v>0</v>
      </c>
      <c r="I94" t="n">
        <v>1</v>
      </c>
      <c r="J94" t="n">
        <v>0</v>
      </c>
      <c r="K94" t="n">
        <v>0</v>
      </c>
      <c r="L94" t="n">
        <v>0</v>
      </c>
      <c r="M94" t="n">
        <v>0</v>
      </c>
      <c r="N94" t="n">
        <v>0</v>
      </c>
      <c r="O94" t="n">
        <v>0</v>
      </c>
      <c r="P94" t="n">
        <v>0</v>
      </c>
      <c r="Q94" t="n">
        <v>1</v>
      </c>
      <c r="R94" s="2" t="inlineStr">
        <is>
          <t>Korallblylav</t>
        </is>
      </c>
      <c r="S94">
        <f>HYPERLINK("https://klasma.github.io/Logging_0188/artfynd/A 21744-2023 artfynd.xlsx", "A 21744-2023")</f>
        <v/>
      </c>
      <c r="T94">
        <f>HYPERLINK("https://klasma.github.io/Logging_0188/kartor/A 21744-2023 karta.png", "A 21744-2023")</f>
        <v/>
      </c>
      <c r="V94">
        <f>HYPERLINK("https://klasma.github.io/Logging_0188/klagomål/A 21744-2023 FSC-klagomål.docx", "A 21744-2023")</f>
        <v/>
      </c>
      <c r="W94">
        <f>HYPERLINK("https://klasma.github.io/Logging_0188/klagomålsmail/A 21744-2023 FSC-klagomål mail.docx", "A 21744-2023")</f>
        <v/>
      </c>
      <c r="X94">
        <f>HYPERLINK("https://klasma.github.io/Logging_0188/tillsyn/A 21744-2023 tillsynsbegäran.docx", "A 21744-2023")</f>
        <v/>
      </c>
      <c r="Y94">
        <f>HYPERLINK("https://klasma.github.io/Logging_0188/tillsynsmail/A 21744-2023 tillsynsbegäran mail.docx", "A 21744-2023")</f>
        <v/>
      </c>
    </row>
    <row r="95" ht="15" customHeight="1">
      <c r="A95" t="inlineStr">
        <is>
          <t>A 17952-2022</t>
        </is>
      </c>
      <c r="B95" s="1" t="n">
        <v>44683</v>
      </c>
      <c r="C95" s="1" t="n">
        <v>45917</v>
      </c>
      <c r="D95" t="inlineStr">
        <is>
          <t>STOCKHOLMS LÄN</t>
        </is>
      </c>
      <c r="E95" t="inlineStr">
        <is>
          <t>NORRTÄLJE</t>
        </is>
      </c>
      <c r="G95" t="n">
        <v>51.1</v>
      </c>
      <c r="H95" t="n">
        <v>0</v>
      </c>
      <c r="I95" t="n">
        <v>0</v>
      </c>
      <c r="J95" t="n">
        <v>0</v>
      </c>
      <c r="K95" t="n">
        <v>1</v>
      </c>
      <c r="L95" t="n">
        <v>0</v>
      </c>
      <c r="M95" t="n">
        <v>0</v>
      </c>
      <c r="N95" t="n">
        <v>0</v>
      </c>
      <c r="O95" t="n">
        <v>1</v>
      </c>
      <c r="P95" t="n">
        <v>1</v>
      </c>
      <c r="Q95" t="n">
        <v>1</v>
      </c>
      <c r="R95" s="2" t="inlineStr">
        <is>
          <t>Kattunvisslare</t>
        </is>
      </c>
      <c r="S95">
        <f>HYPERLINK("https://klasma.github.io/Logging_0188/artfynd/A 17952-2022 artfynd.xlsx", "A 17952-2022")</f>
        <v/>
      </c>
      <c r="T95">
        <f>HYPERLINK("https://klasma.github.io/Logging_0188/kartor/A 17952-2022 karta.png", "A 17952-2022")</f>
        <v/>
      </c>
      <c r="V95">
        <f>HYPERLINK("https://klasma.github.io/Logging_0188/klagomål/A 17952-2022 FSC-klagomål.docx", "A 17952-2022")</f>
        <v/>
      </c>
      <c r="W95">
        <f>HYPERLINK("https://klasma.github.io/Logging_0188/klagomålsmail/A 17952-2022 FSC-klagomål mail.docx", "A 17952-2022")</f>
        <v/>
      </c>
      <c r="X95">
        <f>HYPERLINK("https://klasma.github.io/Logging_0188/tillsyn/A 17952-2022 tillsynsbegäran.docx", "A 17952-2022")</f>
        <v/>
      </c>
      <c r="Y95">
        <f>HYPERLINK("https://klasma.github.io/Logging_0188/tillsynsmail/A 17952-2022 tillsynsbegäran mail.docx", "A 17952-2022")</f>
        <v/>
      </c>
    </row>
    <row r="96" ht="15" customHeight="1">
      <c r="A96" t="inlineStr">
        <is>
          <t>A 8371-2025</t>
        </is>
      </c>
      <c r="B96" s="1" t="n">
        <v>45708</v>
      </c>
      <c r="C96" s="1" t="n">
        <v>45917</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52611-2024</t>
        </is>
      </c>
      <c r="B97" s="1" t="n">
        <v>45609.83747685186</v>
      </c>
      <c r="C97" s="1" t="n">
        <v>45917</v>
      </c>
      <c r="D97" t="inlineStr">
        <is>
          <t>STOCKHOLMS LÄN</t>
        </is>
      </c>
      <c r="E97" t="inlineStr">
        <is>
          <t>NORRTÄLJE</t>
        </is>
      </c>
      <c r="G97" t="n">
        <v>10.6</v>
      </c>
      <c r="H97" t="n">
        <v>1</v>
      </c>
      <c r="I97" t="n">
        <v>0</v>
      </c>
      <c r="J97" t="n">
        <v>0</v>
      </c>
      <c r="K97" t="n">
        <v>0</v>
      </c>
      <c r="L97" t="n">
        <v>0</v>
      </c>
      <c r="M97" t="n">
        <v>0</v>
      </c>
      <c r="N97" t="n">
        <v>0</v>
      </c>
      <c r="O97" t="n">
        <v>0</v>
      </c>
      <c r="P97" t="n">
        <v>0</v>
      </c>
      <c r="Q97" t="n">
        <v>1</v>
      </c>
      <c r="R97" s="2" t="inlineStr">
        <is>
          <t>Blåsippa</t>
        </is>
      </c>
      <c r="S97">
        <f>HYPERLINK("https://klasma.github.io/Logging_0188/artfynd/A 52611-2024 artfynd.xlsx", "A 52611-2024")</f>
        <v/>
      </c>
      <c r="T97">
        <f>HYPERLINK("https://klasma.github.io/Logging_0188/kartor/A 52611-2024 karta.png", "A 52611-2024")</f>
        <v/>
      </c>
      <c r="V97">
        <f>HYPERLINK("https://klasma.github.io/Logging_0188/klagomål/A 52611-2024 FSC-klagomål.docx", "A 52611-2024")</f>
        <v/>
      </c>
      <c r="W97">
        <f>HYPERLINK("https://klasma.github.io/Logging_0188/klagomålsmail/A 52611-2024 FSC-klagomål mail.docx", "A 52611-2024")</f>
        <v/>
      </c>
      <c r="X97">
        <f>HYPERLINK("https://klasma.github.io/Logging_0188/tillsyn/A 52611-2024 tillsynsbegäran.docx", "A 52611-2024")</f>
        <v/>
      </c>
      <c r="Y97">
        <f>HYPERLINK("https://klasma.github.io/Logging_0188/tillsynsmail/A 52611-2024 tillsynsbegäran mail.docx", "A 52611-2024")</f>
        <v/>
      </c>
    </row>
    <row r="98" ht="15" customHeight="1">
      <c r="A98" t="inlineStr">
        <is>
          <t>A 23146-2024</t>
        </is>
      </c>
      <c r="B98" s="1" t="n">
        <v>45450.63958333333</v>
      </c>
      <c r="C98" s="1" t="n">
        <v>45917</v>
      </c>
      <c r="D98" t="inlineStr">
        <is>
          <t>STOCKHOLMS LÄN</t>
        </is>
      </c>
      <c r="E98" t="inlineStr">
        <is>
          <t>NORRTÄLJE</t>
        </is>
      </c>
      <c r="F98" t="inlineStr">
        <is>
          <t>Kommuner</t>
        </is>
      </c>
      <c r="G98" t="n">
        <v>6</v>
      </c>
      <c r="H98" t="n">
        <v>0</v>
      </c>
      <c r="I98" t="n">
        <v>0</v>
      </c>
      <c r="J98" t="n">
        <v>1</v>
      </c>
      <c r="K98" t="n">
        <v>0</v>
      </c>
      <c r="L98" t="n">
        <v>0</v>
      </c>
      <c r="M98" t="n">
        <v>0</v>
      </c>
      <c r="N98" t="n">
        <v>0</v>
      </c>
      <c r="O98" t="n">
        <v>1</v>
      </c>
      <c r="P98" t="n">
        <v>0</v>
      </c>
      <c r="Q98" t="n">
        <v>1</v>
      </c>
      <c r="R98" s="2" t="inlineStr">
        <is>
          <t>Motaggsvamp</t>
        </is>
      </c>
      <c r="S98">
        <f>HYPERLINK("https://klasma.github.io/Logging_0188/artfynd/A 23146-2024 artfynd.xlsx", "A 23146-2024")</f>
        <v/>
      </c>
      <c r="T98">
        <f>HYPERLINK("https://klasma.github.io/Logging_0188/kartor/A 23146-2024 karta.png", "A 23146-2024")</f>
        <v/>
      </c>
      <c r="V98">
        <f>HYPERLINK("https://klasma.github.io/Logging_0188/klagomål/A 23146-2024 FSC-klagomål.docx", "A 23146-2024")</f>
        <v/>
      </c>
      <c r="W98">
        <f>HYPERLINK("https://klasma.github.io/Logging_0188/klagomålsmail/A 23146-2024 FSC-klagomål mail.docx", "A 23146-2024")</f>
        <v/>
      </c>
      <c r="X98">
        <f>HYPERLINK("https://klasma.github.io/Logging_0188/tillsyn/A 23146-2024 tillsynsbegäran.docx", "A 23146-2024")</f>
        <v/>
      </c>
      <c r="Y98">
        <f>HYPERLINK("https://klasma.github.io/Logging_0188/tillsynsmail/A 23146-2024 tillsynsbegäran mail.docx", "A 23146-2024")</f>
        <v/>
      </c>
    </row>
    <row r="99" ht="15" customHeight="1">
      <c r="A99" t="inlineStr">
        <is>
          <t>A 52508-2023</t>
        </is>
      </c>
      <c r="B99" s="1" t="n">
        <v>45225</v>
      </c>
      <c r="C99" s="1" t="n">
        <v>45917</v>
      </c>
      <c r="D99" t="inlineStr">
        <is>
          <t>STOCKHOLMS LÄN</t>
        </is>
      </c>
      <c r="E99" t="inlineStr">
        <is>
          <t>NORRTÄLJE</t>
        </is>
      </c>
      <c r="G99" t="n">
        <v>19.7</v>
      </c>
      <c r="H99" t="n">
        <v>1</v>
      </c>
      <c r="I99" t="n">
        <v>0</v>
      </c>
      <c r="J99" t="n">
        <v>0</v>
      </c>
      <c r="K99" t="n">
        <v>1</v>
      </c>
      <c r="L99" t="n">
        <v>0</v>
      </c>
      <c r="M99" t="n">
        <v>0</v>
      </c>
      <c r="N99" t="n">
        <v>0</v>
      </c>
      <c r="O99" t="n">
        <v>1</v>
      </c>
      <c r="P99" t="n">
        <v>1</v>
      </c>
      <c r="Q99" t="n">
        <v>1</v>
      </c>
      <c r="R99" s="2" t="inlineStr">
        <is>
          <t>Svärta</t>
        </is>
      </c>
      <c r="S99">
        <f>HYPERLINK("https://klasma.github.io/Logging_0188/artfynd/A 52508-2023 artfynd.xlsx", "A 52508-2023")</f>
        <v/>
      </c>
      <c r="T99">
        <f>HYPERLINK("https://klasma.github.io/Logging_0188/kartor/A 52508-2023 karta.png", "A 52508-2023")</f>
        <v/>
      </c>
      <c r="V99">
        <f>HYPERLINK("https://klasma.github.io/Logging_0188/klagomål/A 52508-2023 FSC-klagomål.docx", "A 52508-2023")</f>
        <v/>
      </c>
      <c r="W99">
        <f>HYPERLINK("https://klasma.github.io/Logging_0188/klagomålsmail/A 52508-2023 FSC-klagomål mail.docx", "A 52508-2023")</f>
        <v/>
      </c>
      <c r="X99">
        <f>HYPERLINK("https://klasma.github.io/Logging_0188/tillsyn/A 52508-2023 tillsynsbegäran.docx", "A 52508-2023")</f>
        <v/>
      </c>
      <c r="Y99">
        <f>HYPERLINK("https://klasma.github.io/Logging_0188/tillsynsmail/A 52508-2023 tillsynsbegäran mail.docx", "A 52508-2023")</f>
        <v/>
      </c>
    </row>
    <row r="100" ht="15" customHeight="1">
      <c r="A100" t="inlineStr">
        <is>
          <t>A 27538-2024</t>
        </is>
      </c>
      <c r="B100" s="1" t="n">
        <v>45474</v>
      </c>
      <c r="C100" s="1" t="n">
        <v>45917</v>
      </c>
      <c r="D100" t="inlineStr">
        <is>
          <t>STOCKHOLMS LÄN</t>
        </is>
      </c>
      <c r="E100" t="inlineStr">
        <is>
          <t>NORRTÄLJE</t>
        </is>
      </c>
      <c r="G100" t="n">
        <v>1.5</v>
      </c>
      <c r="H100" t="n">
        <v>1</v>
      </c>
      <c r="I100" t="n">
        <v>1</v>
      </c>
      <c r="J100" t="n">
        <v>0</v>
      </c>
      <c r="K100" t="n">
        <v>0</v>
      </c>
      <c r="L100" t="n">
        <v>0</v>
      </c>
      <c r="M100" t="n">
        <v>0</v>
      </c>
      <c r="N100" t="n">
        <v>0</v>
      </c>
      <c r="O100" t="n">
        <v>0</v>
      </c>
      <c r="P100" t="n">
        <v>0</v>
      </c>
      <c r="Q100" t="n">
        <v>1</v>
      </c>
      <c r="R100" s="2" t="inlineStr">
        <is>
          <t>Skogsknipprot</t>
        </is>
      </c>
      <c r="S100">
        <f>HYPERLINK("https://klasma.github.io/Logging_0188/artfynd/A 27538-2024 artfynd.xlsx", "A 27538-2024")</f>
        <v/>
      </c>
      <c r="T100">
        <f>HYPERLINK("https://klasma.github.io/Logging_0188/kartor/A 27538-2024 karta.png", "A 27538-2024")</f>
        <v/>
      </c>
      <c r="V100">
        <f>HYPERLINK("https://klasma.github.io/Logging_0188/klagomål/A 27538-2024 FSC-klagomål.docx", "A 27538-2024")</f>
        <v/>
      </c>
      <c r="W100">
        <f>HYPERLINK("https://klasma.github.io/Logging_0188/klagomålsmail/A 27538-2024 FSC-klagomål mail.docx", "A 27538-2024")</f>
        <v/>
      </c>
      <c r="X100">
        <f>HYPERLINK("https://klasma.github.io/Logging_0188/tillsyn/A 27538-2024 tillsynsbegäran.docx", "A 27538-2024")</f>
        <v/>
      </c>
      <c r="Y100">
        <f>HYPERLINK("https://klasma.github.io/Logging_0188/tillsynsmail/A 27538-2024 tillsynsbegäran mail.docx", "A 27538-2024")</f>
        <v/>
      </c>
    </row>
    <row r="101" ht="15" customHeight="1">
      <c r="A101" t="inlineStr">
        <is>
          <t>A 13271-2025</t>
        </is>
      </c>
      <c r="B101" s="1" t="n">
        <v>45735.54510416667</v>
      </c>
      <c r="C101" s="1" t="n">
        <v>45917</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4385-2023</t>
        </is>
      </c>
      <c r="B102" s="1" t="n">
        <v>44955.71322916666</v>
      </c>
      <c r="C102" s="1" t="n">
        <v>45917</v>
      </c>
      <c r="D102" t="inlineStr">
        <is>
          <t>STOCKHOLMS LÄN</t>
        </is>
      </c>
      <c r="E102" t="inlineStr">
        <is>
          <t>NORRTÄLJE</t>
        </is>
      </c>
      <c r="G102" t="n">
        <v>7.8</v>
      </c>
      <c r="H102" t="n">
        <v>1</v>
      </c>
      <c r="I102" t="n">
        <v>1</v>
      </c>
      <c r="J102" t="n">
        <v>0</v>
      </c>
      <c r="K102" t="n">
        <v>0</v>
      </c>
      <c r="L102" t="n">
        <v>0</v>
      </c>
      <c r="M102" t="n">
        <v>0</v>
      </c>
      <c r="N102" t="n">
        <v>0</v>
      </c>
      <c r="O102" t="n">
        <v>0</v>
      </c>
      <c r="P102" t="n">
        <v>0</v>
      </c>
      <c r="Q102" t="n">
        <v>1</v>
      </c>
      <c r="R102" s="2" t="inlineStr">
        <is>
          <t>Skogsknipprot</t>
        </is>
      </c>
      <c r="S102">
        <f>HYPERLINK("https://klasma.github.io/Logging_0188/artfynd/A 4385-2023 artfynd.xlsx", "A 4385-2023")</f>
        <v/>
      </c>
      <c r="T102">
        <f>HYPERLINK("https://klasma.github.io/Logging_0188/kartor/A 4385-2023 karta.png", "A 4385-2023")</f>
        <v/>
      </c>
      <c r="V102">
        <f>HYPERLINK("https://klasma.github.io/Logging_0188/klagomål/A 4385-2023 FSC-klagomål.docx", "A 4385-2023")</f>
        <v/>
      </c>
      <c r="W102">
        <f>HYPERLINK("https://klasma.github.io/Logging_0188/klagomålsmail/A 4385-2023 FSC-klagomål mail.docx", "A 4385-2023")</f>
        <v/>
      </c>
      <c r="X102">
        <f>HYPERLINK("https://klasma.github.io/Logging_0188/tillsyn/A 4385-2023 tillsynsbegäran.docx", "A 4385-2023")</f>
        <v/>
      </c>
      <c r="Y102">
        <f>HYPERLINK("https://klasma.github.io/Logging_0188/tillsynsmail/A 4385-2023 tillsynsbegäran mail.docx", "A 4385-2023")</f>
        <v/>
      </c>
    </row>
    <row r="103" ht="15" customHeight="1">
      <c r="A103" t="inlineStr">
        <is>
          <t>A 48131-2023</t>
        </is>
      </c>
      <c r="B103" s="1" t="n">
        <v>45205</v>
      </c>
      <c r="C103" s="1" t="n">
        <v>45917</v>
      </c>
      <c r="D103" t="inlineStr">
        <is>
          <t>STOCKHOLMS LÄN</t>
        </is>
      </c>
      <c r="E103" t="inlineStr">
        <is>
          <t>NORRTÄLJE</t>
        </is>
      </c>
      <c r="G103" t="n">
        <v>2.3</v>
      </c>
      <c r="H103" t="n">
        <v>0</v>
      </c>
      <c r="I103" t="n">
        <v>0</v>
      </c>
      <c r="J103" t="n">
        <v>1</v>
      </c>
      <c r="K103" t="n">
        <v>0</v>
      </c>
      <c r="L103" t="n">
        <v>0</v>
      </c>
      <c r="M103" t="n">
        <v>0</v>
      </c>
      <c r="N103" t="n">
        <v>0</v>
      </c>
      <c r="O103" t="n">
        <v>1</v>
      </c>
      <c r="P103" t="n">
        <v>0</v>
      </c>
      <c r="Q103" t="n">
        <v>1</v>
      </c>
      <c r="R103" s="2" t="inlineStr">
        <is>
          <t>Slåtterfibbla</t>
        </is>
      </c>
      <c r="S103">
        <f>HYPERLINK("https://klasma.github.io/Logging_0188/artfynd/A 48131-2023 artfynd.xlsx", "A 48131-2023")</f>
        <v/>
      </c>
      <c r="T103">
        <f>HYPERLINK("https://klasma.github.io/Logging_0188/kartor/A 48131-2023 karta.png", "A 48131-2023")</f>
        <v/>
      </c>
      <c r="V103">
        <f>HYPERLINK("https://klasma.github.io/Logging_0188/klagomål/A 48131-2023 FSC-klagomål.docx", "A 48131-2023")</f>
        <v/>
      </c>
      <c r="W103">
        <f>HYPERLINK("https://klasma.github.io/Logging_0188/klagomålsmail/A 48131-2023 FSC-klagomål mail.docx", "A 48131-2023")</f>
        <v/>
      </c>
      <c r="X103">
        <f>HYPERLINK("https://klasma.github.io/Logging_0188/tillsyn/A 48131-2023 tillsynsbegäran.docx", "A 48131-2023")</f>
        <v/>
      </c>
      <c r="Y103">
        <f>HYPERLINK("https://klasma.github.io/Logging_0188/tillsynsmail/A 48131-2023 tillsynsbegäran mail.docx", "A 48131-2023")</f>
        <v/>
      </c>
    </row>
    <row r="104" ht="15" customHeight="1">
      <c r="A104" t="inlineStr">
        <is>
          <t>A 24330-2023</t>
        </is>
      </c>
      <c r="B104" s="1" t="n">
        <v>45081</v>
      </c>
      <c r="C104" s="1" t="n">
        <v>45917</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24535-2023</t>
        </is>
      </c>
      <c r="B105" s="1" t="n">
        <v>45082</v>
      </c>
      <c r="C105" s="1" t="n">
        <v>45917</v>
      </c>
      <c r="D105" t="inlineStr">
        <is>
          <t>STOCKHOLMS LÄN</t>
        </is>
      </c>
      <c r="E105" t="inlineStr">
        <is>
          <t>NORRTÄLJE</t>
        </is>
      </c>
      <c r="F105" t="inlineStr">
        <is>
          <t>Kommuner</t>
        </is>
      </c>
      <c r="G105" t="n">
        <v>2</v>
      </c>
      <c r="H105" t="n">
        <v>1</v>
      </c>
      <c r="I105" t="n">
        <v>0</v>
      </c>
      <c r="J105" t="n">
        <v>0</v>
      </c>
      <c r="K105" t="n">
        <v>0</v>
      </c>
      <c r="L105" t="n">
        <v>0</v>
      </c>
      <c r="M105" t="n">
        <v>0</v>
      </c>
      <c r="N105" t="n">
        <v>0</v>
      </c>
      <c r="O105" t="n">
        <v>0</v>
      </c>
      <c r="P105" t="n">
        <v>0</v>
      </c>
      <c r="Q105" t="n">
        <v>1</v>
      </c>
      <c r="R105" s="2" t="inlineStr">
        <is>
          <t>Blåsippa</t>
        </is>
      </c>
      <c r="S105">
        <f>HYPERLINK("https://klasma.github.io/Logging_0188/artfynd/A 24535-2023 artfynd.xlsx", "A 24535-2023")</f>
        <v/>
      </c>
      <c r="T105">
        <f>HYPERLINK("https://klasma.github.io/Logging_0188/kartor/A 24535-2023 karta.png", "A 24535-2023")</f>
        <v/>
      </c>
      <c r="V105">
        <f>HYPERLINK("https://klasma.github.io/Logging_0188/klagomål/A 24535-2023 FSC-klagomål.docx", "A 24535-2023")</f>
        <v/>
      </c>
      <c r="W105">
        <f>HYPERLINK("https://klasma.github.io/Logging_0188/klagomålsmail/A 24535-2023 FSC-klagomål mail.docx", "A 24535-2023")</f>
        <v/>
      </c>
      <c r="X105">
        <f>HYPERLINK("https://klasma.github.io/Logging_0188/tillsyn/A 24535-2023 tillsynsbegäran.docx", "A 24535-2023")</f>
        <v/>
      </c>
      <c r="Y105">
        <f>HYPERLINK("https://klasma.github.io/Logging_0188/tillsynsmail/A 24535-2023 tillsynsbegäran mail.docx", "A 24535-2023")</f>
        <v/>
      </c>
    </row>
    <row r="106" ht="15" customHeight="1">
      <c r="A106" t="inlineStr">
        <is>
          <t>A 26635-2023</t>
        </is>
      </c>
      <c r="B106" s="1" t="n">
        <v>45092</v>
      </c>
      <c r="C106" s="1" t="n">
        <v>45917</v>
      </c>
      <c r="D106" t="inlineStr">
        <is>
          <t>STOCKHOLMS LÄN</t>
        </is>
      </c>
      <c r="E106" t="inlineStr">
        <is>
          <t>NORRTÄLJE</t>
        </is>
      </c>
      <c r="G106" t="n">
        <v>3.1</v>
      </c>
      <c r="H106" t="n">
        <v>1</v>
      </c>
      <c r="I106" t="n">
        <v>0</v>
      </c>
      <c r="J106" t="n">
        <v>0</v>
      </c>
      <c r="K106" t="n">
        <v>0</v>
      </c>
      <c r="L106" t="n">
        <v>0</v>
      </c>
      <c r="M106" t="n">
        <v>0</v>
      </c>
      <c r="N106" t="n">
        <v>0</v>
      </c>
      <c r="O106" t="n">
        <v>0</v>
      </c>
      <c r="P106" t="n">
        <v>0</v>
      </c>
      <c r="Q106" t="n">
        <v>1</v>
      </c>
      <c r="R106" s="2" t="inlineStr">
        <is>
          <t>Fläcknycklar</t>
        </is>
      </c>
      <c r="S106">
        <f>HYPERLINK("https://klasma.github.io/Logging_0188/artfynd/A 26635-2023 artfynd.xlsx", "A 26635-2023")</f>
        <v/>
      </c>
      <c r="T106">
        <f>HYPERLINK("https://klasma.github.io/Logging_0188/kartor/A 26635-2023 karta.png", "A 26635-2023")</f>
        <v/>
      </c>
      <c r="V106">
        <f>HYPERLINK("https://klasma.github.io/Logging_0188/klagomål/A 26635-2023 FSC-klagomål.docx", "A 26635-2023")</f>
        <v/>
      </c>
      <c r="W106">
        <f>HYPERLINK("https://klasma.github.io/Logging_0188/klagomålsmail/A 26635-2023 FSC-klagomål mail.docx", "A 26635-2023")</f>
        <v/>
      </c>
      <c r="X106">
        <f>HYPERLINK("https://klasma.github.io/Logging_0188/tillsyn/A 26635-2023 tillsynsbegäran.docx", "A 26635-2023")</f>
        <v/>
      </c>
      <c r="Y106">
        <f>HYPERLINK("https://klasma.github.io/Logging_0188/tillsynsmail/A 26635-2023 tillsynsbegäran mail.docx", "A 26635-2023")</f>
        <v/>
      </c>
    </row>
    <row r="107" ht="15" customHeight="1">
      <c r="A107" t="inlineStr">
        <is>
          <t>A 27827-2022</t>
        </is>
      </c>
      <c r="B107" s="1" t="n">
        <v>44743.59504629629</v>
      </c>
      <c r="C107" s="1" t="n">
        <v>45917</v>
      </c>
      <c r="D107" t="inlineStr">
        <is>
          <t>STOCKHOLMS LÄN</t>
        </is>
      </c>
      <c r="E107" t="inlineStr">
        <is>
          <t>NORRTÄLJE</t>
        </is>
      </c>
      <c r="F107" t="inlineStr">
        <is>
          <t>Holmen skog AB</t>
        </is>
      </c>
      <c r="G107" t="n">
        <v>4.7</v>
      </c>
      <c r="H107" t="n">
        <v>1</v>
      </c>
      <c r="I107" t="n">
        <v>0</v>
      </c>
      <c r="J107" t="n">
        <v>1</v>
      </c>
      <c r="K107" t="n">
        <v>0</v>
      </c>
      <c r="L107" t="n">
        <v>0</v>
      </c>
      <c r="M107" t="n">
        <v>0</v>
      </c>
      <c r="N107" t="n">
        <v>0</v>
      </c>
      <c r="O107" t="n">
        <v>1</v>
      </c>
      <c r="P107" t="n">
        <v>0</v>
      </c>
      <c r="Q107" t="n">
        <v>1</v>
      </c>
      <c r="R107" s="2" t="inlineStr">
        <is>
          <t>Nordfladdermus</t>
        </is>
      </c>
      <c r="S107">
        <f>HYPERLINK("https://klasma.github.io/Logging_0188/artfynd/A 27827-2022 artfynd.xlsx", "A 27827-2022")</f>
        <v/>
      </c>
      <c r="T107">
        <f>HYPERLINK("https://klasma.github.io/Logging_0188/kartor/A 27827-2022 karta.png", "A 27827-2022")</f>
        <v/>
      </c>
      <c r="V107">
        <f>HYPERLINK("https://klasma.github.io/Logging_0188/klagomål/A 27827-2022 FSC-klagomål.docx", "A 27827-2022")</f>
        <v/>
      </c>
      <c r="W107">
        <f>HYPERLINK("https://klasma.github.io/Logging_0188/klagomålsmail/A 27827-2022 FSC-klagomål mail.docx", "A 27827-2022")</f>
        <v/>
      </c>
      <c r="X107">
        <f>HYPERLINK("https://klasma.github.io/Logging_0188/tillsyn/A 27827-2022 tillsynsbegäran.docx", "A 27827-2022")</f>
        <v/>
      </c>
      <c r="Y107">
        <f>HYPERLINK("https://klasma.github.io/Logging_0188/tillsynsmail/A 27827-2022 tillsynsbegäran mail.docx", "A 27827-2022")</f>
        <v/>
      </c>
    </row>
    <row r="108" ht="15" customHeight="1">
      <c r="A108" t="inlineStr">
        <is>
          <t>A 19829-2022</t>
        </is>
      </c>
      <c r="B108" s="1" t="n">
        <v>44695.43527777777</v>
      </c>
      <c r="C108" s="1" t="n">
        <v>45917</v>
      </c>
      <c r="D108" t="inlineStr">
        <is>
          <t>STOCKHOLMS LÄN</t>
        </is>
      </c>
      <c r="E108" t="inlineStr">
        <is>
          <t>NORRTÄLJE</t>
        </is>
      </c>
      <c r="G108" t="n">
        <v>2</v>
      </c>
      <c r="H108" t="n">
        <v>1</v>
      </c>
      <c r="I108" t="n">
        <v>1</v>
      </c>
      <c r="J108" t="n">
        <v>0</v>
      </c>
      <c r="K108" t="n">
        <v>0</v>
      </c>
      <c r="L108" t="n">
        <v>0</v>
      </c>
      <c r="M108" t="n">
        <v>0</v>
      </c>
      <c r="N108" t="n">
        <v>0</v>
      </c>
      <c r="O108" t="n">
        <v>0</v>
      </c>
      <c r="P108" t="n">
        <v>0</v>
      </c>
      <c r="Q108" t="n">
        <v>1</v>
      </c>
      <c r="R108" s="2" t="inlineStr">
        <is>
          <t>Guckusko</t>
        </is>
      </c>
      <c r="S108">
        <f>HYPERLINK("https://klasma.github.io/Logging_0188/artfynd/A 19829-2022 artfynd.xlsx", "A 19829-2022")</f>
        <v/>
      </c>
      <c r="T108">
        <f>HYPERLINK("https://klasma.github.io/Logging_0188/kartor/A 19829-2022 karta.png", "A 19829-2022")</f>
        <v/>
      </c>
      <c r="V108">
        <f>HYPERLINK("https://klasma.github.io/Logging_0188/klagomål/A 19829-2022 FSC-klagomål.docx", "A 19829-2022")</f>
        <v/>
      </c>
      <c r="W108">
        <f>HYPERLINK("https://klasma.github.io/Logging_0188/klagomålsmail/A 19829-2022 FSC-klagomål mail.docx", "A 19829-2022")</f>
        <v/>
      </c>
      <c r="X108">
        <f>HYPERLINK("https://klasma.github.io/Logging_0188/tillsyn/A 19829-2022 tillsynsbegäran.docx", "A 19829-2022")</f>
        <v/>
      </c>
      <c r="Y108">
        <f>HYPERLINK("https://klasma.github.io/Logging_0188/tillsynsmail/A 19829-2022 tillsynsbegäran mail.docx", "A 19829-2022")</f>
        <v/>
      </c>
    </row>
    <row r="109" ht="15" customHeight="1">
      <c r="A109" t="inlineStr">
        <is>
          <t>A 21927-2025</t>
        </is>
      </c>
      <c r="B109" s="1" t="n">
        <v>45784.54878472222</v>
      </c>
      <c r="C109" s="1" t="n">
        <v>45917</v>
      </c>
      <c r="D109" t="inlineStr">
        <is>
          <t>STOCKHOLMS LÄN</t>
        </is>
      </c>
      <c r="E109" t="inlineStr">
        <is>
          <t>NORRTÄLJE</t>
        </is>
      </c>
      <c r="G109" t="n">
        <v>3.4</v>
      </c>
      <c r="H109" t="n">
        <v>1</v>
      </c>
      <c r="I109" t="n">
        <v>1</v>
      </c>
      <c r="J109" t="n">
        <v>0</v>
      </c>
      <c r="K109" t="n">
        <v>0</v>
      </c>
      <c r="L109" t="n">
        <v>0</v>
      </c>
      <c r="M109" t="n">
        <v>0</v>
      </c>
      <c r="N109" t="n">
        <v>0</v>
      </c>
      <c r="O109" t="n">
        <v>0</v>
      </c>
      <c r="P109" t="n">
        <v>0</v>
      </c>
      <c r="Q109" t="n">
        <v>1</v>
      </c>
      <c r="R109" s="2" t="inlineStr">
        <is>
          <t>Nästrot</t>
        </is>
      </c>
      <c r="S109">
        <f>HYPERLINK("https://klasma.github.io/Logging_0188/artfynd/A 21927-2025 artfynd.xlsx", "A 21927-2025")</f>
        <v/>
      </c>
      <c r="T109">
        <f>HYPERLINK("https://klasma.github.io/Logging_0188/kartor/A 21927-2025 karta.png", "A 21927-2025")</f>
        <v/>
      </c>
      <c r="V109">
        <f>HYPERLINK("https://klasma.github.io/Logging_0188/klagomål/A 21927-2025 FSC-klagomål.docx", "A 21927-2025")</f>
        <v/>
      </c>
      <c r="W109">
        <f>HYPERLINK("https://klasma.github.io/Logging_0188/klagomålsmail/A 21927-2025 FSC-klagomål mail.docx", "A 21927-2025")</f>
        <v/>
      </c>
      <c r="X109">
        <f>HYPERLINK("https://klasma.github.io/Logging_0188/tillsyn/A 21927-2025 tillsynsbegäran.docx", "A 21927-2025")</f>
        <v/>
      </c>
      <c r="Y109">
        <f>HYPERLINK("https://klasma.github.io/Logging_0188/tillsynsmail/A 21927-2025 tillsynsbegäran mail.docx", "A 21927-2025")</f>
        <v/>
      </c>
    </row>
    <row r="110" ht="15" customHeight="1">
      <c r="A110" t="inlineStr">
        <is>
          <t>A 9955-2022</t>
        </is>
      </c>
      <c r="B110" s="1" t="n">
        <v>44620</v>
      </c>
      <c r="C110" s="1" t="n">
        <v>45917</v>
      </c>
      <c r="D110" t="inlineStr">
        <is>
          <t>STOCKHOLMS LÄN</t>
        </is>
      </c>
      <c r="E110" t="inlineStr">
        <is>
          <t>NORRTÄLJE</t>
        </is>
      </c>
      <c r="G110" t="n">
        <v>7.8</v>
      </c>
      <c r="H110" t="n">
        <v>1</v>
      </c>
      <c r="I110" t="n">
        <v>0</v>
      </c>
      <c r="J110" t="n">
        <v>0</v>
      </c>
      <c r="K110" t="n">
        <v>0</v>
      </c>
      <c r="L110" t="n">
        <v>0</v>
      </c>
      <c r="M110" t="n">
        <v>0</v>
      </c>
      <c r="N110" t="n">
        <v>0</v>
      </c>
      <c r="O110" t="n">
        <v>0</v>
      </c>
      <c r="P110" t="n">
        <v>0</v>
      </c>
      <c r="Q110" t="n">
        <v>1</v>
      </c>
      <c r="R110" s="2" t="inlineStr">
        <is>
          <t>Åkergroda</t>
        </is>
      </c>
      <c r="S110">
        <f>HYPERLINK("https://klasma.github.io/Logging_0188/artfynd/A 9955-2022 artfynd.xlsx", "A 9955-2022")</f>
        <v/>
      </c>
      <c r="T110">
        <f>HYPERLINK("https://klasma.github.io/Logging_0188/kartor/A 9955-2022 karta.png", "A 9955-2022")</f>
        <v/>
      </c>
      <c r="V110">
        <f>HYPERLINK("https://klasma.github.io/Logging_0188/klagomål/A 9955-2022 FSC-klagomål.docx", "A 9955-2022")</f>
        <v/>
      </c>
      <c r="W110">
        <f>HYPERLINK("https://klasma.github.io/Logging_0188/klagomålsmail/A 9955-2022 FSC-klagomål mail.docx", "A 9955-2022")</f>
        <v/>
      </c>
      <c r="X110">
        <f>HYPERLINK("https://klasma.github.io/Logging_0188/tillsyn/A 9955-2022 tillsynsbegäran.docx", "A 9955-2022")</f>
        <v/>
      </c>
      <c r="Y110">
        <f>HYPERLINK("https://klasma.github.io/Logging_0188/tillsynsmail/A 9955-2022 tillsynsbegäran mail.docx", "A 9955-2022")</f>
        <v/>
      </c>
    </row>
    <row r="111" ht="15" customHeight="1">
      <c r="A111" t="inlineStr">
        <is>
          <t>A 23905-2025</t>
        </is>
      </c>
      <c r="B111" s="1" t="n">
        <v>45794.63298611111</v>
      </c>
      <c r="C111" s="1" t="n">
        <v>45917</v>
      </c>
      <c r="D111" t="inlineStr">
        <is>
          <t>STOCKHOLMS LÄN</t>
        </is>
      </c>
      <c r="E111" t="inlineStr">
        <is>
          <t>NORRTÄLJE</t>
        </is>
      </c>
      <c r="G111" t="n">
        <v>8.4</v>
      </c>
      <c r="H111" t="n">
        <v>1</v>
      </c>
      <c r="I111" t="n">
        <v>0</v>
      </c>
      <c r="J111" t="n">
        <v>0</v>
      </c>
      <c r="K111" t="n">
        <v>0</v>
      </c>
      <c r="L111" t="n">
        <v>0</v>
      </c>
      <c r="M111" t="n">
        <v>0</v>
      </c>
      <c r="N111" t="n">
        <v>0</v>
      </c>
      <c r="O111" t="n">
        <v>0</v>
      </c>
      <c r="P111" t="n">
        <v>0</v>
      </c>
      <c r="Q111" t="n">
        <v>1</v>
      </c>
      <c r="R111" s="2" t="inlineStr">
        <is>
          <t>Blåsippa</t>
        </is>
      </c>
      <c r="S111">
        <f>HYPERLINK("https://klasma.github.io/Logging_0188/artfynd/A 23905-2025 artfynd.xlsx", "A 23905-2025")</f>
        <v/>
      </c>
      <c r="T111">
        <f>HYPERLINK("https://klasma.github.io/Logging_0188/kartor/A 23905-2025 karta.png", "A 23905-2025")</f>
        <v/>
      </c>
      <c r="V111">
        <f>HYPERLINK("https://klasma.github.io/Logging_0188/klagomål/A 23905-2025 FSC-klagomål.docx", "A 23905-2025")</f>
        <v/>
      </c>
      <c r="W111">
        <f>HYPERLINK("https://klasma.github.io/Logging_0188/klagomålsmail/A 23905-2025 FSC-klagomål mail.docx", "A 23905-2025")</f>
        <v/>
      </c>
      <c r="X111">
        <f>HYPERLINK("https://klasma.github.io/Logging_0188/tillsyn/A 23905-2025 tillsynsbegäran.docx", "A 23905-2025")</f>
        <v/>
      </c>
      <c r="Y111">
        <f>HYPERLINK("https://klasma.github.io/Logging_0188/tillsynsmail/A 23905-2025 tillsynsbegäran mail.docx", "A 23905-2025")</f>
        <v/>
      </c>
    </row>
    <row r="112" ht="15" customHeight="1">
      <c r="A112" t="inlineStr">
        <is>
          <t>A 25687-2025</t>
        </is>
      </c>
      <c r="B112" s="1" t="n">
        <v>45800</v>
      </c>
      <c r="C112" s="1" t="n">
        <v>45917</v>
      </c>
      <c r="D112" t="inlineStr">
        <is>
          <t>STOCKHOLMS LÄN</t>
        </is>
      </c>
      <c r="E112" t="inlineStr">
        <is>
          <t>NORRTÄLJE</t>
        </is>
      </c>
      <c r="G112" t="n">
        <v>15.7</v>
      </c>
      <c r="H112" t="n">
        <v>0</v>
      </c>
      <c r="I112" t="n">
        <v>1</v>
      </c>
      <c r="J112" t="n">
        <v>0</v>
      </c>
      <c r="K112" t="n">
        <v>0</v>
      </c>
      <c r="L112" t="n">
        <v>0</v>
      </c>
      <c r="M112" t="n">
        <v>0</v>
      </c>
      <c r="N112" t="n">
        <v>0</v>
      </c>
      <c r="O112" t="n">
        <v>0</v>
      </c>
      <c r="P112" t="n">
        <v>0</v>
      </c>
      <c r="Q112" t="n">
        <v>1</v>
      </c>
      <c r="R112" s="2" t="inlineStr">
        <is>
          <t>Grönpyrola</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row>
    <row r="113" ht="15" customHeight="1">
      <c r="A113" t="inlineStr">
        <is>
          <t>A 35649-2023</t>
        </is>
      </c>
      <c r="B113" s="1" t="n">
        <v>45146</v>
      </c>
      <c r="C113" s="1" t="n">
        <v>45917</v>
      </c>
      <c r="D113" t="inlineStr">
        <is>
          <t>STOCKHOLMS LÄN</t>
        </is>
      </c>
      <c r="E113" t="inlineStr">
        <is>
          <t>NORRTÄLJE</t>
        </is>
      </c>
      <c r="G113" t="n">
        <v>25.1</v>
      </c>
      <c r="H113" t="n">
        <v>0</v>
      </c>
      <c r="I113" t="n">
        <v>0</v>
      </c>
      <c r="J113" t="n">
        <v>1</v>
      </c>
      <c r="K113" t="n">
        <v>0</v>
      </c>
      <c r="L113" t="n">
        <v>0</v>
      </c>
      <c r="M113" t="n">
        <v>0</v>
      </c>
      <c r="N113" t="n">
        <v>0</v>
      </c>
      <c r="O113" t="n">
        <v>1</v>
      </c>
      <c r="P113" t="n">
        <v>0</v>
      </c>
      <c r="Q113" t="n">
        <v>1</v>
      </c>
      <c r="R113" s="2" t="inlineStr">
        <is>
          <t>Månlåsbräken</t>
        </is>
      </c>
      <c r="S113">
        <f>HYPERLINK("https://klasma.github.io/Logging_0188/artfynd/A 35649-2023 artfynd.xlsx", "A 35649-2023")</f>
        <v/>
      </c>
      <c r="T113">
        <f>HYPERLINK("https://klasma.github.io/Logging_0188/kartor/A 35649-2023 karta.png", "A 35649-2023")</f>
        <v/>
      </c>
      <c r="V113">
        <f>HYPERLINK("https://klasma.github.io/Logging_0188/klagomål/A 35649-2023 FSC-klagomål.docx", "A 35649-2023")</f>
        <v/>
      </c>
      <c r="W113">
        <f>HYPERLINK("https://klasma.github.io/Logging_0188/klagomålsmail/A 35649-2023 FSC-klagomål mail.docx", "A 35649-2023")</f>
        <v/>
      </c>
      <c r="X113">
        <f>HYPERLINK("https://klasma.github.io/Logging_0188/tillsyn/A 35649-2023 tillsynsbegäran.docx", "A 35649-2023")</f>
        <v/>
      </c>
      <c r="Y113">
        <f>HYPERLINK("https://klasma.github.io/Logging_0188/tillsynsmail/A 35649-2023 tillsynsbegäran mail.docx", "A 35649-2023")</f>
        <v/>
      </c>
    </row>
    <row r="114" ht="15" customHeight="1">
      <c r="A114" t="inlineStr">
        <is>
          <t>A 35764-2024</t>
        </is>
      </c>
      <c r="B114" s="1" t="n">
        <v>45532</v>
      </c>
      <c r="C114" s="1" t="n">
        <v>45917</v>
      </c>
      <c r="D114" t="inlineStr">
        <is>
          <t>STOCKHOLMS LÄN</t>
        </is>
      </c>
      <c r="E114" t="inlineStr">
        <is>
          <t>NORRTÄLJE</t>
        </is>
      </c>
      <c r="G114" t="n">
        <v>14.2</v>
      </c>
      <c r="H114" t="n">
        <v>1</v>
      </c>
      <c r="I114" t="n">
        <v>0</v>
      </c>
      <c r="J114" t="n">
        <v>0</v>
      </c>
      <c r="K114" t="n">
        <v>1</v>
      </c>
      <c r="L114" t="n">
        <v>0</v>
      </c>
      <c r="M114" t="n">
        <v>0</v>
      </c>
      <c r="N114" t="n">
        <v>0</v>
      </c>
      <c r="O114" t="n">
        <v>1</v>
      </c>
      <c r="P114" t="n">
        <v>1</v>
      </c>
      <c r="Q114" t="n">
        <v>1</v>
      </c>
      <c r="R114" s="2" t="inlineStr">
        <is>
          <t>Knärot</t>
        </is>
      </c>
      <c r="S114">
        <f>HYPERLINK("https://klasma.github.io/Logging_0188/artfynd/A 35764-2024 artfynd.xlsx", "A 35764-2024")</f>
        <v/>
      </c>
      <c r="T114">
        <f>HYPERLINK("https://klasma.github.io/Logging_0188/kartor/A 35764-2024 karta.png", "A 35764-2024")</f>
        <v/>
      </c>
      <c r="U114">
        <f>HYPERLINK("https://klasma.github.io/Logging_0188/knärot/A 35764-2024 karta knärot.png", "A 35764-2024")</f>
        <v/>
      </c>
      <c r="V114">
        <f>HYPERLINK("https://klasma.github.io/Logging_0188/klagomål/A 35764-2024 FSC-klagomål.docx", "A 35764-2024")</f>
        <v/>
      </c>
      <c r="W114">
        <f>HYPERLINK("https://klasma.github.io/Logging_0188/klagomålsmail/A 35764-2024 FSC-klagomål mail.docx", "A 35764-2024")</f>
        <v/>
      </c>
      <c r="X114">
        <f>HYPERLINK("https://klasma.github.io/Logging_0188/tillsyn/A 35764-2024 tillsynsbegäran.docx", "A 35764-2024")</f>
        <v/>
      </c>
      <c r="Y114">
        <f>HYPERLINK("https://klasma.github.io/Logging_0188/tillsynsmail/A 35764-2024 tillsynsbegäran mail.docx", "A 35764-2024")</f>
        <v/>
      </c>
    </row>
    <row r="115" ht="15" customHeight="1">
      <c r="A115" t="inlineStr">
        <is>
          <t>A 4532-2025</t>
        </is>
      </c>
      <c r="B115" s="1" t="n">
        <v>45687.34177083334</v>
      </c>
      <c r="C115" s="1" t="n">
        <v>45917</v>
      </c>
      <c r="D115" t="inlineStr">
        <is>
          <t>STOCKHOLMS LÄN</t>
        </is>
      </c>
      <c r="E115" t="inlineStr">
        <is>
          <t>NORRTÄLJE</t>
        </is>
      </c>
      <c r="F115" t="inlineStr">
        <is>
          <t>Holmen skog AB</t>
        </is>
      </c>
      <c r="G115" t="n">
        <v>6.4</v>
      </c>
      <c r="H115" t="n">
        <v>1</v>
      </c>
      <c r="I115" t="n">
        <v>0</v>
      </c>
      <c r="J115" t="n">
        <v>0</v>
      </c>
      <c r="K115" t="n">
        <v>0</v>
      </c>
      <c r="L115" t="n">
        <v>1</v>
      </c>
      <c r="M115" t="n">
        <v>0</v>
      </c>
      <c r="N115" t="n">
        <v>0</v>
      </c>
      <c r="O115" t="n">
        <v>1</v>
      </c>
      <c r="P115" t="n">
        <v>1</v>
      </c>
      <c r="Q115" t="n">
        <v>1</v>
      </c>
      <c r="R115" s="2" t="inlineStr">
        <is>
          <t>Asknätfjäril</t>
        </is>
      </c>
      <c r="S115">
        <f>HYPERLINK("https://klasma.github.io/Logging_0188/artfynd/A 4532-2025 artfynd.xlsx", "A 4532-2025")</f>
        <v/>
      </c>
      <c r="T115">
        <f>HYPERLINK("https://klasma.github.io/Logging_0188/kartor/A 4532-2025 karta.png", "A 4532-2025")</f>
        <v/>
      </c>
      <c r="V115">
        <f>HYPERLINK("https://klasma.github.io/Logging_0188/klagomål/A 4532-2025 FSC-klagomål.docx", "A 4532-2025")</f>
        <v/>
      </c>
      <c r="W115">
        <f>HYPERLINK("https://klasma.github.io/Logging_0188/klagomålsmail/A 4532-2025 FSC-klagomål mail.docx", "A 4532-2025")</f>
        <v/>
      </c>
      <c r="X115">
        <f>HYPERLINK("https://klasma.github.io/Logging_0188/tillsyn/A 4532-2025 tillsynsbegäran.docx", "A 4532-2025")</f>
        <v/>
      </c>
      <c r="Y115">
        <f>HYPERLINK("https://klasma.github.io/Logging_0188/tillsynsmail/A 4532-2025 tillsynsbegäran mail.docx", "A 4532-2025")</f>
        <v/>
      </c>
    </row>
    <row r="116" ht="15" customHeight="1">
      <c r="A116" t="inlineStr">
        <is>
          <t>A 16870-2025</t>
        </is>
      </c>
      <c r="B116" s="1" t="n">
        <v>45754</v>
      </c>
      <c r="C116" s="1" t="n">
        <v>45917</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1970-2021</t>
        </is>
      </c>
      <c r="B117" s="1" t="n">
        <v>44210</v>
      </c>
      <c r="C117" s="1" t="n">
        <v>45917</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45917</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45917</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45917</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71543-2021</t>
        </is>
      </c>
      <c r="B121" s="1" t="n">
        <v>44540</v>
      </c>
      <c r="C121" s="1" t="n">
        <v>45917</v>
      </c>
      <c r="D121" t="inlineStr">
        <is>
          <t>STOCKHOLMS LÄN</t>
        </is>
      </c>
      <c r="E121" t="inlineStr">
        <is>
          <t>NORRTÄLJE</t>
        </is>
      </c>
      <c r="G121" t="n">
        <v>1.8</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45917</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45917</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45917</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45917</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45917</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45917</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45917</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45917</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45917</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45917</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45917</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11821-2022</t>
        </is>
      </c>
      <c r="B133" s="1" t="n">
        <v>44634</v>
      </c>
      <c r="C133" s="1" t="n">
        <v>45917</v>
      </c>
      <c r="D133" t="inlineStr">
        <is>
          <t>STOCKHOLMS LÄN</t>
        </is>
      </c>
      <c r="E133" t="inlineStr">
        <is>
          <t>NORRTÄLJE</t>
        </is>
      </c>
      <c r="G133" t="n">
        <v>1.1</v>
      </c>
      <c r="H133" t="n">
        <v>0</v>
      </c>
      <c r="I133" t="n">
        <v>0</v>
      </c>
      <c r="J133" t="n">
        <v>0</v>
      </c>
      <c r="K133" t="n">
        <v>0</v>
      </c>
      <c r="L133" t="n">
        <v>0</v>
      </c>
      <c r="M133" t="n">
        <v>0</v>
      </c>
      <c r="N133" t="n">
        <v>0</v>
      </c>
      <c r="O133" t="n">
        <v>0</v>
      </c>
      <c r="P133" t="n">
        <v>0</v>
      </c>
      <c r="Q133" t="n">
        <v>0</v>
      </c>
      <c r="R133" s="2" t="inlineStr"/>
    </row>
    <row r="134" ht="15" customHeight="1">
      <c r="A134" t="inlineStr">
        <is>
          <t>A 2977-2022</t>
        </is>
      </c>
      <c r="B134" s="1" t="n">
        <v>44581.75819444445</v>
      </c>
      <c r="C134" s="1" t="n">
        <v>45917</v>
      </c>
      <c r="D134" t="inlineStr">
        <is>
          <t>STOCKHOLMS LÄN</t>
        </is>
      </c>
      <c r="E134" t="inlineStr">
        <is>
          <t>NORRTÄLJE</t>
        </is>
      </c>
      <c r="G134" t="n">
        <v>0.9</v>
      </c>
      <c r="H134" t="n">
        <v>0</v>
      </c>
      <c r="I134" t="n">
        <v>0</v>
      </c>
      <c r="J134" t="n">
        <v>0</v>
      </c>
      <c r="K134" t="n">
        <v>0</v>
      </c>
      <c r="L134" t="n">
        <v>0</v>
      </c>
      <c r="M134" t="n">
        <v>0</v>
      </c>
      <c r="N134" t="n">
        <v>0</v>
      </c>
      <c r="O134" t="n">
        <v>0</v>
      </c>
      <c r="P134" t="n">
        <v>0</v>
      </c>
      <c r="Q134" t="n">
        <v>0</v>
      </c>
      <c r="R134" s="2" t="inlineStr"/>
    </row>
    <row r="135" ht="15" customHeight="1">
      <c r="A135" t="inlineStr">
        <is>
          <t>A 73855-2021</t>
        </is>
      </c>
      <c r="B135" s="1" t="n">
        <v>44552</v>
      </c>
      <c r="C135" s="1" t="n">
        <v>45917</v>
      </c>
      <c r="D135" t="inlineStr">
        <is>
          <t>STOCKHOLMS LÄN</t>
        </is>
      </c>
      <c r="E135" t="inlineStr">
        <is>
          <t>NORRTÄLJE</t>
        </is>
      </c>
      <c r="F135" t="inlineStr">
        <is>
          <t>Övriga Aktiebolag</t>
        </is>
      </c>
      <c r="G135" t="n">
        <v>4</v>
      </c>
      <c r="H135" t="n">
        <v>0</v>
      </c>
      <c r="I135" t="n">
        <v>0</v>
      </c>
      <c r="J135" t="n">
        <v>0</v>
      </c>
      <c r="K135" t="n">
        <v>0</v>
      </c>
      <c r="L135" t="n">
        <v>0</v>
      </c>
      <c r="M135" t="n">
        <v>0</v>
      </c>
      <c r="N135" t="n">
        <v>0</v>
      </c>
      <c r="O135" t="n">
        <v>0</v>
      </c>
      <c r="P135" t="n">
        <v>0</v>
      </c>
      <c r="Q135" t="n">
        <v>0</v>
      </c>
      <c r="R135" s="2" t="inlineStr"/>
    </row>
    <row r="136" ht="15" customHeight="1">
      <c r="A136" t="inlineStr">
        <is>
          <t>A 74468-2021</t>
        </is>
      </c>
      <c r="B136" s="1" t="n">
        <v>44560</v>
      </c>
      <c r="C136" s="1" t="n">
        <v>45917</v>
      </c>
      <c r="D136" t="inlineStr">
        <is>
          <t>STOCKHOLMS LÄN</t>
        </is>
      </c>
      <c r="E136" t="inlineStr">
        <is>
          <t>NORRTÄLJE</t>
        </is>
      </c>
      <c r="G136" t="n">
        <v>0.5</v>
      </c>
      <c r="H136" t="n">
        <v>0</v>
      </c>
      <c r="I136" t="n">
        <v>0</v>
      </c>
      <c r="J136" t="n">
        <v>0</v>
      </c>
      <c r="K136" t="n">
        <v>0</v>
      </c>
      <c r="L136" t="n">
        <v>0</v>
      </c>
      <c r="M136" t="n">
        <v>0</v>
      </c>
      <c r="N136" t="n">
        <v>0</v>
      </c>
      <c r="O136" t="n">
        <v>0</v>
      </c>
      <c r="P136" t="n">
        <v>0</v>
      </c>
      <c r="Q136" t="n">
        <v>0</v>
      </c>
      <c r="R136" s="2" t="inlineStr"/>
    </row>
    <row r="137" ht="15" customHeight="1">
      <c r="A137" t="inlineStr">
        <is>
          <t>A 54272-2021</t>
        </is>
      </c>
      <c r="B137" s="1" t="n">
        <v>44470.72148148148</v>
      </c>
      <c r="C137" s="1" t="n">
        <v>45917</v>
      </c>
      <c r="D137" t="inlineStr">
        <is>
          <t>STOCKHOLMS LÄN</t>
        </is>
      </c>
      <c r="E137" t="inlineStr">
        <is>
          <t>NORRTÄLJE</t>
        </is>
      </c>
      <c r="G137" t="n">
        <v>5.8</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45917</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45917</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45917</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45917</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45917</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45917</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45917</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45917</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45917</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45917</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45917</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45917</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45917</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45917</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45917</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45917</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45917</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45917</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45917</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45917</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45917</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45917</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45917</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45917</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45917</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45917</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45917</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45917</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45917</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45917</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45917</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45917</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45917</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45917</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45917</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45917</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45917</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45917</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45917</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45917</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45917</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45917</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45917</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45917</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45917</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45917</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45917</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53690-2020</t>
        </is>
      </c>
      <c r="B185" s="1" t="n">
        <v>44124</v>
      </c>
      <c r="C185" s="1" t="n">
        <v>45917</v>
      </c>
      <c r="D185" t="inlineStr">
        <is>
          <t>STOCKHOLMS LÄN</t>
        </is>
      </c>
      <c r="E185" t="inlineStr">
        <is>
          <t>NORRTÄLJE</t>
        </is>
      </c>
      <c r="G185" t="n">
        <v>0.5</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45917</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45917</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45917</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45917</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45917</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45917</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45917</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45917</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45917</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45917</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45917</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45917</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45917</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45917</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45917</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45917</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45917</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60813-2021</t>
        </is>
      </c>
      <c r="B203" s="1" t="n">
        <v>44496</v>
      </c>
      <c r="C203" s="1" t="n">
        <v>45917</v>
      </c>
      <c r="D203" t="inlineStr">
        <is>
          <t>STOCKHOLMS LÄN</t>
        </is>
      </c>
      <c r="E203" t="inlineStr">
        <is>
          <t>NORRTÄLJE</t>
        </is>
      </c>
      <c r="G203" t="n">
        <v>1.6</v>
      </c>
      <c r="H203" t="n">
        <v>0</v>
      </c>
      <c r="I203" t="n">
        <v>0</v>
      </c>
      <c r="J203" t="n">
        <v>0</v>
      </c>
      <c r="K203" t="n">
        <v>0</v>
      </c>
      <c r="L203" t="n">
        <v>0</v>
      </c>
      <c r="M203" t="n">
        <v>0</v>
      </c>
      <c r="N203" t="n">
        <v>0</v>
      </c>
      <c r="O203" t="n">
        <v>0</v>
      </c>
      <c r="P203" t="n">
        <v>0</v>
      </c>
      <c r="Q203" t="n">
        <v>0</v>
      </c>
      <c r="R203" s="2" t="inlineStr"/>
    </row>
    <row r="204" ht="15" customHeight="1">
      <c r="A204" t="inlineStr">
        <is>
          <t>A 65611-2021</t>
        </is>
      </c>
      <c r="B204" s="1" t="n">
        <v>44516.5275462963</v>
      </c>
      <c r="C204" s="1" t="n">
        <v>45917</v>
      </c>
      <c r="D204" t="inlineStr">
        <is>
          <t>STOCKHOLMS LÄN</t>
        </is>
      </c>
      <c r="E204" t="inlineStr">
        <is>
          <t>NORRTÄLJE</t>
        </is>
      </c>
      <c r="G204" t="n">
        <v>2.5</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45917</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45917</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45917</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45917</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45917</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45917</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45917</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45917</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71871-2021</t>
        </is>
      </c>
      <c r="B213" s="1" t="n">
        <v>44543</v>
      </c>
      <c r="C213" s="1" t="n">
        <v>45917</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71873-2021</t>
        </is>
      </c>
      <c r="B214" s="1" t="n">
        <v>44543</v>
      </c>
      <c r="C214" s="1" t="n">
        <v>45917</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5562-2021</t>
        </is>
      </c>
      <c r="B215" s="1" t="n">
        <v>44230</v>
      </c>
      <c r="C215" s="1" t="n">
        <v>45917</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5566-2021</t>
        </is>
      </c>
      <c r="B216" s="1" t="n">
        <v>44230</v>
      </c>
      <c r="C216" s="1" t="n">
        <v>45917</v>
      </c>
      <c r="D216" t="inlineStr">
        <is>
          <t>STOCKHOLMS LÄN</t>
        </is>
      </c>
      <c r="E216" t="inlineStr">
        <is>
          <t>NORRTÄLJE</t>
        </is>
      </c>
      <c r="G216" t="n">
        <v>3.1</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45917</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45917</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24167-2022</t>
        </is>
      </c>
      <c r="B219" s="1" t="n">
        <v>44725.49491898148</v>
      </c>
      <c r="C219" s="1" t="n">
        <v>45917</v>
      </c>
      <c r="D219" t="inlineStr">
        <is>
          <t>STOCKHOLMS LÄN</t>
        </is>
      </c>
      <c r="E219" t="inlineStr">
        <is>
          <t>NORRTÄLJE</t>
        </is>
      </c>
      <c r="G219" t="n">
        <v>3.4</v>
      </c>
      <c r="H219" t="n">
        <v>0</v>
      </c>
      <c r="I219" t="n">
        <v>0</v>
      </c>
      <c r="J219" t="n">
        <v>0</v>
      </c>
      <c r="K219" t="n">
        <v>0</v>
      </c>
      <c r="L219" t="n">
        <v>0</v>
      </c>
      <c r="M219" t="n">
        <v>0</v>
      </c>
      <c r="N219" t="n">
        <v>0</v>
      </c>
      <c r="O219" t="n">
        <v>0</v>
      </c>
      <c r="P219" t="n">
        <v>0</v>
      </c>
      <c r="Q219" t="n">
        <v>0</v>
      </c>
      <c r="R219" s="2" t="inlineStr"/>
    </row>
    <row r="220" ht="15" customHeight="1">
      <c r="A220" t="inlineStr">
        <is>
          <t>A 42396-2021</t>
        </is>
      </c>
      <c r="B220" s="1" t="n">
        <v>44427</v>
      </c>
      <c r="C220" s="1" t="n">
        <v>45917</v>
      </c>
      <c r="D220" t="inlineStr">
        <is>
          <t>STOCKHOLMS LÄN</t>
        </is>
      </c>
      <c r="E220" t="inlineStr">
        <is>
          <t>NORRTÄLJE</t>
        </is>
      </c>
      <c r="G220" t="n">
        <v>2</v>
      </c>
      <c r="H220" t="n">
        <v>0</v>
      </c>
      <c r="I220" t="n">
        <v>0</v>
      </c>
      <c r="J220" t="n">
        <v>0</v>
      </c>
      <c r="K220" t="n">
        <v>0</v>
      </c>
      <c r="L220" t="n">
        <v>0</v>
      </c>
      <c r="M220" t="n">
        <v>0</v>
      </c>
      <c r="N220" t="n">
        <v>0</v>
      </c>
      <c r="O220" t="n">
        <v>0</v>
      </c>
      <c r="P220" t="n">
        <v>0</v>
      </c>
      <c r="Q220" t="n">
        <v>0</v>
      </c>
      <c r="R220" s="2" t="inlineStr"/>
    </row>
    <row r="221" ht="15" customHeight="1">
      <c r="A221" t="inlineStr">
        <is>
          <t>A 52139-2022</t>
        </is>
      </c>
      <c r="B221" s="1" t="n">
        <v>44868</v>
      </c>
      <c r="C221" s="1" t="n">
        <v>45917</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9446-2021</t>
        </is>
      </c>
      <c r="B222" s="1" t="n">
        <v>44251</v>
      </c>
      <c r="C222" s="1" t="n">
        <v>45917</v>
      </c>
      <c r="D222" t="inlineStr">
        <is>
          <t>STOCKHOLMS LÄN</t>
        </is>
      </c>
      <c r="E222" t="inlineStr">
        <is>
          <t>NORRTÄLJE</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9988-2022</t>
        </is>
      </c>
      <c r="B223" s="1" t="n">
        <v>44621</v>
      </c>
      <c r="C223" s="1" t="n">
        <v>45917</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15226-2022</t>
        </is>
      </c>
      <c r="B224" s="1" t="n">
        <v>44658</v>
      </c>
      <c r="C224" s="1" t="n">
        <v>45917</v>
      </c>
      <c r="D224" t="inlineStr">
        <is>
          <t>STOCKHOLMS LÄN</t>
        </is>
      </c>
      <c r="E224" t="inlineStr">
        <is>
          <t>NORRTÄLJE</t>
        </is>
      </c>
      <c r="G224" t="n">
        <v>1.1</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45917</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48071-2020</t>
        </is>
      </c>
      <c r="B226" s="1" t="n">
        <v>44100</v>
      </c>
      <c r="C226" s="1" t="n">
        <v>45917</v>
      </c>
      <c r="D226" t="inlineStr">
        <is>
          <t>STOCKHOLMS LÄN</t>
        </is>
      </c>
      <c r="E226" t="inlineStr">
        <is>
          <t>NORRTÄLJE</t>
        </is>
      </c>
      <c r="G226" t="n">
        <v>6.8</v>
      </c>
      <c r="H226" t="n">
        <v>0</v>
      </c>
      <c r="I226" t="n">
        <v>0</v>
      </c>
      <c r="J226" t="n">
        <v>0</v>
      </c>
      <c r="K226" t="n">
        <v>0</v>
      </c>
      <c r="L226" t="n">
        <v>0</v>
      </c>
      <c r="M226" t="n">
        <v>0</v>
      </c>
      <c r="N226" t="n">
        <v>0</v>
      </c>
      <c r="O226" t="n">
        <v>0</v>
      </c>
      <c r="P226" t="n">
        <v>0</v>
      </c>
      <c r="Q226" t="n">
        <v>0</v>
      </c>
      <c r="R226" s="2" t="inlineStr"/>
    </row>
    <row r="227" ht="15" customHeight="1">
      <c r="A227" t="inlineStr">
        <is>
          <t>A 3300-2022</t>
        </is>
      </c>
      <c r="B227" s="1" t="n">
        <v>44584.91538194445</v>
      </c>
      <c r="C227" s="1" t="n">
        <v>45917</v>
      </c>
      <c r="D227" t="inlineStr">
        <is>
          <t>STOCKHOLMS LÄN</t>
        </is>
      </c>
      <c r="E227" t="inlineStr">
        <is>
          <t>NORRTÄLJE</t>
        </is>
      </c>
      <c r="G227" t="n">
        <v>0.4</v>
      </c>
      <c r="H227" t="n">
        <v>0</v>
      </c>
      <c r="I227" t="n">
        <v>0</v>
      </c>
      <c r="J227" t="n">
        <v>0</v>
      </c>
      <c r="K227" t="n">
        <v>0</v>
      </c>
      <c r="L227" t="n">
        <v>0</v>
      </c>
      <c r="M227" t="n">
        <v>0</v>
      </c>
      <c r="N227" t="n">
        <v>0</v>
      </c>
      <c r="O227" t="n">
        <v>0</v>
      </c>
      <c r="P227" t="n">
        <v>0</v>
      </c>
      <c r="Q227" t="n">
        <v>0</v>
      </c>
      <c r="R227" s="2" t="inlineStr"/>
    </row>
    <row r="228" ht="15" customHeight="1">
      <c r="A228" t="inlineStr">
        <is>
          <t>A 17388-2022</t>
        </is>
      </c>
      <c r="B228" s="1" t="n">
        <v>44678</v>
      </c>
      <c r="C228" s="1" t="n">
        <v>45917</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38991-2022</t>
        </is>
      </c>
      <c r="B229" s="1" t="n">
        <v>44816.89569444444</v>
      </c>
      <c r="C229" s="1" t="n">
        <v>45917</v>
      </c>
      <c r="D229" t="inlineStr">
        <is>
          <t>STOCKHOLMS LÄN</t>
        </is>
      </c>
      <c r="E229" t="inlineStr">
        <is>
          <t>NORRTÄLJE</t>
        </is>
      </c>
      <c r="G229" t="n">
        <v>1.9</v>
      </c>
      <c r="H229" t="n">
        <v>0</v>
      </c>
      <c r="I229" t="n">
        <v>0</v>
      </c>
      <c r="J229" t="n">
        <v>0</v>
      </c>
      <c r="K229" t="n">
        <v>0</v>
      </c>
      <c r="L229" t="n">
        <v>0</v>
      </c>
      <c r="M229" t="n">
        <v>0</v>
      </c>
      <c r="N229" t="n">
        <v>0</v>
      </c>
      <c r="O229" t="n">
        <v>0</v>
      </c>
      <c r="P229" t="n">
        <v>0</v>
      </c>
      <c r="Q229" t="n">
        <v>0</v>
      </c>
      <c r="R229" s="2" t="inlineStr"/>
    </row>
    <row r="230" ht="15" customHeight="1">
      <c r="A230" t="inlineStr">
        <is>
          <t>A 2732-2022</t>
        </is>
      </c>
      <c r="B230" s="1" t="n">
        <v>44580</v>
      </c>
      <c r="C230" s="1" t="n">
        <v>45917</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17771-2022</t>
        </is>
      </c>
      <c r="B231" s="1" t="n">
        <v>44682.75924768519</v>
      </c>
      <c r="C231" s="1" t="n">
        <v>45917</v>
      </c>
      <c r="D231" t="inlineStr">
        <is>
          <t>STOCKHOLMS LÄN</t>
        </is>
      </c>
      <c r="E231" t="inlineStr">
        <is>
          <t>NORRTÄLJE</t>
        </is>
      </c>
      <c r="G231" t="n">
        <v>13.3</v>
      </c>
      <c r="H231" t="n">
        <v>0</v>
      </c>
      <c r="I231" t="n">
        <v>0</v>
      </c>
      <c r="J231" t="n">
        <v>0</v>
      </c>
      <c r="K231" t="n">
        <v>0</v>
      </c>
      <c r="L231" t="n">
        <v>0</v>
      </c>
      <c r="M231" t="n">
        <v>0</v>
      </c>
      <c r="N231" t="n">
        <v>0</v>
      </c>
      <c r="O231" t="n">
        <v>0</v>
      </c>
      <c r="P231" t="n">
        <v>0</v>
      </c>
      <c r="Q231" t="n">
        <v>0</v>
      </c>
      <c r="R231" s="2" t="inlineStr"/>
    </row>
    <row r="232" ht="15" customHeight="1">
      <c r="A232" t="inlineStr">
        <is>
          <t>A 17773-2022</t>
        </is>
      </c>
      <c r="B232" s="1" t="n">
        <v>44682.77616898148</v>
      </c>
      <c r="C232" s="1" t="n">
        <v>45917</v>
      </c>
      <c r="D232" t="inlineStr">
        <is>
          <t>STOCKHOLMS LÄN</t>
        </is>
      </c>
      <c r="E232" t="inlineStr">
        <is>
          <t>NORRTÄLJE</t>
        </is>
      </c>
      <c r="G232" t="n">
        <v>10.8</v>
      </c>
      <c r="H232" t="n">
        <v>0</v>
      </c>
      <c r="I232" t="n">
        <v>0</v>
      </c>
      <c r="J232" t="n">
        <v>0</v>
      </c>
      <c r="K232" t="n">
        <v>0</v>
      </c>
      <c r="L232" t="n">
        <v>0</v>
      </c>
      <c r="M232" t="n">
        <v>0</v>
      </c>
      <c r="N232" t="n">
        <v>0</v>
      </c>
      <c r="O232" t="n">
        <v>0</v>
      </c>
      <c r="P232" t="n">
        <v>0</v>
      </c>
      <c r="Q232" t="n">
        <v>0</v>
      </c>
      <c r="R232" s="2" t="inlineStr"/>
    </row>
    <row r="233" ht="15" customHeight="1">
      <c r="A233" t="inlineStr">
        <is>
          <t>A 10521-2022</t>
        </is>
      </c>
      <c r="B233" s="1" t="n">
        <v>44623</v>
      </c>
      <c r="C233" s="1" t="n">
        <v>45917</v>
      </c>
      <c r="D233" t="inlineStr">
        <is>
          <t>STOCKHOLMS LÄN</t>
        </is>
      </c>
      <c r="E233" t="inlineStr">
        <is>
          <t>NORRTÄLJE</t>
        </is>
      </c>
      <c r="G233" t="n">
        <v>2.9</v>
      </c>
      <c r="H233" t="n">
        <v>0</v>
      </c>
      <c r="I233" t="n">
        <v>0</v>
      </c>
      <c r="J233" t="n">
        <v>0</v>
      </c>
      <c r="K233" t="n">
        <v>0</v>
      </c>
      <c r="L233" t="n">
        <v>0</v>
      </c>
      <c r="M233" t="n">
        <v>0</v>
      </c>
      <c r="N233" t="n">
        <v>0</v>
      </c>
      <c r="O233" t="n">
        <v>0</v>
      </c>
      <c r="P233" t="n">
        <v>0</v>
      </c>
      <c r="Q233" t="n">
        <v>0</v>
      </c>
      <c r="R233" s="2" t="inlineStr"/>
    </row>
    <row r="234" ht="15" customHeight="1">
      <c r="A234" t="inlineStr">
        <is>
          <t>A 17673-2021</t>
        </is>
      </c>
      <c r="B234" s="1" t="n">
        <v>44300</v>
      </c>
      <c r="C234" s="1" t="n">
        <v>45917</v>
      </c>
      <c r="D234" t="inlineStr">
        <is>
          <t>STOCKHOLMS LÄN</t>
        </is>
      </c>
      <c r="E234" t="inlineStr">
        <is>
          <t>NORRTÄLJE</t>
        </is>
      </c>
      <c r="G234" t="n">
        <v>1.1</v>
      </c>
      <c r="H234" t="n">
        <v>0</v>
      </c>
      <c r="I234" t="n">
        <v>0</v>
      </c>
      <c r="J234" t="n">
        <v>0</v>
      </c>
      <c r="K234" t="n">
        <v>0</v>
      </c>
      <c r="L234" t="n">
        <v>0</v>
      </c>
      <c r="M234" t="n">
        <v>0</v>
      </c>
      <c r="N234" t="n">
        <v>0</v>
      </c>
      <c r="O234" t="n">
        <v>0</v>
      </c>
      <c r="P234" t="n">
        <v>0</v>
      </c>
      <c r="Q234" t="n">
        <v>0</v>
      </c>
      <c r="R234" s="2" t="inlineStr"/>
      <c r="T234">
        <f>HYPERLINK("https://klasma.github.io/Logging_0188/kartor/A 17673-2021 karta.png", "A 17673-2021")</f>
        <v/>
      </c>
      <c r="V234">
        <f>HYPERLINK("https://klasma.github.io/Logging_0188/klagomål/A 17673-2021 FSC-klagomål.docx", "A 17673-2021")</f>
        <v/>
      </c>
      <c r="W234">
        <f>HYPERLINK("https://klasma.github.io/Logging_0188/klagomålsmail/A 17673-2021 FSC-klagomål mail.docx", "A 17673-2021")</f>
        <v/>
      </c>
      <c r="X234">
        <f>HYPERLINK("https://klasma.github.io/Logging_0188/tillsyn/A 17673-2021 tillsynsbegäran.docx", "A 17673-2021")</f>
        <v/>
      </c>
      <c r="Y234">
        <f>HYPERLINK("https://klasma.github.io/Logging_0188/tillsynsmail/A 17673-2021 tillsynsbegäran mail.docx", "A 17673-2021")</f>
        <v/>
      </c>
      <c r="Z234">
        <f>HYPERLINK("https://klasma.github.io/Logging_0188/fåglar/A 17673-2021 prioriterade fågelarter.docx", "A 17673-2021")</f>
        <v/>
      </c>
    </row>
    <row r="235" ht="15" customHeight="1">
      <c r="A235" t="inlineStr">
        <is>
          <t>A 16119-2022</t>
        </is>
      </c>
      <c r="B235" s="1" t="n">
        <v>44665.66407407408</v>
      </c>
      <c r="C235" s="1" t="n">
        <v>45917</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45917</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49334-2020</t>
        </is>
      </c>
      <c r="B237" s="1" t="n">
        <v>44105</v>
      </c>
      <c r="C237" s="1" t="n">
        <v>45917</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53884-2022</t>
        </is>
      </c>
      <c r="B238" s="1" t="n">
        <v>44880.68423611111</v>
      </c>
      <c r="C238" s="1" t="n">
        <v>45917</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12357-2022</t>
        </is>
      </c>
      <c r="B239" s="1" t="n">
        <v>44637</v>
      </c>
      <c r="C239" s="1" t="n">
        <v>45917</v>
      </c>
      <c r="D239" t="inlineStr">
        <is>
          <t>STOCKHOLMS LÄN</t>
        </is>
      </c>
      <c r="E239" t="inlineStr">
        <is>
          <t>NORRTÄLJE</t>
        </is>
      </c>
      <c r="G239" t="n">
        <v>1</v>
      </c>
      <c r="H239" t="n">
        <v>0</v>
      </c>
      <c r="I239" t="n">
        <v>0</v>
      </c>
      <c r="J239" t="n">
        <v>0</v>
      </c>
      <c r="K239" t="n">
        <v>0</v>
      </c>
      <c r="L239" t="n">
        <v>0</v>
      </c>
      <c r="M239" t="n">
        <v>0</v>
      </c>
      <c r="N239" t="n">
        <v>0</v>
      </c>
      <c r="O239" t="n">
        <v>0</v>
      </c>
      <c r="P239" t="n">
        <v>0</v>
      </c>
      <c r="Q239" t="n">
        <v>0</v>
      </c>
      <c r="R239" s="2" t="inlineStr"/>
    </row>
    <row r="240" ht="15" customHeight="1">
      <c r="A240" t="inlineStr">
        <is>
          <t>A 26335-2022</t>
        </is>
      </c>
      <c r="B240" s="1" t="n">
        <v>44735</v>
      </c>
      <c r="C240" s="1" t="n">
        <v>45917</v>
      </c>
      <c r="D240" t="inlineStr">
        <is>
          <t>STOCKHOLMS LÄN</t>
        </is>
      </c>
      <c r="E240" t="inlineStr">
        <is>
          <t>NORRTÄLJE</t>
        </is>
      </c>
      <c r="G240" t="n">
        <v>3.3</v>
      </c>
      <c r="H240" t="n">
        <v>0</v>
      </c>
      <c r="I240" t="n">
        <v>0</v>
      </c>
      <c r="J240" t="n">
        <v>0</v>
      </c>
      <c r="K240" t="n">
        <v>0</v>
      </c>
      <c r="L240" t="n">
        <v>0</v>
      </c>
      <c r="M240" t="n">
        <v>0</v>
      </c>
      <c r="N240" t="n">
        <v>0</v>
      </c>
      <c r="O240" t="n">
        <v>0</v>
      </c>
      <c r="P240" t="n">
        <v>0</v>
      </c>
      <c r="Q240" t="n">
        <v>0</v>
      </c>
      <c r="R240" s="2" t="inlineStr"/>
    </row>
    <row r="241" ht="15" customHeight="1">
      <c r="A241" t="inlineStr">
        <is>
          <t>A 27217-2021</t>
        </is>
      </c>
      <c r="B241" s="1" t="n">
        <v>44350</v>
      </c>
      <c r="C241" s="1" t="n">
        <v>45917</v>
      </c>
      <c r="D241" t="inlineStr">
        <is>
          <t>STOCKHOLMS LÄN</t>
        </is>
      </c>
      <c r="E241" t="inlineStr">
        <is>
          <t>NORRTÄLJE</t>
        </is>
      </c>
      <c r="G241" t="n">
        <v>5.5</v>
      </c>
      <c r="H241" t="n">
        <v>0</v>
      </c>
      <c r="I241" t="n">
        <v>0</v>
      </c>
      <c r="J241" t="n">
        <v>0</v>
      </c>
      <c r="K241" t="n">
        <v>0</v>
      </c>
      <c r="L241" t="n">
        <v>0</v>
      </c>
      <c r="M241" t="n">
        <v>0</v>
      </c>
      <c r="N241" t="n">
        <v>0</v>
      </c>
      <c r="O241" t="n">
        <v>0</v>
      </c>
      <c r="P241" t="n">
        <v>0</v>
      </c>
      <c r="Q241" t="n">
        <v>0</v>
      </c>
      <c r="R241" s="2" t="inlineStr"/>
    </row>
    <row r="242" ht="15" customHeight="1">
      <c r="A242" t="inlineStr">
        <is>
          <t>A 57957-2020</t>
        </is>
      </c>
      <c r="B242" s="1" t="n">
        <v>44143</v>
      </c>
      <c r="C242" s="1" t="n">
        <v>45917</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45917</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16117-2022</t>
        </is>
      </c>
      <c r="B244" s="1" t="n">
        <v>44665.65474537037</v>
      </c>
      <c r="C244" s="1" t="n">
        <v>45917</v>
      </c>
      <c r="D244" t="inlineStr">
        <is>
          <t>STOCKHOLMS LÄN</t>
        </is>
      </c>
      <c r="E244" t="inlineStr">
        <is>
          <t>NORRTÄLJE</t>
        </is>
      </c>
      <c r="G244" t="n">
        <v>8.1</v>
      </c>
      <c r="H244" t="n">
        <v>0</v>
      </c>
      <c r="I244" t="n">
        <v>0</v>
      </c>
      <c r="J244" t="n">
        <v>0</v>
      </c>
      <c r="K244" t="n">
        <v>0</v>
      </c>
      <c r="L244" t="n">
        <v>0</v>
      </c>
      <c r="M244" t="n">
        <v>0</v>
      </c>
      <c r="N244" t="n">
        <v>0</v>
      </c>
      <c r="O244" t="n">
        <v>0</v>
      </c>
      <c r="P244" t="n">
        <v>0</v>
      </c>
      <c r="Q244" t="n">
        <v>0</v>
      </c>
      <c r="R244" s="2" t="inlineStr"/>
    </row>
    <row r="245" ht="15" customHeight="1">
      <c r="A245" t="inlineStr">
        <is>
          <t>A 16132-2022</t>
        </is>
      </c>
      <c r="B245" s="1" t="n">
        <v>44665.78351851852</v>
      </c>
      <c r="C245" s="1" t="n">
        <v>45917</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45917</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70170-2021</t>
        </is>
      </c>
      <c r="B247" s="1" t="n">
        <v>44533</v>
      </c>
      <c r="C247" s="1" t="n">
        <v>45917</v>
      </c>
      <c r="D247" t="inlineStr">
        <is>
          <t>STOCKHOLMS LÄN</t>
        </is>
      </c>
      <c r="E247" t="inlineStr">
        <is>
          <t>NORRTÄLJE</t>
        </is>
      </c>
      <c r="G247" t="n">
        <v>2.7</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45917</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25463-2021</t>
        </is>
      </c>
      <c r="B249" s="1" t="n">
        <v>44342</v>
      </c>
      <c r="C249" s="1" t="n">
        <v>45917</v>
      </c>
      <c r="D249" t="inlineStr">
        <is>
          <t>STOCKHOLMS LÄN</t>
        </is>
      </c>
      <c r="E249" t="inlineStr">
        <is>
          <t>NORRTÄLJE</t>
        </is>
      </c>
      <c r="F249" t="inlineStr">
        <is>
          <t>Holmen skog AB</t>
        </is>
      </c>
      <c r="G249" t="n">
        <v>1.5</v>
      </c>
      <c r="H249" t="n">
        <v>0</v>
      </c>
      <c r="I249" t="n">
        <v>0</v>
      </c>
      <c r="J249" t="n">
        <v>0</v>
      </c>
      <c r="K249" t="n">
        <v>0</v>
      </c>
      <c r="L249" t="n">
        <v>0</v>
      </c>
      <c r="M249" t="n">
        <v>0</v>
      </c>
      <c r="N249" t="n">
        <v>0</v>
      </c>
      <c r="O249" t="n">
        <v>0</v>
      </c>
      <c r="P249" t="n">
        <v>0</v>
      </c>
      <c r="Q249" t="n">
        <v>0</v>
      </c>
      <c r="R249" s="2" t="inlineStr"/>
    </row>
    <row r="250" ht="15" customHeight="1">
      <c r="A250" t="inlineStr">
        <is>
          <t>A 30624-2022</t>
        </is>
      </c>
      <c r="B250" s="1" t="n">
        <v>44763.4182175926</v>
      </c>
      <c r="C250" s="1" t="n">
        <v>45917</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21102-2022</t>
        </is>
      </c>
      <c r="B251" s="1" t="n">
        <v>44704</v>
      </c>
      <c r="C251" s="1" t="n">
        <v>45917</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71880-2021</t>
        </is>
      </c>
      <c r="B252" s="1" t="n">
        <v>44543</v>
      </c>
      <c r="C252" s="1" t="n">
        <v>45917</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17772-2022</t>
        </is>
      </c>
      <c r="B253" s="1" t="n">
        <v>44682.76528935185</v>
      </c>
      <c r="C253" s="1" t="n">
        <v>45917</v>
      </c>
      <c r="D253" t="inlineStr">
        <is>
          <t>STOCKHOLMS LÄN</t>
        </is>
      </c>
      <c r="E253" t="inlineStr">
        <is>
          <t>NORRTÄLJE</t>
        </is>
      </c>
      <c r="G253" t="n">
        <v>4</v>
      </c>
      <c r="H253" t="n">
        <v>0</v>
      </c>
      <c r="I253" t="n">
        <v>0</v>
      </c>
      <c r="J253" t="n">
        <v>0</v>
      </c>
      <c r="K253" t="n">
        <v>0</v>
      </c>
      <c r="L253" t="n">
        <v>0</v>
      </c>
      <c r="M253" t="n">
        <v>0</v>
      </c>
      <c r="N253" t="n">
        <v>0</v>
      </c>
      <c r="O253" t="n">
        <v>0</v>
      </c>
      <c r="P253" t="n">
        <v>0</v>
      </c>
      <c r="Q253" t="n">
        <v>0</v>
      </c>
      <c r="R253" s="2" t="inlineStr"/>
    </row>
    <row r="254" ht="15" customHeight="1">
      <c r="A254" t="inlineStr">
        <is>
          <t>A 67285-2021</t>
        </is>
      </c>
      <c r="B254" s="1" t="n">
        <v>44523.61635416667</v>
      </c>
      <c r="C254" s="1" t="n">
        <v>45917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5611-2022</t>
        </is>
      </c>
      <c r="B255" s="1" t="n">
        <v>44595</v>
      </c>
      <c r="C255" s="1" t="n">
        <v>45917</v>
      </c>
      <c r="D255" t="inlineStr">
        <is>
          <t>STOCKHOLMS LÄN</t>
        </is>
      </c>
      <c r="E255" t="inlineStr">
        <is>
          <t>NORRTÄLJE</t>
        </is>
      </c>
      <c r="G255" t="n">
        <v>0.5</v>
      </c>
      <c r="H255" t="n">
        <v>0</v>
      </c>
      <c r="I255" t="n">
        <v>0</v>
      </c>
      <c r="J255" t="n">
        <v>0</v>
      </c>
      <c r="K255" t="n">
        <v>0</v>
      </c>
      <c r="L255" t="n">
        <v>0</v>
      </c>
      <c r="M255" t="n">
        <v>0</v>
      </c>
      <c r="N255" t="n">
        <v>0</v>
      </c>
      <c r="O255" t="n">
        <v>0</v>
      </c>
      <c r="P255" t="n">
        <v>0</v>
      </c>
      <c r="Q255" t="n">
        <v>0</v>
      </c>
      <c r="R255" s="2" t="inlineStr"/>
    </row>
    <row r="256" ht="15" customHeight="1">
      <c r="A256" t="inlineStr">
        <is>
          <t>A 32055-2021</t>
        </is>
      </c>
      <c r="B256" s="1" t="n">
        <v>44370.72197916666</v>
      </c>
      <c r="C256" s="1" t="n">
        <v>45917</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24101-2022</t>
        </is>
      </c>
      <c r="B257" s="1" t="n">
        <v>44725</v>
      </c>
      <c r="C257" s="1" t="n">
        <v>45917</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45917</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55982-2020</t>
        </is>
      </c>
      <c r="B259" s="1" t="n">
        <v>44132</v>
      </c>
      <c r="C259" s="1" t="n">
        <v>45917</v>
      </c>
      <c r="D259" t="inlineStr">
        <is>
          <t>STOCKHOLMS LÄN</t>
        </is>
      </c>
      <c r="E259" t="inlineStr">
        <is>
          <t>NORRTÄLJE</t>
        </is>
      </c>
      <c r="G259" t="n">
        <v>11.3</v>
      </c>
      <c r="H259" t="n">
        <v>0</v>
      </c>
      <c r="I259" t="n">
        <v>0</v>
      </c>
      <c r="J259" t="n">
        <v>0</v>
      </c>
      <c r="K259" t="n">
        <v>0</v>
      </c>
      <c r="L259" t="n">
        <v>0</v>
      </c>
      <c r="M259" t="n">
        <v>0</v>
      </c>
      <c r="N259" t="n">
        <v>0</v>
      </c>
      <c r="O259" t="n">
        <v>0</v>
      </c>
      <c r="P259" t="n">
        <v>0</v>
      </c>
      <c r="Q259" t="n">
        <v>0</v>
      </c>
      <c r="R259" s="2" t="inlineStr"/>
    </row>
    <row r="260" ht="15" customHeight="1">
      <c r="A260" t="inlineStr">
        <is>
          <t>A 60542-2020</t>
        </is>
      </c>
      <c r="B260" s="1" t="n">
        <v>44153</v>
      </c>
      <c r="C260" s="1" t="n">
        <v>45917</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38721-2022</t>
        </is>
      </c>
      <c r="B261" s="1" t="n">
        <v>44815</v>
      </c>
      <c r="C261" s="1" t="n">
        <v>45917</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52449-2021</t>
        </is>
      </c>
      <c r="B262" s="1" t="n">
        <v>44466.37496527778</v>
      </c>
      <c r="C262" s="1" t="n">
        <v>45917</v>
      </c>
      <c r="D262" t="inlineStr">
        <is>
          <t>STOCKHOLMS LÄN</t>
        </is>
      </c>
      <c r="E262" t="inlineStr">
        <is>
          <t>NORRTÄLJE</t>
        </is>
      </c>
      <c r="F262" t="inlineStr">
        <is>
          <t>Holmen skog AB</t>
        </is>
      </c>
      <c r="G262" t="n">
        <v>1.8</v>
      </c>
      <c r="H262" t="n">
        <v>0</v>
      </c>
      <c r="I262" t="n">
        <v>0</v>
      </c>
      <c r="J262" t="n">
        <v>0</v>
      </c>
      <c r="K262" t="n">
        <v>0</v>
      </c>
      <c r="L262" t="n">
        <v>0</v>
      </c>
      <c r="M262" t="n">
        <v>0</v>
      </c>
      <c r="N262" t="n">
        <v>0</v>
      </c>
      <c r="O262" t="n">
        <v>0</v>
      </c>
      <c r="P262" t="n">
        <v>0</v>
      </c>
      <c r="Q262" t="n">
        <v>0</v>
      </c>
      <c r="R262" s="2" t="inlineStr"/>
    </row>
    <row r="263" ht="15" customHeight="1">
      <c r="A263" t="inlineStr">
        <is>
          <t>A 33046-2021</t>
        </is>
      </c>
      <c r="B263" s="1" t="n">
        <v>44376</v>
      </c>
      <c r="C263" s="1" t="n">
        <v>45917</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5513-2022</t>
        </is>
      </c>
      <c r="B264" s="1" t="n">
        <v>44595</v>
      </c>
      <c r="C264" s="1" t="n">
        <v>45917</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60184-2021</t>
        </is>
      </c>
      <c r="B265" s="1" t="n">
        <v>44495</v>
      </c>
      <c r="C265" s="1" t="n">
        <v>45917</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26328-2022</t>
        </is>
      </c>
      <c r="B266" s="1" t="n">
        <v>44735</v>
      </c>
      <c r="C266" s="1" t="n">
        <v>45917</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66372-2020</t>
        </is>
      </c>
      <c r="B267" s="1" t="n">
        <v>44176</v>
      </c>
      <c r="C267" s="1" t="n">
        <v>45917</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23453-2021</t>
        </is>
      </c>
      <c r="B268" s="1" t="n">
        <v>44333</v>
      </c>
      <c r="C268" s="1" t="n">
        <v>45917</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55012-2024</t>
        </is>
      </c>
      <c r="B269" s="1" t="n">
        <v>45621.34813657407</v>
      </c>
      <c r="C269" s="1" t="n">
        <v>45917</v>
      </c>
      <c r="D269" t="inlineStr">
        <is>
          <t>STOCKHOLMS LÄN</t>
        </is>
      </c>
      <c r="E269" t="inlineStr">
        <is>
          <t>NORRTÄLJE</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12348-2025</t>
        </is>
      </c>
      <c r="B270" s="1" t="n">
        <v>45730.35026620371</v>
      </c>
      <c r="C270" s="1" t="n">
        <v>45917</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13148-2021</t>
        </is>
      </c>
      <c r="B271" s="1" t="n">
        <v>44272</v>
      </c>
      <c r="C271" s="1" t="n">
        <v>45917</v>
      </c>
      <c r="D271" t="inlineStr">
        <is>
          <t>STOCKHOLMS LÄN</t>
        </is>
      </c>
      <c r="E271" t="inlineStr">
        <is>
          <t>NORRTÄLJE</t>
        </is>
      </c>
      <c r="G271" t="n">
        <v>12.4</v>
      </c>
      <c r="H271" t="n">
        <v>0</v>
      </c>
      <c r="I271" t="n">
        <v>0</v>
      </c>
      <c r="J271" t="n">
        <v>0</v>
      </c>
      <c r="K271" t="n">
        <v>0</v>
      </c>
      <c r="L271" t="n">
        <v>0</v>
      </c>
      <c r="M271" t="n">
        <v>0</v>
      </c>
      <c r="N271" t="n">
        <v>0</v>
      </c>
      <c r="O271" t="n">
        <v>0</v>
      </c>
      <c r="P271" t="n">
        <v>0</v>
      </c>
      <c r="Q271" t="n">
        <v>0</v>
      </c>
      <c r="R271" s="2" t="inlineStr"/>
    </row>
    <row r="272" ht="15" customHeight="1">
      <c r="A272" t="inlineStr">
        <is>
          <t>A 27715-2022</t>
        </is>
      </c>
      <c r="B272" s="1" t="n">
        <v>44743.47407407407</v>
      </c>
      <c r="C272" s="1" t="n">
        <v>45917</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12111-2021</t>
        </is>
      </c>
      <c r="B273" s="1" t="n">
        <v>44266</v>
      </c>
      <c r="C273" s="1" t="n">
        <v>45917</v>
      </c>
      <c r="D273" t="inlineStr">
        <is>
          <t>STOCKHOLMS LÄN</t>
        </is>
      </c>
      <c r="E273" t="inlineStr">
        <is>
          <t>NORRTÄLJE</t>
        </is>
      </c>
      <c r="G273" t="n">
        <v>5.5</v>
      </c>
      <c r="H273" t="n">
        <v>0</v>
      </c>
      <c r="I273" t="n">
        <v>0</v>
      </c>
      <c r="J273" t="n">
        <v>0</v>
      </c>
      <c r="K273" t="n">
        <v>0</v>
      </c>
      <c r="L273" t="n">
        <v>0</v>
      </c>
      <c r="M273" t="n">
        <v>0</v>
      </c>
      <c r="N273" t="n">
        <v>0</v>
      </c>
      <c r="O273" t="n">
        <v>0</v>
      </c>
      <c r="P273" t="n">
        <v>0</v>
      </c>
      <c r="Q273" t="n">
        <v>0</v>
      </c>
      <c r="R273" s="2" t="inlineStr"/>
    </row>
    <row r="274" ht="15" customHeight="1">
      <c r="A274" t="inlineStr">
        <is>
          <t>A 33053-2021</t>
        </is>
      </c>
      <c r="B274" s="1" t="n">
        <v>44376</v>
      </c>
      <c r="C274" s="1" t="n">
        <v>45917</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28042-2022</t>
        </is>
      </c>
      <c r="B275" s="1" t="n">
        <v>44744</v>
      </c>
      <c r="C275" s="1" t="n">
        <v>45917</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20013-2025</t>
        </is>
      </c>
      <c r="B276" s="1" t="n">
        <v>45772.30436342592</v>
      </c>
      <c r="C276" s="1" t="n">
        <v>45917</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63161-2023</t>
        </is>
      </c>
      <c r="B277" s="1" t="n">
        <v>45273</v>
      </c>
      <c r="C277" s="1" t="n">
        <v>45917</v>
      </c>
      <c r="D277" t="inlineStr">
        <is>
          <t>STOCKHOLMS LÄN</t>
        </is>
      </c>
      <c r="E277" t="inlineStr">
        <is>
          <t>NORRTÄLJE</t>
        </is>
      </c>
      <c r="G277" t="n">
        <v>1.6</v>
      </c>
      <c r="H277" t="n">
        <v>0</v>
      </c>
      <c r="I277" t="n">
        <v>0</v>
      </c>
      <c r="J277" t="n">
        <v>0</v>
      </c>
      <c r="K277" t="n">
        <v>0</v>
      </c>
      <c r="L277" t="n">
        <v>0</v>
      </c>
      <c r="M277" t="n">
        <v>0</v>
      </c>
      <c r="N277" t="n">
        <v>0</v>
      </c>
      <c r="O277" t="n">
        <v>0</v>
      </c>
      <c r="P277" t="n">
        <v>0</v>
      </c>
      <c r="Q277" t="n">
        <v>0</v>
      </c>
      <c r="R277" s="2" t="inlineStr"/>
    </row>
    <row r="278" ht="15" customHeight="1">
      <c r="A278" t="inlineStr">
        <is>
          <t>A 23271-2023</t>
        </is>
      </c>
      <c r="B278" s="1" t="n">
        <v>45075.91362268518</v>
      </c>
      <c r="C278" s="1" t="n">
        <v>45917</v>
      </c>
      <c r="D278" t="inlineStr">
        <is>
          <t>STOCKHOLMS LÄN</t>
        </is>
      </c>
      <c r="E278" t="inlineStr">
        <is>
          <t>NORRTÄLJE</t>
        </is>
      </c>
      <c r="G278" t="n">
        <v>5.1</v>
      </c>
      <c r="H278" t="n">
        <v>0</v>
      </c>
      <c r="I278" t="n">
        <v>0</v>
      </c>
      <c r="J278" t="n">
        <v>0</v>
      </c>
      <c r="K278" t="n">
        <v>0</v>
      </c>
      <c r="L278" t="n">
        <v>0</v>
      </c>
      <c r="M278" t="n">
        <v>0</v>
      </c>
      <c r="N278" t="n">
        <v>0</v>
      </c>
      <c r="O278" t="n">
        <v>0</v>
      </c>
      <c r="P278" t="n">
        <v>0</v>
      </c>
      <c r="Q278" t="n">
        <v>0</v>
      </c>
      <c r="R278" s="2" t="inlineStr"/>
    </row>
    <row r="279" ht="15" customHeight="1">
      <c r="A279" t="inlineStr">
        <is>
          <t>A 23273-2023</t>
        </is>
      </c>
      <c r="B279" s="1" t="n">
        <v>45075.91971064815</v>
      </c>
      <c r="C279" s="1" t="n">
        <v>45917</v>
      </c>
      <c r="D279" t="inlineStr">
        <is>
          <t>STOCKHOLMS LÄN</t>
        </is>
      </c>
      <c r="E279" t="inlineStr">
        <is>
          <t>NORRTÄLJE</t>
        </is>
      </c>
      <c r="G279" t="n">
        <v>7.5</v>
      </c>
      <c r="H279" t="n">
        <v>0</v>
      </c>
      <c r="I279" t="n">
        <v>0</v>
      </c>
      <c r="J279" t="n">
        <v>0</v>
      </c>
      <c r="K279" t="n">
        <v>0</v>
      </c>
      <c r="L279" t="n">
        <v>0</v>
      </c>
      <c r="M279" t="n">
        <v>0</v>
      </c>
      <c r="N279" t="n">
        <v>0</v>
      </c>
      <c r="O279" t="n">
        <v>0</v>
      </c>
      <c r="P279" t="n">
        <v>0</v>
      </c>
      <c r="Q279" t="n">
        <v>0</v>
      </c>
      <c r="R279" s="2" t="inlineStr"/>
    </row>
    <row r="280" ht="15" customHeight="1">
      <c r="A280" t="inlineStr">
        <is>
          <t>A 30802-2022</t>
        </is>
      </c>
      <c r="B280" s="1" t="n">
        <v>44764</v>
      </c>
      <c r="C280" s="1" t="n">
        <v>45917</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19706-2023</t>
        </is>
      </c>
      <c r="B281" s="1" t="n">
        <v>45051.455</v>
      </c>
      <c r="C281" s="1" t="n">
        <v>45917</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27214-2021</t>
        </is>
      </c>
      <c r="B282" s="1" t="n">
        <v>44350</v>
      </c>
      <c r="C282" s="1" t="n">
        <v>45917</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12355-2022</t>
        </is>
      </c>
      <c r="B283" s="1" t="n">
        <v>44637</v>
      </c>
      <c r="C283" s="1" t="n">
        <v>45917</v>
      </c>
      <c r="D283" t="inlineStr">
        <is>
          <t>STOCKHOLMS LÄN</t>
        </is>
      </c>
      <c r="E283" t="inlineStr">
        <is>
          <t>NORRTÄLJE</t>
        </is>
      </c>
      <c r="G283" t="n">
        <v>10.4</v>
      </c>
      <c r="H283" t="n">
        <v>0</v>
      </c>
      <c r="I283" t="n">
        <v>0</v>
      </c>
      <c r="J283" t="n">
        <v>0</v>
      </c>
      <c r="K283" t="n">
        <v>0</v>
      </c>
      <c r="L283" t="n">
        <v>0</v>
      </c>
      <c r="M283" t="n">
        <v>0</v>
      </c>
      <c r="N283" t="n">
        <v>0</v>
      </c>
      <c r="O283" t="n">
        <v>0</v>
      </c>
      <c r="P283" t="n">
        <v>0</v>
      </c>
      <c r="Q283" t="n">
        <v>0</v>
      </c>
      <c r="R283" s="2" t="inlineStr"/>
    </row>
    <row r="284" ht="15" customHeight="1">
      <c r="A284" t="inlineStr">
        <is>
          <t>A 47869-2020</t>
        </is>
      </c>
      <c r="B284" s="1" t="n">
        <v>44098</v>
      </c>
      <c r="C284" s="1" t="n">
        <v>45917</v>
      </c>
      <c r="D284" t="inlineStr">
        <is>
          <t>STOCKHOLMS LÄN</t>
        </is>
      </c>
      <c r="E284" t="inlineStr">
        <is>
          <t>NORRTÄLJE</t>
        </is>
      </c>
      <c r="G284" t="n">
        <v>0.7</v>
      </c>
      <c r="H284" t="n">
        <v>0</v>
      </c>
      <c r="I284" t="n">
        <v>0</v>
      </c>
      <c r="J284" t="n">
        <v>0</v>
      </c>
      <c r="K284" t="n">
        <v>0</v>
      </c>
      <c r="L284" t="n">
        <v>0</v>
      </c>
      <c r="M284" t="n">
        <v>0</v>
      </c>
      <c r="N284" t="n">
        <v>0</v>
      </c>
      <c r="O284" t="n">
        <v>0</v>
      </c>
      <c r="P284" t="n">
        <v>0</v>
      </c>
      <c r="Q284" t="n">
        <v>0</v>
      </c>
      <c r="R284" s="2" t="inlineStr"/>
    </row>
    <row r="285" ht="15" customHeight="1">
      <c r="A285" t="inlineStr">
        <is>
          <t>A 16008-2025</t>
        </is>
      </c>
      <c r="B285" s="1" t="n">
        <v>45749</v>
      </c>
      <c r="C285" s="1" t="n">
        <v>45917</v>
      </c>
      <c r="D285" t="inlineStr">
        <is>
          <t>STOCKHOLMS LÄN</t>
        </is>
      </c>
      <c r="E285" t="inlineStr">
        <is>
          <t>NORRTÄLJE</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9765-2024</t>
        </is>
      </c>
      <c r="B286" s="1" t="n">
        <v>45362.62811342593</v>
      </c>
      <c r="C286" s="1" t="n">
        <v>45917</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7565-2022</t>
        </is>
      </c>
      <c r="B287" s="1" t="n">
        <v>44607</v>
      </c>
      <c r="C287" s="1" t="n">
        <v>45917</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41822-2021</t>
        </is>
      </c>
      <c r="B288" s="1" t="n">
        <v>44425</v>
      </c>
      <c r="C288" s="1" t="n">
        <v>45917</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41823-2021</t>
        </is>
      </c>
      <c r="B289" s="1" t="n">
        <v>44425</v>
      </c>
      <c r="C289" s="1" t="n">
        <v>45917</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45917</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41398-2022</t>
        </is>
      </c>
      <c r="B291" s="1" t="n">
        <v>44826</v>
      </c>
      <c r="C291" s="1" t="n">
        <v>45917</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22369-2021</t>
        </is>
      </c>
      <c r="B292" s="1" t="n">
        <v>44326</v>
      </c>
      <c r="C292" s="1" t="n">
        <v>45917</v>
      </c>
      <c r="D292" t="inlineStr">
        <is>
          <t>STOCKHOLMS LÄN</t>
        </is>
      </c>
      <c r="E292" t="inlineStr">
        <is>
          <t>NORRTÄLJE</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67598-2021</t>
        </is>
      </c>
      <c r="B293" s="1" t="n">
        <v>44524</v>
      </c>
      <c r="C293" s="1" t="n">
        <v>45917</v>
      </c>
      <c r="D293" t="inlineStr">
        <is>
          <t>STOCKHOLMS LÄN</t>
        </is>
      </c>
      <c r="E293" t="inlineStr">
        <is>
          <t>NORRTÄLJE</t>
        </is>
      </c>
      <c r="G293" t="n">
        <v>1.2</v>
      </c>
      <c r="H293" t="n">
        <v>0</v>
      </c>
      <c r="I293" t="n">
        <v>0</v>
      </c>
      <c r="J293" t="n">
        <v>0</v>
      </c>
      <c r="K293" t="n">
        <v>0</v>
      </c>
      <c r="L293" t="n">
        <v>0</v>
      </c>
      <c r="M293" t="n">
        <v>0</v>
      </c>
      <c r="N293" t="n">
        <v>0</v>
      </c>
      <c r="O293" t="n">
        <v>0</v>
      </c>
      <c r="P293" t="n">
        <v>0</v>
      </c>
      <c r="Q293" t="n">
        <v>0</v>
      </c>
      <c r="R293" s="2" t="inlineStr"/>
    </row>
    <row r="294" ht="15" customHeight="1">
      <c r="A294" t="inlineStr">
        <is>
          <t>A 34520-2021</t>
        </is>
      </c>
      <c r="B294" s="1" t="n">
        <v>44379</v>
      </c>
      <c r="C294" s="1" t="n">
        <v>45917</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19398-2021</t>
        </is>
      </c>
      <c r="B295" s="1" t="n">
        <v>44309</v>
      </c>
      <c r="C295" s="1" t="n">
        <v>45917</v>
      </c>
      <c r="D295" t="inlineStr">
        <is>
          <t>STOCKHOLMS LÄN</t>
        </is>
      </c>
      <c r="E295" t="inlineStr">
        <is>
          <t>NORRTÄLJE</t>
        </is>
      </c>
      <c r="F295" t="inlineStr">
        <is>
          <t>Kommuner</t>
        </is>
      </c>
      <c r="G295" t="n">
        <v>2.1</v>
      </c>
      <c r="H295" t="n">
        <v>0</v>
      </c>
      <c r="I295" t="n">
        <v>0</v>
      </c>
      <c r="J295" t="n">
        <v>0</v>
      </c>
      <c r="K295" t="n">
        <v>0</v>
      </c>
      <c r="L295" t="n">
        <v>0</v>
      </c>
      <c r="M295" t="n">
        <v>0</v>
      </c>
      <c r="N295" t="n">
        <v>0</v>
      </c>
      <c r="O295" t="n">
        <v>0</v>
      </c>
      <c r="P295" t="n">
        <v>0</v>
      </c>
      <c r="Q295" t="n">
        <v>0</v>
      </c>
      <c r="R295" s="2" t="inlineStr"/>
    </row>
    <row r="296" ht="15" customHeight="1">
      <c r="A296" t="inlineStr">
        <is>
          <t>A 47694-2023</t>
        </is>
      </c>
      <c r="B296" s="1" t="n">
        <v>45203.63303240741</v>
      </c>
      <c r="C296" s="1" t="n">
        <v>45917</v>
      </c>
      <c r="D296" t="inlineStr">
        <is>
          <t>STOCKHOLMS LÄN</t>
        </is>
      </c>
      <c r="E296" t="inlineStr">
        <is>
          <t>NORRTÄLJE</t>
        </is>
      </c>
      <c r="G296" t="n">
        <v>5.2</v>
      </c>
      <c r="H296" t="n">
        <v>0</v>
      </c>
      <c r="I296" t="n">
        <v>0</v>
      </c>
      <c r="J296" t="n">
        <v>0</v>
      </c>
      <c r="K296" t="n">
        <v>0</v>
      </c>
      <c r="L296" t="n">
        <v>0</v>
      </c>
      <c r="M296" t="n">
        <v>0</v>
      </c>
      <c r="N296" t="n">
        <v>0</v>
      </c>
      <c r="O296" t="n">
        <v>0</v>
      </c>
      <c r="P296" t="n">
        <v>0</v>
      </c>
      <c r="Q296" t="n">
        <v>0</v>
      </c>
      <c r="R296" s="2" t="inlineStr"/>
    </row>
    <row r="297" ht="15" customHeight="1">
      <c r="A297" t="inlineStr">
        <is>
          <t>A 40656-2022</t>
        </is>
      </c>
      <c r="B297" s="1" t="n">
        <v>44824.36069444445</v>
      </c>
      <c r="C297" s="1" t="n">
        <v>45917</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40425-2021</t>
        </is>
      </c>
      <c r="B298" s="1" t="n">
        <v>44419</v>
      </c>
      <c r="C298" s="1" t="n">
        <v>45917</v>
      </c>
      <c r="D298" t="inlineStr">
        <is>
          <t>STOCKHOLMS LÄN</t>
        </is>
      </c>
      <c r="E298" t="inlineStr">
        <is>
          <t>NORRTÄLJE</t>
        </is>
      </c>
      <c r="G298" t="n">
        <v>5</v>
      </c>
      <c r="H298" t="n">
        <v>0</v>
      </c>
      <c r="I298" t="n">
        <v>0</v>
      </c>
      <c r="J298" t="n">
        <v>0</v>
      </c>
      <c r="K298" t="n">
        <v>0</v>
      </c>
      <c r="L298" t="n">
        <v>0</v>
      </c>
      <c r="M298" t="n">
        <v>0</v>
      </c>
      <c r="N298" t="n">
        <v>0</v>
      </c>
      <c r="O298" t="n">
        <v>0</v>
      </c>
      <c r="P298" t="n">
        <v>0</v>
      </c>
      <c r="Q298" t="n">
        <v>0</v>
      </c>
      <c r="R298" s="2" t="inlineStr"/>
    </row>
    <row r="299" ht="15" customHeight="1">
      <c r="A299" t="inlineStr">
        <is>
          <t>A 20014-2025</t>
        </is>
      </c>
      <c r="B299" s="1" t="n">
        <v>45772.3078125</v>
      </c>
      <c r="C299" s="1" t="n">
        <v>45917</v>
      </c>
      <c r="D299" t="inlineStr">
        <is>
          <t>STOCKHOLMS LÄN</t>
        </is>
      </c>
      <c r="E299" t="inlineStr">
        <is>
          <t>NORRTÄLJE</t>
        </is>
      </c>
      <c r="G299" t="n">
        <v>4.4</v>
      </c>
      <c r="H299" t="n">
        <v>0</v>
      </c>
      <c r="I299" t="n">
        <v>0</v>
      </c>
      <c r="J299" t="n">
        <v>0</v>
      </c>
      <c r="K299" t="n">
        <v>0</v>
      </c>
      <c r="L299" t="n">
        <v>0</v>
      </c>
      <c r="M299" t="n">
        <v>0</v>
      </c>
      <c r="N299" t="n">
        <v>0</v>
      </c>
      <c r="O299" t="n">
        <v>0</v>
      </c>
      <c r="P299" t="n">
        <v>0</v>
      </c>
      <c r="Q299" t="n">
        <v>0</v>
      </c>
      <c r="R299" s="2" t="inlineStr"/>
    </row>
    <row r="300" ht="15" customHeight="1">
      <c r="A300" t="inlineStr">
        <is>
          <t>A 56631-2024</t>
        </is>
      </c>
      <c r="B300" s="1" t="n">
        <v>45625</v>
      </c>
      <c r="C300" s="1" t="n">
        <v>45917</v>
      </c>
      <c r="D300" t="inlineStr">
        <is>
          <t>STOCKHOLMS LÄN</t>
        </is>
      </c>
      <c r="E300" t="inlineStr">
        <is>
          <t>NORRTÄLJE</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48587-2023</t>
        </is>
      </c>
      <c r="B301" s="1" t="n">
        <v>45208</v>
      </c>
      <c r="C301" s="1" t="n">
        <v>45917</v>
      </c>
      <c r="D301" t="inlineStr">
        <is>
          <t>STOCKHOLMS LÄN</t>
        </is>
      </c>
      <c r="E301" t="inlineStr">
        <is>
          <t>NORRTÄLJE</t>
        </is>
      </c>
      <c r="G301" t="n">
        <v>7</v>
      </c>
      <c r="H301" t="n">
        <v>0</v>
      </c>
      <c r="I301" t="n">
        <v>0</v>
      </c>
      <c r="J301" t="n">
        <v>0</v>
      </c>
      <c r="K301" t="n">
        <v>0</v>
      </c>
      <c r="L301" t="n">
        <v>0</v>
      </c>
      <c r="M301" t="n">
        <v>0</v>
      </c>
      <c r="N301" t="n">
        <v>0</v>
      </c>
      <c r="O301" t="n">
        <v>0</v>
      </c>
      <c r="P301" t="n">
        <v>0</v>
      </c>
      <c r="Q301" t="n">
        <v>0</v>
      </c>
      <c r="R301" s="2" t="inlineStr"/>
    </row>
    <row r="302" ht="15" customHeight="1">
      <c r="A302" t="inlineStr">
        <is>
          <t>A 1968-2022</t>
        </is>
      </c>
      <c r="B302" s="1" t="n">
        <v>44575.52831018518</v>
      </c>
      <c r="C302" s="1" t="n">
        <v>45917</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20295-2022</t>
        </is>
      </c>
      <c r="B303" s="1" t="n">
        <v>44698</v>
      </c>
      <c r="C303" s="1" t="n">
        <v>45917</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53600-2022</t>
        </is>
      </c>
      <c r="B304" s="1" t="n">
        <v>44879.70518518519</v>
      </c>
      <c r="C304" s="1" t="n">
        <v>45917</v>
      </c>
      <c r="D304" t="inlineStr">
        <is>
          <t>STOCKHOLMS LÄN</t>
        </is>
      </c>
      <c r="E304" t="inlineStr">
        <is>
          <t>NORRTÄLJE</t>
        </is>
      </c>
      <c r="G304" t="n">
        <v>4.3</v>
      </c>
      <c r="H304" t="n">
        <v>0</v>
      </c>
      <c r="I304" t="n">
        <v>0</v>
      </c>
      <c r="J304" t="n">
        <v>0</v>
      </c>
      <c r="K304" t="n">
        <v>0</v>
      </c>
      <c r="L304" t="n">
        <v>0</v>
      </c>
      <c r="M304" t="n">
        <v>0</v>
      </c>
      <c r="N304" t="n">
        <v>0</v>
      </c>
      <c r="O304" t="n">
        <v>0</v>
      </c>
      <c r="P304" t="n">
        <v>0</v>
      </c>
      <c r="Q304" t="n">
        <v>0</v>
      </c>
      <c r="R304" s="2" t="inlineStr"/>
    </row>
    <row r="305" ht="15" customHeight="1">
      <c r="A305" t="inlineStr">
        <is>
          <t>A 37415-2021</t>
        </is>
      </c>
      <c r="B305" s="1" t="n">
        <v>44397</v>
      </c>
      <c r="C305" s="1" t="n">
        <v>45917</v>
      </c>
      <c r="D305" t="inlineStr">
        <is>
          <t>STOCKHOLMS LÄN</t>
        </is>
      </c>
      <c r="E305" t="inlineStr">
        <is>
          <t>NORRTÄLJE</t>
        </is>
      </c>
      <c r="F305" t="inlineStr">
        <is>
          <t>Övriga Aktiebolag</t>
        </is>
      </c>
      <c r="G305" t="n">
        <v>3</v>
      </c>
      <c r="H305" t="n">
        <v>0</v>
      </c>
      <c r="I305" t="n">
        <v>0</v>
      </c>
      <c r="J305" t="n">
        <v>0</v>
      </c>
      <c r="K305" t="n">
        <v>0</v>
      </c>
      <c r="L305" t="n">
        <v>0</v>
      </c>
      <c r="M305" t="n">
        <v>0</v>
      </c>
      <c r="N305" t="n">
        <v>0</v>
      </c>
      <c r="O305" t="n">
        <v>0</v>
      </c>
      <c r="P305" t="n">
        <v>0</v>
      </c>
      <c r="Q305" t="n">
        <v>0</v>
      </c>
      <c r="R305" s="2" t="inlineStr"/>
    </row>
    <row r="306" ht="15" customHeight="1">
      <c r="A306" t="inlineStr">
        <is>
          <t>A 45541-2022</t>
        </is>
      </c>
      <c r="B306" s="1" t="n">
        <v>44845.47672453704</v>
      </c>
      <c r="C306" s="1" t="n">
        <v>45917</v>
      </c>
      <c r="D306" t="inlineStr">
        <is>
          <t>STOCKHOLMS LÄN</t>
        </is>
      </c>
      <c r="E306" t="inlineStr">
        <is>
          <t>NORRTÄLJE</t>
        </is>
      </c>
      <c r="G306" t="n">
        <v>0.4</v>
      </c>
      <c r="H306" t="n">
        <v>0</v>
      </c>
      <c r="I306" t="n">
        <v>0</v>
      </c>
      <c r="J306" t="n">
        <v>0</v>
      </c>
      <c r="K306" t="n">
        <v>0</v>
      </c>
      <c r="L306" t="n">
        <v>0</v>
      </c>
      <c r="M306" t="n">
        <v>0</v>
      </c>
      <c r="N306" t="n">
        <v>0</v>
      </c>
      <c r="O306" t="n">
        <v>0</v>
      </c>
      <c r="P306" t="n">
        <v>0</v>
      </c>
      <c r="Q306" t="n">
        <v>0</v>
      </c>
      <c r="R306" s="2" t="inlineStr"/>
    </row>
    <row r="307" ht="15" customHeight="1">
      <c r="A307" t="inlineStr">
        <is>
          <t>A 42955-2022</t>
        </is>
      </c>
      <c r="B307" s="1" t="n">
        <v>44833.40876157407</v>
      </c>
      <c r="C307" s="1" t="n">
        <v>45917</v>
      </c>
      <c r="D307" t="inlineStr">
        <is>
          <t>STOCKHOLMS LÄN</t>
        </is>
      </c>
      <c r="E307" t="inlineStr">
        <is>
          <t>NORRTÄLJE</t>
        </is>
      </c>
      <c r="G307" t="n">
        <v>13.1</v>
      </c>
      <c r="H307" t="n">
        <v>0</v>
      </c>
      <c r="I307" t="n">
        <v>0</v>
      </c>
      <c r="J307" t="n">
        <v>0</v>
      </c>
      <c r="K307" t="n">
        <v>0</v>
      </c>
      <c r="L307" t="n">
        <v>0</v>
      </c>
      <c r="M307" t="n">
        <v>0</v>
      </c>
      <c r="N307" t="n">
        <v>0</v>
      </c>
      <c r="O307" t="n">
        <v>0</v>
      </c>
      <c r="P307" t="n">
        <v>0</v>
      </c>
      <c r="Q307" t="n">
        <v>0</v>
      </c>
      <c r="R307" s="2" t="inlineStr"/>
    </row>
    <row r="308" ht="15" customHeight="1">
      <c r="A308" t="inlineStr">
        <is>
          <t>A 12779-2021</t>
        </is>
      </c>
      <c r="B308" s="1" t="n">
        <v>44270</v>
      </c>
      <c r="C308" s="1" t="n">
        <v>45917</v>
      </c>
      <c r="D308" t="inlineStr">
        <is>
          <t>STOCKHOLMS LÄN</t>
        </is>
      </c>
      <c r="E308" t="inlineStr">
        <is>
          <t>NORRTÄLJE</t>
        </is>
      </c>
      <c r="G308" t="n">
        <v>10.8</v>
      </c>
      <c r="H308" t="n">
        <v>0</v>
      </c>
      <c r="I308" t="n">
        <v>0</v>
      </c>
      <c r="J308" t="n">
        <v>0</v>
      </c>
      <c r="K308" t="n">
        <v>0</v>
      </c>
      <c r="L308" t="n">
        <v>0</v>
      </c>
      <c r="M308" t="n">
        <v>0</v>
      </c>
      <c r="N308" t="n">
        <v>0</v>
      </c>
      <c r="O308" t="n">
        <v>0</v>
      </c>
      <c r="P308" t="n">
        <v>0</v>
      </c>
      <c r="Q308" t="n">
        <v>0</v>
      </c>
      <c r="R308" s="2" t="inlineStr"/>
    </row>
    <row r="309" ht="15" customHeight="1">
      <c r="A309" t="inlineStr">
        <is>
          <t>A 12782-2021</t>
        </is>
      </c>
      <c r="B309" s="1" t="n">
        <v>44270</v>
      </c>
      <c r="C309" s="1" t="n">
        <v>45917</v>
      </c>
      <c r="D309" t="inlineStr">
        <is>
          <t>STOCKHOLMS LÄN</t>
        </is>
      </c>
      <c r="E309" t="inlineStr">
        <is>
          <t>NORRTÄLJE</t>
        </is>
      </c>
      <c r="G309" t="n">
        <v>3.8</v>
      </c>
      <c r="H309" t="n">
        <v>0</v>
      </c>
      <c r="I309" t="n">
        <v>0</v>
      </c>
      <c r="J309" t="n">
        <v>0</v>
      </c>
      <c r="K309" t="n">
        <v>0</v>
      </c>
      <c r="L309" t="n">
        <v>0</v>
      </c>
      <c r="M309" t="n">
        <v>0</v>
      </c>
      <c r="N309" t="n">
        <v>0</v>
      </c>
      <c r="O309" t="n">
        <v>0</v>
      </c>
      <c r="P309" t="n">
        <v>0</v>
      </c>
      <c r="Q309" t="n">
        <v>0</v>
      </c>
      <c r="R309" s="2" t="inlineStr"/>
    </row>
    <row r="310" ht="15" customHeight="1">
      <c r="A310" t="inlineStr">
        <is>
          <t>A 68273-2021</t>
        </is>
      </c>
      <c r="B310" s="1" t="n">
        <v>44526</v>
      </c>
      <c r="C310" s="1" t="n">
        <v>45917</v>
      </c>
      <c r="D310" t="inlineStr">
        <is>
          <t>STOCKHOLMS LÄN</t>
        </is>
      </c>
      <c r="E310" t="inlineStr">
        <is>
          <t>NORRTÄLJE</t>
        </is>
      </c>
      <c r="G310" t="n">
        <v>5.3</v>
      </c>
      <c r="H310" t="n">
        <v>0</v>
      </c>
      <c r="I310" t="n">
        <v>0</v>
      </c>
      <c r="J310" t="n">
        <v>0</v>
      </c>
      <c r="K310" t="n">
        <v>0</v>
      </c>
      <c r="L310" t="n">
        <v>0</v>
      </c>
      <c r="M310" t="n">
        <v>0</v>
      </c>
      <c r="N310" t="n">
        <v>0</v>
      </c>
      <c r="O310" t="n">
        <v>0</v>
      </c>
      <c r="P310" t="n">
        <v>0</v>
      </c>
      <c r="Q310" t="n">
        <v>0</v>
      </c>
      <c r="R310" s="2" t="inlineStr"/>
    </row>
    <row r="311" ht="15" customHeight="1">
      <c r="A311" t="inlineStr">
        <is>
          <t>A 1229-2022</t>
        </is>
      </c>
      <c r="B311" s="1" t="n">
        <v>44572</v>
      </c>
      <c r="C311" s="1" t="n">
        <v>45917</v>
      </c>
      <c r="D311" t="inlineStr">
        <is>
          <t>STOCKHOLMS LÄN</t>
        </is>
      </c>
      <c r="E311" t="inlineStr">
        <is>
          <t>NORRTÄLJE</t>
        </is>
      </c>
      <c r="G311" t="n">
        <v>11.5</v>
      </c>
      <c r="H311" t="n">
        <v>0</v>
      </c>
      <c r="I311" t="n">
        <v>0</v>
      </c>
      <c r="J311" t="n">
        <v>0</v>
      </c>
      <c r="K311" t="n">
        <v>0</v>
      </c>
      <c r="L311" t="n">
        <v>0</v>
      </c>
      <c r="M311" t="n">
        <v>0</v>
      </c>
      <c r="N311" t="n">
        <v>0</v>
      </c>
      <c r="O311" t="n">
        <v>0</v>
      </c>
      <c r="P311" t="n">
        <v>0</v>
      </c>
      <c r="Q311" t="n">
        <v>0</v>
      </c>
      <c r="R311" s="2" t="inlineStr"/>
    </row>
    <row r="312" ht="15" customHeight="1">
      <c r="A312" t="inlineStr">
        <is>
          <t>A 20136-2025</t>
        </is>
      </c>
      <c r="B312" s="1" t="n">
        <v>45772.51127314815</v>
      </c>
      <c r="C312" s="1" t="n">
        <v>45917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15978-2024</t>
        </is>
      </c>
      <c r="B313" s="1" t="n">
        <v>45405.57927083333</v>
      </c>
      <c r="C313" s="1" t="n">
        <v>45917</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14051-2022</t>
        </is>
      </c>
      <c r="B314" s="1" t="n">
        <v>44650.92714120371</v>
      </c>
      <c r="C314" s="1" t="n">
        <v>45917</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30286-2022</t>
        </is>
      </c>
      <c r="B315" s="1" t="n">
        <v>44760</v>
      </c>
      <c r="C315" s="1" t="n">
        <v>45917</v>
      </c>
      <c r="D315" t="inlineStr">
        <is>
          <t>STOCKHOLMS LÄN</t>
        </is>
      </c>
      <c r="E315" t="inlineStr">
        <is>
          <t>NORRTÄLJE</t>
        </is>
      </c>
      <c r="G315" t="n">
        <v>0.3</v>
      </c>
      <c r="H315" t="n">
        <v>0</v>
      </c>
      <c r="I315" t="n">
        <v>0</v>
      </c>
      <c r="J315" t="n">
        <v>0</v>
      </c>
      <c r="K315" t="n">
        <v>0</v>
      </c>
      <c r="L315" t="n">
        <v>0</v>
      </c>
      <c r="M315" t="n">
        <v>0</v>
      </c>
      <c r="N315" t="n">
        <v>0</v>
      </c>
      <c r="O315" t="n">
        <v>0</v>
      </c>
      <c r="P315" t="n">
        <v>0</v>
      </c>
      <c r="Q315" t="n">
        <v>0</v>
      </c>
      <c r="R315" s="2" t="inlineStr"/>
    </row>
    <row r="316" ht="15" customHeight="1">
      <c r="A316" t="inlineStr">
        <is>
          <t>A 8160-2022</t>
        </is>
      </c>
      <c r="B316" s="1" t="n">
        <v>44609</v>
      </c>
      <c r="C316" s="1" t="n">
        <v>45917</v>
      </c>
      <c r="D316" t="inlineStr">
        <is>
          <t>STOCKHOLMS LÄN</t>
        </is>
      </c>
      <c r="E316" t="inlineStr">
        <is>
          <t>NORRTÄLJE</t>
        </is>
      </c>
      <c r="G316" t="n">
        <v>3.9</v>
      </c>
      <c r="H316" t="n">
        <v>0</v>
      </c>
      <c r="I316" t="n">
        <v>0</v>
      </c>
      <c r="J316" t="n">
        <v>0</v>
      </c>
      <c r="K316" t="n">
        <v>0</v>
      </c>
      <c r="L316" t="n">
        <v>0</v>
      </c>
      <c r="M316" t="n">
        <v>0</v>
      </c>
      <c r="N316" t="n">
        <v>0</v>
      </c>
      <c r="O316" t="n">
        <v>0</v>
      </c>
      <c r="P316" t="n">
        <v>0</v>
      </c>
      <c r="Q316" t="n">
        <v>0</v>
      </c>
      <c r="R316" s="2" t="inlineStr"/>
    </row>
    <row r="317" ht="15" customHeight="1">
      <c r="A317" t="inlineStr">
        <is>
          <t>A 58297-2023</t>
        </is>
      </c>
      <c r="B317" s="1" t="n">
        <v>45245</v>
      </c>
      <c r="C317" s="1" t="n">
        <v>45917</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20473-2021</t>
        </is>
      </c>
      <c r="B318" s="1" t="n">
        <v>44315</v>
      </c>
      <c r="C318" s="1" t="n">
        <v>45917</v>
      </c>
      <c r="D318" t="inlineStr">
        <is>
          <t>STOCKHOLMS LÄN</t>
        </is>
      </c>
      <c r="E318" t="inlineStr">
        <is>
          <t>NORRTÄLJE</t>
        </is>
      </c>
      <c r="F318" t="inlineStr">
        <is>
          <t>Övriga Aktiebolag</t>
        </is>
      </c>
      <c r="G318" t="n">
        <v>3.6</v>
      </c>
      <c r="H318" t="n">
        <v>0</v>
      </c>
      <c r="I318" t="n">
        <v>0</v>
      </c>
      <c r="J318" t="n">
        <v>0</v>
      </c>
      <c r="K318" t="n">
        <v>0</v>
      </c>
      <c r="L318" t="n">
        <v>0</v>
      </c>
      <c r="M318" t="n">
        <v>0</v>
      </c>
      <c r="N318" t="n">
        <v>0</v>
      </c>
      <c r="O318" t="n">
        <v>0</v>
      </c>
      <c r="P318" t="n">
        <v>0</v>
      </c>
      <c r="Q318" t="n">
        <v>0</v>
      </c>
      <c r="R318" s="2" t="inlineStr"/>
    </row>
    <row r="319" ht="15" customHeight="1">
      <c r="A319" t="inlineStr">
        <is>
          <t>A 39319-2022</t>
        </is>
      </c>
      <c r="B319" s="1" t="n">
        <v>44817.70516203704</v>
      </c>
      <c r="C319" s="1" t="n">
        <v>45917</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7603-2025</t>
        </is>
      </c>
      <c r="B320" s="1" t="n">
        <v>45705.66126157407</v>
      </c>
      <c r="C320" s="1" t="n">
        <v>45917</v>
      </c>
      <c r="D320" t="inlineStr">
        <is>
          <t>STOCKHOLMS LÄN</t>
        </is>
      </c>
      <c r="E320" t="inlineStr">
        <is>
          <t>NORRTÄLJE</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21726-2022</t>
        </is>
      </c>
      <c r="B321" s="1" t="n">
        <v>44708</v>
      </c>
      <c r="C321" s="1" t="n">
        <v>45917</v>
      </c>
      <c r="D321" t="inlineStr">
        <is>
          <t>STOCKHOLMS LÄN</t>
        </is>
      </c>
      <c r="E321" t="inlineStr">
        <is>
          <t>NORRTÄLJE</t>
        </is>
      </c>
      <c r="G321" t="n">
        <v>0.2</v>
      </c>
      <c r="H321" t="n">
        <v>0</v>
      </c>
      <c r="I321" t="n">
        <v>0</v>
      </c>
      <c r="J321" t="n">
        <v>0</v>
      </c>
      <c r="K321" t="n">
        <v>0</v>
      </c>
      <c r="L321" t="n">
        <v>0</v>
      </c>
      <c r="M321" t="n">
        <v>0</v>
      </c>
      <c r="N321" t="n">
        <v>0</v>
      </c>
      <c r="O321" t="n">
        <v>0</v>
      </c>
      <c r="P321" t="n">
        <v>0</v>
      </c>
      <c r="Q321" t="n">
        <v>0</v>
      </c>
      <c r="R321" s="2" t="inlineStr"/>
    </row>
    <row r="322" ht="15" customHeight="1">
      <c r="A322" t="inlineStr">
        <is>
          <t>A 21739-2022</t>
        </is>
      </c>
      <c r="B322" s="1" t="n">
        <v>44708.36708333333</v>
      </c>
      <c r="C322" s="1" t="n">
        <v>45917</v>
      </c>
      <c r="D322" t="inlineStr">
        <is>
          <t>STOCKHOLMS LÄN</t>
        </is>
      </c>
      <c r="E322" t="inlineStr">
        <is>
          <t>NORRTÄLJE</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37085-2021</t>
        </is>
      </c>
      <c r="B323" s="1" t="n">
        <v>44395</v>
      </c>
      <c r="C323" s="1" t="n">
        <v>45917</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28182-2022</t>
        </is>
      </c>
      <c r="B324" s="1" t="n">
        <v>44746.58530092592</v>
      </c>
      <c r="C324" s="1" t="n">
        <v>45917</v>
      </c>
      <c r="D324" t="inlineStr">
        <is>
          <t>STOCKHOLMS LÄN</t>
        </is>
      </c>
      <c r="E324" t="inlineStr">
        <is>
          <t>NORRTÄLJE</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55890-2020</t>
        </is>
      </c>
      <c r="B325" s="1" t="n">
        <v>44132</v>
      </c>
      <c r="C325" s="1" t="n">
        <v>45917</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56219-2021</t>
        </is>
      </c>
      <c r="B326" s="1" t="n">
        <v>44477</v>
      </c>
      <c r="C326" s="1" t="n">
        <v>45917</v>
      </c>
      <c r="D326" t="inlineStr">
        <is>
          <t>STOCKHOLMS LÄN</t>
        </is>
      </c>
      <c r="E326" t="inlineStr">
        <is>
          <t>NORRTÄLJE</t>
        </is>
      </c>
      <c r="F326" t="inlineStr">
        <is>
          <t>Kommuner</t>
        </is>
      </c>
      <c r="G326" t="n">
        <v>2.3</v>
      </c>
      <c r="H326" t="n">
        <v>0</v>
      </c>
      <c r="I326" t="n">
        <v>0</v>
      </c>
      <c r="J326" t="n">
        <v>0</v>
      </c>
      <c r="K326" t="n">
        <v>0</v>
      </c>
      <c r="L326" t="n">
        <v>0</v>
      </c>
      <c r="M326" t="n">
        <v>0</v>
      </c>
      <c r="N326" t="n">
        <v>0</v>
      </c>
      <c r="O326" t="n">
        <v>0</v>
      </c>
      <c r="P326" t="n">
        <v>0</v>
      </c>
      <c r="Q326" t="n">
        <v>0</v>
      </c>
      <c r="R326" s="2" t="inlineStr"/>
    </row>
    <row r="327" ht="15" customHeight="1">
      <c r="A327" t="inlineStr">
        <is>
          <t>A 25697-2025</t>
        </is>
      </c>
      <c r="B327" s="1" t="n">
        <v>45803.66587962963</v>
      </c>
      <c r="C327" s="1" t="n">
        <v>45917</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3283-2025</t>
        </is>
      </c>
      <c r="B328" s="1" t="n">
        <v>45679</v>
      </c>
      <c r="C328" s="1" t="n">
        <v>45917</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18092-2022</t>
        </is>
      </c>
      <c r="B329" s="1" t="n">
        <v>44684</v>
      </c>
      <c r="C329" s="1" t="n">
        <v>45917</v>
      </c>
      <c r="D329" t="inlineStr">
        <is>
          <t>STOCKHOLMS LÄN</t>
        </is>
      </c>
      <c r="E329" t="inlineStr">
        <is>
          <t>NORRTÄLJE</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33295-2023</t>
        </is>
      </c>
      <c r="B330" s="1" t="n">
        <v>45127.69371527778</v>
      </c>
      <c r="C330" s="1" t="n">
        <v>45917</v>
      </c>
      <c r="D330" t="inlineStr">
        <is>
          <t>STOCKHOLMS LÄN</t>
        </is>
      </c>
      <c r="E330" t="inlineStr">
        <is>
          <t>NORRTÄLJE</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5158-2024</t>
        </is>
      </c>
      <c r="B331" s="1" t="n">
        <v>45330.50098379629</v>
      </c>
      <c r="C331" s="1" t="n">
        <v>45917</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47259-2024</t>
        </is>
      </c>
      <c r="B332" s="1" t="n">
        <v>45586</v>
      </c>
      <c r="C332" s="1" t="n">
        <v>45917</v>
      </c>
      <c r="D332" t="inlineStr">
        <is>
          <t>STOCKHOLMS LÄN</t>
        </is>
      </c>
      <c r="E332" t="inlineStr">
        <is>
          <t>NORRTÄLJE</t>
        </is>
      </c>
      <c r="G332" t="n">
        <v>1.8</v>
      </c>
      <c r="H332" t="n">
        <v>0</v>
      </c>
      <c r="I332" t="n">
        <v>0</v>
      </c>
      <c r="J332" t="n">
        <v>0</v>
      </c>
      <c r="K332" t="n">
        <v>0</v>
      </c>
      <c r="L332" t="n">
        <v>0</v>
      </c>
      <c r="M332" t="n">
        <v>0</v>
      </c>
      <c r="N332" t="n">
        <v>0</v>
      </c>
      <c r="O332" t="n">
        <v>0</v>
      </c>
      <c r="P332" t="n">
        <v>0</v>
      </c>
      <c r="Q332" t="n">
        <v>0</v>
      </c>
      <c r="R332" s="2" t="inlineStr"/>
    </row>
    <row r="333" ht="15" customHeight="1">
      <c r="A333" t="inlineStr">
        <is>
          <t>A 58404-2023</t>
        </is>
      </c>
      <c r="B333" s="1" t="n">
        <v>45245</v>
      </c>
      <c r="C333" s="1" t="n">
        <v>45917</v>
      </c>
      <c r="D333" t="inlineStr">
        <is>
          <t>STOCKHOLMS LÄN</t>
        </is>
      </c>
      <c r="E333" t="inlineStr">
        <is>
          <t>NORRTÄLJE</t>
        </is>
      </c>
      <c r="G333" t="n">
        <v>53.5</v>
      </c>
      <c r="H333" t="n">
        <v>0</v>
      </c>
      <c r="I333" t="n">
        <v>0</v>
      </c>
      <c r="J333" t="n">
        <v>0</v>
      </c>
      <c r="K333" t="n">
        <v>0</v>
      </c>
      <c r="L333" t="n">
        <v>0</v>
      </c>
      <c r="M333" t="n">
        <v>0</v>
      </c>
      <c r="N333" t="n">
        <v>0</v>
      </c>
      <c r="O333" t="n">
        <v>0</v>
      </c>
      <c r="P333" t="n">
        <v>0</v>
      </c>
      <c r="Q333" t="n">
        <v>0</v>
      </c>
      <c r="R333" s="2" t="inlineStr"/>
    </row>
    <row r="334" ht="15" customHeight="1">
      <c r="A334" t="inlineStr">
        <is>
          <t>A 46988-2024</t>
        </is>
      </c>
      <c r="B334" s="1" t="n">
        <v>45586</v>
      </c>
      <c r="C334" s="1" t="n">
        <v>45917</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27885-2022</t>
        </is>
      </c>
      <c r="B335" s="1" t="n">
        <v>44743.67418981482</v>
      </c>
      <c r="C335" s="1" t="n">
        <v>45917</v>
      </c>
      <c r="D335" t="inlineStr">
        <is>
          <t>STOCKHOLMS LÄN</t>
        </is>
      </c>
      <c r="E335" t="inlineStr">
        <is>
          <t>NORRTÄLJE</t>
        </is>
      </c>
      <c r="F335" t="inlineStr">
        <is>
          <t>Holmen skog AB</t>
        </is>
      </c>
      <c r="G335" t="n">
        <v>0.8</v>
      </c>
      <c r="H335" t="n">
        <v>0</v>
      </c>
      <c r="I335" t="n">
        <v>0</v>
      </c>
      <c r="J335" t="n">
        <v>0</v>
      </c>
      <c r="K335" t="n">
        <v>0</v>
      </c>
      <c r="L335" t="n">
        <v>0</v>
      </c>
      <c r="M335" t="n">
        <v>0</v>
      </c>
      <c r="N335" t="n">
        <v>0</v>
      </c>
      <c r="O335" t="n">
        <v>0</v>
      </c>
      <c r="P335" t="n">
        <v>0</v>
      </c>
      <c r="Q335" t="n">
        <v>0</v>
      </c>
      <c r="R335" s="2" t="inlineStr"/>
    </row>
    <row r="336" ht="15" customHeight="1">
      <c r="A336" t="inlineStr">
        <is>
          <t>A 71552-2021</t>
        </is>
      </c>
      <c r="B336" s="1" t="n">
        <v>44540</v>
      </c>
      <c r="C336" s="1" t="n">
        <v>45917</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34478-2025</t>
        </is>
      </c>
      <c r="B337" s="1" t="n">
        <v>45847.37414351852</v>
      </c>
      <c r="C337" s="1" t="n">
        <v>45917</v>
      </c>
      <c r="D337" t="inlineStr">
        <is>
          <t>STOCKHOLMS LÄN</t>
        </is>
      </c>
      <c r="E337" t="inlineStr">
        <is>
          <t>NORRTÄLJE</t>
        </is>
      </c>
      <c r="F337" t="inlineStr">
        <is>
          <t>Övriga Aktiebolag</t>
        </is>
      </c>
      <c r="G337" t="n">
        <v>10.8</v>
      </c>
      <c r="H337" t="n">
        <v>0</v>
      </c>
      <c r="I337" t="n">
        <v>0</v>
      </c>
      <c r="J337" t="n">
        <v>0</v>
      </c>
      <c r="K337" t="n">
        <v>0</v>
      </c>
      <c r="L337" t="n">
        <v>0</v>
      </c>
      <c r="M337" t="n">
        <v>0</v>
      </c>
      <c r="N337" t="n">
        <v>0</v>
      </c>
      <c r="O337" t="n">
        <v>0</v>
      </c>
      <c r="P337" t="n">
        <v>0</v>
      </c>
      <c r="Q337" t="n">
        <v>0</v>
      </c>
      <c r="R337" s="2" t="inlineStr"/>
    </row>
    <row r="338" ht="15" customHeight="1">
      <c r="A338" t="inlineStr">
        <is>
          <t>A 17382-2024</t>
        </is>
      </c>
      <c r="B338" s="1" t="n">
        <v>45414.65855324074</v>
      </c>
      <c r="C338" s="1" t="n">
        <v>45917</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56166-2020</t>
        </is>
      </c>
      <c r="B339" s="1" t="n">
        <v>44133</v>
      </c>
      <c r="C339" s="1" t="n">
        <v>45917</v>
      </c>
      <c r="D339" t="inlineStr">
        <is>
          <t>STOCKHOLMS LÄN</t>
        </is>
      </c>
      <c r="E339" t="inlineStr">
        <is>
          <t>NORRTÄLJE</t>
        </is>
      </c>
      <c r="G339" t="n">
        <v>4.4</v>
      </c>
      <c r="H339" t="n">
        <v>0</v>
      </c>
      <c r="I339" t="n">
        <v>0</v>
      </c>
      <c r="J339" t="n">
        <v>0</v>
      </c>
      <c r="K339" t="n">
        <v>0</v>
      </c>
      <c r="L339" t="n">
        <v>0</v>
      </c>
      <c r="M339" t="n">
        <v>0</v>
      </c>
      <c r="N339" t="n">
        <v>0</v>
      </c>
      <c r="O339" t="n">
        <v>0</v>
      </c>
      <c r="P339" t="n">
        <v>0</v>
      </c>
      <c r="Q339" t="n">
        <v>0</v>
      </c>
      <c r="R339" s="2" t="inlineStr"/>
    </row>
    <row r="340" ht="15" customHeight="1">
      <c r="A340" t="inlineStr">
        <is>
          <t>A 25557-2023</t>
        </is>
      </c>
      <c r="B340" s="1" t="n">
        <v>45089</v>
      </c>
      <c r="C340" s="1" t="n">
        <v>45917</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25525-2022</t>
        </is>
      </c>
      <c r="B341" s="1" t="n">
        <v>44732</v>
      </c>
      <c r="C341" s="1" t="n">
        <v>45917</v>
      </c>
      <c r="D341" t="inlineStr">
        <is>
          <t>STOCKHOLMS LÄN</t>
        </is>
      </c>
      <c r="E341" t="inlineStr">
        <is>
          <t>NORRTÄLJE</t>
        </is>
      </c>
      <c r="G341" t="n">
        <v>2.2</v>
      </c>
      <c r="H341" t="n">
        <v>0</v>
      </c>
      <c r="I341" t="n">
        <v>0</v>
      </c>
      <c r="J341" t="n">
        <v>0</v>
      </c>
      <c r="K341" t="n">
        <v>0</v>
      </c>
      <c r="L341" t="n">
        <v>0</v>
      </c>
      <c r="M341" t="n">
        <v>0</v>
      </c>
      <c r="N341" t="n">
        <v>0</v>
      </c>
      <c r="O341" t="n">
        <v>0</v>
      </c>
      <c r="P341" t="n">
        <v>0</v>
      </c>
      <c r="Q341" t="n">
        <v>0</v>
      </c>
      <c r="R341" s="2" t="inlineStr"/>
    </row>
    <row r="342" ht="15" customHeight="1">
      <c r="A342" t="inlineStr">
        <is>
          <t>A 51046-2023</t>
        </is>
      </c>
      <c r="B342" s="1" t="n">
        <v>45218</v>
      </c>
      <c r="C342" s="1" t="n">
        <v>45917</v>
      </c>
      <c r="D342" t="inlineStr">
        <is>
          <t>STOCKHOLMS LÄN</t>
        </is>
      </c>
      <c r="E342" t="inlineStr">
        <is>
          <t>NORRTÄLJE</t>
        </is>
      </c>
      <c r="G342" t="n">
        <v>2.5</v>
      </c>
      <c r="H342" t="n">
        <v>0</v>
      </c>
      <c r="I342" t="n">
        <v>0</v>
      </c>
      <c r="J342" t="n">
        <v>0</v>
      </c>
      <c r="K342" t="n">
        <v>0</v>
      </c>
      <c r="L342" t="n">
        <v>0</v>
      </c>
      <c r="M342" t="n">
        <v>0</v>
      </c>
      <c r="N342" t="n">
        <v>0</v>
      </c>
      <c r="O342" t="n">
        <v>0</v>
      </c>
      <c r="P342" t="n">
        <v>0</v>
      </c>
      <c r="Q342" t="n">
        <v>0</v>
      </c>
      <c r="R342" s="2" t="inlineStr"/>
    </row>
    <row r="343" ht="15" customHeight="1">
      <c r="A343" t="inlineStr">
        <is>
          <t>A 48722-2023</t>
        </is>
      </c>
      <c r="B343" s="1" t="n">
        <v>45208.70996527778</v>
      </c>
      <c r="C343" s="1" t="n">
        <v>45917</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9914-2023</t>
        </is>
      </c>
      <c r="B344" s="1" t="n">
        <v>44985</v>
      </c>
      <c r="C344" s="1" t="n">
        <v>45917</v>
      </c>
      <c r="D344" t="inlineStr">
        <is>
          <t>STOCKHOLMS LÄN</t>
        </is>
      </c>
      <c r="E344" t="inlineStr">
        <is>
          <t>NORRTÄLJE</t>
        </is>
      </c>
      <c r="G344" t="n">
        <v>4.2</v>
      </c>
      <c r="H344" t="n">
        <v>0</v>
      </c>
      <c r="I344" t="n">
        <v>0</v>
      </c>
      <c r="J344" t="n">
        <v>0</v>
      </c>
      <c r="K344" t="n">
        <v>0</v>
      </c>
      <c r="L344" t="n">
        <v>0</v>
      </c>
      <c r="M344" t="n">
        <v>0</v>
      </c>
      <c r="N344" t="n">
        <v>0</v>
      </c>
      <c r="O344" t="n">
        <v>0</v>
      </c>
      <c r="P344" t="n">
        <v>0</v>
      </c>
      <c r="Q344" t="n">
        <v>0</v>
      </c>
      <c r="R344" s="2" t="inlineStr"/>
    </row>
    <row r="345" ht="15" customHeight="1">
      <c r="A345" t="inlineStr">
        <is>
          <t>A 26675-2025</t>
        </is>
      </c>
      <c r="B345" s="1" t="n">
        <v>45810.42393518519</v>
      </c>
      <c r="C345" s="1" t="n">
        <v>45917</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60525-2022</t>
        </is>
      </c>
      <c r="B346" s="1" t="n">
        <v>44904</v>
      </c>
      <c r="C346" s="1" t="n">
        <v>45917</v>
      </c>
      <c r="D346" t="inlineStr">
        <is>
          <t>STOCKHOLMS LÄN</t>
        </is>
      </c>
      <c r="E346" t="inlineStr">
        <is>
          <t>NORRTÄLJE</t>
        </is>
      </c>
      <c r="G346" t="n">
        <v>13.4</v>
      </c>
      <c r="H346" t="n">
        <v>0</v>
      </c>
      <c r="I346" t="n">
        <v>0</v>
      </c>
      <c r="J346" t="n">
        <v>0</v>
      </c>
      <c r="K346" t="n">
        <v>0</v>
      </c>
      <c r="L346" t="n">
        <v>0</v>
      </c>
      <c r="M346" t="n">
        <v>0</v>
      </c>
      <c r="N346" t="n">
        <v>0</v>
      </c>
      <c r="O346" t="n">
        <v>0</v>
      </c>
      <c r="P346" t="n">
        <v>0</v>
      </c>
      <c r="Q346" t="n">
        <v>0</v>
      </c>
      <c r="R346" s="2" t="inlineStr"/>
    </row>
    <row r="347" ht="15" customHeight="1">
      <c r="A347" t="inlineStr">
        <is>
          <t>A 57987-2020</t>
        </is>
      </c>
      <c r="B347" s="1" t="n">
        <v>44143</v>
      </c>
      <c r="C347" s="1" t="n">
        <v>45917</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58302-2022</t>
        </is>
      </c>
      <c r="B348" s="1" t="n">
        <v>44901</v>
      </c>
      <c r="C348" s="1" t="n">
        <v>45917</v>
      </c>
      <c r="D348" t="inlineStr">
        <is>
          <t>STOCKHOLMS LÄN</t>
        </is>
      </c>
      <c r="E348" t="inlineStr">
        <is>
          <t>NORRTÄLJE</t>
        </is>
      </c>
      <c r="G348" t="n">
        <v>3.9</v>
      </c>
      <c r="H348" t="n">
        <v>0</v>
      </c>
      <c r="I348" t="n">
        <v>0</v>
      </c>
      <c r="J348" t="n">
        <v>0</v>
      </c>
      <c r="K348" t="n">
        <v>0</v>
      </c>
      <c r="L348" t="n">
        <v>0</v>
      </c>
      <c r="M348" t="n">
        <v>0</v>
      </c>
      <c r="N348" t="n">
        <v>0</v>
      </c>
      <c r="O348" t="n">
        <v>0</v>
      </c>
      <c r="P348" t="n">
        <v>0</v>
      </c>
      <c r="Q348" t="n">
        <v>0</v>
      </c>
      <c r="R348" s="2" t="inlineStr"/>
    </row>
    <row r="349" ht="15" customHeight="1">
      <c r="A349" t="inlineStr">
        <is>
          <t>A 8736-2024</t>
        </is>
      </c>
      <c r="B349" s="1" t="n">
        <v>45356.4722800926</v>
      </c>
      <c r="C349" s="1" t="n">
        <v>45917</v>
      </c>
      <c r="D349" t="inlineStr">
        <is>
          <t>STOCKHOLMS LÄN</t>
        </is>
      </c>
      <c r="E349" t="inlineStr">
        <is>
          <t>NORRTÄLJE</t>
        </is>
      </c>
      <c r="G349" t="n">
        <v>8.9</v>
      </c>
      <c r="H349" t="n">
        <v>0</v>
      </c>
      <c r="I349" t="n">
        <v>0</v>
      </c>
      <c r="J349" t="n">
        <v>0</v>
      </c>
      <c r="K349" t="n">
        <v>0</v>
      </c>
      <c r="L349" t="n">
        <v>0</v>
      </c>
      <c r="M349" t="n">
        <v>0</v>
      </c>
      <c r="N349" t="n">
        <v>0</v>
      </c>
      <c r="O349" t="n">
        <v>0</v>
      </c>
      <c r="P349" t="n">
        <v>0</v>
      </c>
      <c r="Q349" t="n">
        <v>0</v>
      </c>
      <c r="R349" s="2" t="inlineStr"/>
    </row>
    <row r="350" ht="15" customHeight="1">
      <c r="A350" t="inlineStr">
        <is>
          <t>A 23061-2025</t>
        </is>
      </c>
      <c r="B350" s="1" t="n">
        <v>45790.81410879629</v>
      </c>
      <c r="C350" s="1" t="n">
        <v>45917</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15552-2021</t>
        </is>
      </c>
      <c r="B351" s="1" t="n">
        <v>44285</v>
      </c>
      <c r="C351" s="1" t="n">
        <v>45917</v>
      </c>
      <c r="D351" t="inlineStr">
        <is>
          <t>STOCKHOLMS LÄN</t>
        </is>
      </c>
      <c r="E351" t="inlineStr">
        <is>
          <t>NORRTÄLJE</t>
        </is>
      </c>
      <c r="G351" t="n">
        <v>10</v>
      </c>
      <c r="H351" t="n">
        <v>0</v>
      </c>
      <c r="I351" t="n">
        <v>0</v>
      </c>
      <c r="J351" t="n">
        <v>0</v>
      </c>
      <c r="K351" t="n">
        <v>0</v>
      </c>
      <c r="L351" t="n">
        <v>0</v>
      </c>
      <c r="M351" t="n">
        <v>0</v>
      </c>
      <c r="N351" t="n">
        <v>0</v>
      </c>
      <c r="O351" t="n">
        <v>0</v>
      </c>
      <c r="P351" t="n">
        <v>0</v>
      </c>
      <c r="Q351" t="n">
        <v>0</v>
      </c>
      <c r="R351" s="2" t="inlineStr"/>
    </row>
    <row r="352" ht="15" customHeight="1">
      <c r="A352" t="inlineStr">
        <is>
          <t>A 67393-2020</t>
        </is>
      </c>
      <c r="B352" s="1" t="n">
        <v>44181</v>
      </c>
      <c r="C352" s="1" t="n">
        <v>45917</v>
      </c>
      <c r="D352" t="inlineStr">
        <is>
          <t>STOCKHOLMS LÄN</t>
        </is>
      </c>
      <c r="E352" t="inlineStr">
        <is>
          <t>NORRTÄLJE</t>
        </is>
      </c>
      <c r="G352" t="n">
        <v>5.5</v>
      </c>
      <c r="H352" t="n">
        <v>0</v>
      </c>
      <c r="I352" t="n">
        <v>0</v>
      </c>
      <c r="J352" t="n">
        <v>0</v>
      </c>
      <c r="K352" t="n">
        <v>0</v>
      </c>
      <c r="L352" t="n">
        <v>0</v>
      </c>
      <c r="M352" t="n">
        <v>0</v>
      </c>
      <c r="N352" t="n">
        <v>0</v>
      </c>
      <c r="O352" t="n">
        <v>0</v>
      </c>
      <c r="P352" t="n">
        <v>0</v>
      </c>
      <c r="Q352" t="n">
        <v>0</v>
      </c>
      <c r="R352" s="2" t="inlineStr"/>
    </row>
    <row r="353" ht="15" customHeight="1">
      <c r="A353" t="inlineStr">
        <is>
          <t>A 26747-2025</t>
        </is>
      </c>
      <c r="B353" s="1" t="n">
        <v>45810.5333912037</v>
      </c>
      <c r="C353" s="1" t="n">
        <v>45917</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4860-2022</t>
        </is>
      </c>
      <c r="B354" s="1" t="n">
        <v>44592</v>
      </c>
      <c r="C354" s="1" t="n">
        <v>45917</v>
      </c>
      <c r="D354" t="inlineStr">
        <is>
          <t>STOCKHOLMS LÄN</t>
        </is>
      </c>
      <c r="E354" t="inlineStr">
        <is>
          <t>NORRTÄLJE</t>
        </is>
      </c>
      <c r="G354" t="n">
        <v>22.3</v>
      </c>
      <c r="H354" t="n">
        <v>0</v>
      </c>
      <c r="I354" t="n">
        <v>0</v>
      </c>
      <c r="J354" t="n">
        <v>0</v>
      </c>
      <c r="K354" t="n">
        <v>0</v>
      </c>
      <c r="L354" t="n">
        <v>0</v>
      </c>
      <c r="M354" t="n">
        <v>0</v>
      </c>
      <c r="N354" t="n">
        <v>0</v>
      </c>
      <c r="O354" t="n">
        <v>0</v>
      </c>
      <c r="P354" t="n">
        <v>0</v>
      </c>
      <c r="Q354" t="n">
        <v>0</v>
      </c>
      <c r="R354" s="2" t="inlineStr"/>
    </row>
    <row r="355" ht="15" customHeight="1">
      <c r="A355" t="inlineStr">
        <is>
          <t>A 23269-2023</t>
        </is>
      </c>
      <c r="B355" s="1" t="n">
        <v>45075.91148148148</v>
      </c>
      <c r="C355" s="1" t="n">
        <v>45917</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23801-2022</t>
        </is>
      </c>
      <c r="B356" s="1" t="n">
        <v>44722</v>
      </c>
      <c r="C356" s="1" t="n">
        <v>45917</v>
      </c>
      <c r="D356" t="inlineStr">
        <is>
          <t>STOCKHOLMS LÄN</t>
        </is>
      </c>
      <c r="E356" t="inlineStr">
        <is>
          <t>NORRTÄLJE</t>
        </is>
      </c>
      <c r="G356" t="n">
        <v>6.8</v>
      </c>
      <c r="H356" t="n">
        <v>0</v>
      </c>
      <c r="I356" t="n">
        <v>0</v>
      </c>
      <c r="J356" t="n">
        <v>0</v>
      </c>
      <c r="K356" t="n">
        <v>0</v>
      </c>
      <c r="L356" t="n">
        <v>0</v>
      </c>
      <c r="M356" t="n">
        <v>0</v>
      </c>
      <c r="N356" t="n">
        <v>0</v>
      </c>
      <c r="O356" t="n">
        <v>0</v>
      </c>
      <c r="P356" t="n">
        <v>0</v>
      </c>
      <c r="Q356" t="n">
        <v>0</v>
      </c>
      <c r="R356" s="2" t="inlineStr"/>
    </row>
    <row r="357" ht="15" customHeight="1">
      <c r="A357" t="inlineStr">
        <is>
          <t>A 26702-2025</t>
        </is>
      </c>
      <c r="B357" s="1" t="n">
        <v>45810.45236111111</v>
      </c>
      <c r="C357" s="1" t="n">
        <v>45917</v>
      </c>
      <c r="D357" t="inlineStr">
        <is>
          <t>STOCKHOLMS LÄN</t>
        </is>
      </c>
      <c r="E357" t="inlineStr">
        <is>
          <t>NORRTÄLJE</t>
        </is>
      </c>
      <c r="G357" t="n">
        <v>7.3</v>
      </c>
      <c r="H357" t="n">
        <v>0</v>
      </c>
      <c r="I357" t="n">
        <v>0</v>
      </c>
      <c r="J357" t="n">
        <v>0</v>
      </c>
      <c r="K357" t="n">
        <v>0</v>
      </c>
      <c r="L357" t="n">
        <v>0</v>
      </c>
      <c r="M357" t="n">
        <v>0</v>
      </c>
      <c r="N357" t="n">
        <v>0</v>
      </c>
      <c r="O357" t="n">
        <v>0</v>
      </c>
      <c r="P357" t="n">
        <v>0</v>
      </c>
      <c r="Q357" t="n">
        <v>0</v>
      </c>
      <c r="R357" s="2" t="inlineStr"/>
    </row>
    <row r="358" ht="15" customHeight="1">
      <c r="A358" t="inlineStr">
        <is>
          <t>A 26703-2025</t>
        </is>
      </c>
      <c r="B358" s="1" t="n">
        <v>45810.45263888889</v>
      </c>
      <c r="C358" s="1" t="n">
        <v>45917</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23060-2023</t>
        </is>
      </c>
      <c r="B359" s="1" t="n">
        <v>45075</v>
      </c>
      <c r="C359" s="1" t="n">
        <v>45917</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58661-2020</t>
        </is>
      </c>
      <c r="B360" s="1" t="n">
        <v>44145</v>
      </c>
      <c r="C360" s="1" t="n">
        <v>45917</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45255-2022</t>
        </is>
      </c>
      <c r="B361" s="1" t="n">
        <v>44840</v>
      </c>
      <c r="C361" s="1" t="n">
        <v>45917</v>
      </c>
      <c r="D361" t="inlineStr">
        <is>
          <t>STOCKHOLMS LÄN</t>
        </is>
      </c>
      <c r="E361" t="inlineStr">
        <is>
          <t>NORRTÄLJE</t>
        </is>
      </c>
      <c r="G361" t="n">
        <v>4.1</v>
      </c>
      <c r="H361" t="n">
        <v>0</v>
      </c>
      <c r="I361" t="n">
        <v>0</v>
      </c>
      <c r="J361" t="n">
        <v>0</v>
      </c>
      <c r="K361" t="n">
        <v>0</v>
      </c>
      <c r="L361" t="n">
        <v>0</v>
      </c>
      <c r="M361" t="n">
        <v>0</v>
      </c>
      <c r="N361" t="n">
        <v>0</v>
      </c>
      <c r="O361" t="n">
        <v>0</v>
      </c>
      <c r="P361" t="n">
        <v>0</v>
      </c>
      <c r="Q361" t="n">
        <v>0</v>
      </c>
      <c r="R361" s="2" t="inlineStr"/>
    </row>
    <row r="362" ht="15" customHeight="1">
      <c r="A362" t="inlineStr">
        <is>
          <t>A 19915-2024</t>
        </is>
      </c>
      <c r="B362" s="1" t="n">
        <v>45433.58431712963</v>
      </c>
      <c r="C362" s="1" t="n">
        <v>45917</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26708-2025</t>
        </is>
      </c>
      <c r="B363" s="1" t="n">
        <v>45810.45633101852</v>
      </c>
      <c r="C363" s="1" t="n">
        <v>45917</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12629-2024</t>
        </is>
      </c>
      <c r="B364" s="1" t="n">
        <v>45383</v>
      </c>
      <c r="C364" s="1" t="n">
        <v>45917</v>
      </c>
      <c r="D364" t="inlineStr">
        <is>
          <t>STOCKHOLMS LÄN</t>
        </is>
      </c>
      <c r="E364" t="inlineStr">
        <is>
          <t>NORRTÄLJE</t>
        </is>
      </c>
      <c r="G364" t="n">
        <v>2.6</v>
      </c>
      <c r="H364" t="n">
        <v>0</v>
      </c>
      <c r="I364" t="n">
        <v>0</v>
      </c>
      <c r="J364" t="n">
        <v>0</v>
      </c>
      <c r="K364" t="n">
        <v>0</v>
      </c>
      <c r="L364" t="n">
        <v>0</v>
      </c>
      <c r="M364" t="n">
        <v>0</v>
      </c>
      <c r="N364" t="n">
        <v>0</v>
      </c>
      <c r="O364" t="n">
        <v>0</v>
      </c>
      <c r="P364" t="n">
        <v>0</v>
      </c>
      <c r="Q364" t="n">
        <v>0</v>
      </c>
      <c r="R364" s="2" t="inlineStr"/>
    </row>
    <row r="365" ht="15" customHeight="1">
      <c r="A365" t="inlineStr">
        <is>
          <t>A 33353-2023</t>
        </is>
      </c>
      <c r="B365" s="1" t="n">
        <v>45128</v>
      </c>
      <c r="C365" s="1" t="n">
        <v>45917</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52743-2024</t>
        </is>
      </c>
      <c r="B366" s="1" t="n">
        <v>45610.47414351852</v>
      </c>
      <c r="C366" s="1" t="n">
        <v>45917</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27040-2025</t>
        </is>
      </c>
      <c r="B367" s="1" t="n">
        <v>45811.60451388889</v>
      </c>
      <c r="C367" s="1" t="n">
        <v>45917</v>
      </c>
      <c r="D367" t="inlineStr">
        <is>
          <t>STOCKHOLMS LÄN</t>
        </is>
      </c>
      <c r="E367" t="inlineStr">
        <is>
          <t>NORRTÄLJE</t>
        </is>
      </c>
      <c r="G367" t="n">
        <v>4.3</v>
      </c>
      <c r="H367" t="n">
        <v>0</v>
      </c>
      <c r="I367" t="n">
        <v>0</v>
      </c>
      <c r="J367" t="n">
        <v>0</v>
      </c>
      <c r="K367" t="n">
        <v>0</v>
      </c>
      <c r="L367" t="n">
        <v>0</v>
      </c>
      <c r="M367" t="n">
        <v>0</v>
      </c>
      <c r="N367" t="n">
        <v>0</v>
      </c>
      <c r="O367" t="n">
        <v>0</v>
      </c>
      <c r="P367" t="n">
        <v>0</v>
      </c>
      <c r="Q367" t="n">
        <v>0</v>
      </c>
      <c r="R367" s="2" t="inlineStr"/>
    </row>
    <row r="368" ht="15" customHeight="1">
      <c r="A368" t="inlineStr">
        <is>
          <t>A 20428-2024</t>
        </is>
      </c>
      <c r="B368" s="1" t="n">
        <v>45435</v>
      </c>
      <c r="C368" s="1" t="n">
        <v>45917</v>
      </c>
      <c r="D368" t="inlineStr">
        <is>
          <t>STOCKHOLMS LÄN</t>
        </is>
      </c>
      <c r="E368" t="inlineStr">
        <is>
          <t>NORRTÄLJE</t>
        </is>
      </c>
      <c r="G368" t="n">
        <v>3.7</v>
      </c>
      <c r="H368" t="n">
        <v>0</v>
      </c>
      <c r="I368" t="n">
        <v>0</v>
      </c>
      <c r="J368" t="n">
        <v>0</v>
      </c>
      <c r="K368" t="n">
        <v>0</v>
      </c>
      <c r="L368" t="n">
        <v>0</v>
      </c>
      <c r="M368" t="n">
        <v>0</v>
      </c>
      <c r="N368" t="n">
        <v>0</v>
      </c>
      <c r="O368" t="n">
        <v>0</v>
      </c>
      <c r="P368" t="n">
        <v>0</v>
      </c>
      <c r="Q368" t="n">
        <v>0</v>
      </c>
      <c r="R368" s="2" t="inlineStr"/>
    </row>
    <row r="369" ht="15" customHeight="1">
      <c r="A369" t="inlineStr">
        <is>
          <t>A 57037-2022</t>
        </is>
      </c>
      <c r="B369" s="1" t="n">
        <v>44895</v>
      </c>
      <c r="C369" s="1" t="n">
        <v>45917</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14762-2024</t>
        </is>
      </c>
      <c r="B370" s="1" t="n">
        <v>45397</v>
      </c>
      <c r="C370" s="1" t="n">
        <v>45917</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27677-2025</t>
        </is>
      </c>
      <c r="B371" s="1" t="n">
        <v>45813.63650462963</v>
      </c>
      <c r="C371" s="1" t="n">
        <v>45917</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35708-2022</t>
        </is>
      </c>
      <c r="B372" s="1" t="n">
        <v>44799.65013888889</v>
      </c>
      <c r="C372" s="1" t="n">
        <v>45917</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27697-2025</t>
        </is>
      </c>
      <c r="B373" s="1" t="n">
        <v>45813.66961805556</v>
      </c>
      <c r="C373" s="1" t="n">
        <v>45917</v>
      </c>
      <c r="D373" t="inlineStr">
        <is>
          <t>STOCKHOLMS LÄN</t>
        </is>
      </c>
      <c r="E373" t="inlineStr">
        <is>
          <t>NORRTÄLJE</t>
        </is>
      </c>
      <c r="G373" t="n">
        <v>6.2</v>
      </c>
      <c r="H373" t="n">
        <v>0</v>
      </c>
      <c r="I373" t="n">
        <v>0</v>
      </c>
      <c r="J373" t="n">
        <v>0</v>
      </c>
      <c r="K373" t="n">
        <v>0</v>
      </c>
      <c r="L373" t="n">
        <v>0</v>
      </c>
      <c r="M373" t="n">
        <v>0</v>
      </c>
      <c r="N373" t="n">
        <v>0</v>
      </c>
      <c r="O373" t="n">
        <v>0</v>
      </c>
      <c r="P373" t="n">
        <v>0</v>
      </c>
      <c r="Q373" t="n">
        <v>0</v>
      </c>
      <c r="R373" s="2" t="inlineStr"/>
    </row>
    <row r="374" ht="15" customHeight="1">
      <c r="A374" t="inlineStr">
        <is>
          <t>A 27700-2025</t>
        </is>
      </c>
      <c r="B374" s="1" t="n">
        <v>45813.6799537037</v>
      </c>
      <c r="C374" s="1" t="n">
        <v>45917</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27554-2025</t>
        </is>
      </c>
      <c r="B375" s="1" t="n">
        <v>45813.4709375</v>
      </c>
      <c r="C375" s="1" t="n">
        <v>45917</v>
      </c>
      <c r="D375" t="inlineStr">
        <is>
          <t>STOCKHOLMS LÄN</t>
        </is>
      </c>
      <c r="E375" t="inlineStr">
        <is>
          <t>NORRTÄLJE</t>
        </is>
      </c>
      <c r="F375" t="inlineStr">
        <is>
          <t>Övriga Aktiebolag</t>
        </is>
      </c>
      <c r="G375" t="n">
        <v>2.5</v>
      </c>
      <c r="H375" t="n">
        <v>0</v>
      </c>
      <c r="I375" t="n">
        <v>0</v>
      </c>
      <c r="J375" t="n">
        <v>0</v>
      </c>
      <c r="K375" t="n">
        <v>0</v>
      </c>
      <c r="L375" t="n">
        <v>0</v>
      </c>
      <c r="M375" t="n">
        <v>0</v>
      </c>
      <c r="N375" t="n">
        <v>0</v>
      </c>
      <c r="O375" t="n">
        <v>0</v>
      </c>
      <c r="P375" t="n">
        <v>0</v>
      </c>
      <c r="Q375" t="n">
        <v>0</v>
      </c>
      <c r="R375" s="2" t="inlineStr"/>
    </row>
    <row r="376" ht="15" customHeight="1">
      <c r="A376" t="inlineStr">
        <is>
          <t>A 3426-2025</t>
        </is>
      </c>
      <c r="B376" s="1" t="n">
        <v>45680.42665509259</v>
      </c>
      <c r="C376" s="1" t="n">
        <v>45917</v>
      </c>
      <c r="D376" t="inlineStr">
        <is>
          <t>STOCKHOLMS LÄN</t>
        </is>
      </c>
      <c r="E376" t="inlineStr">
        <is>
          <t>NORRTÄLJE</t>
        </is>
      </c>
      <c r="G376" t="n">
        <v>3.2</v>
      </c>
      <c r="H376" t="n">
        <v>0</v>
      </c>
      <c r="I376" t="n">
        <v>0</v>
      </c>
      <c r="J376" t="n">
        <v>0</v>
      </c>
      <c r="K376" t="n">
        <v>0</v>
      </c>
      <c r="L376" t="n">
        <v>0</v>
      </c>
      <c r="M376" t="n">
        <v>0</v>
      </c>
      <c r="N376" t="n">
        <v>0</v>
      </c>
      <c r="O376" t="n">
        <v>0</v>
      </c>
      <c r="P376" t="n">
        <v>0</v>
      </c>
      <c r="Q376" t="n">
        <v>0</v>
      </c>
      <c r="R376" s="2" t="inlineStr"/>
    </row>
    <row r="377" ht="15" customHeight="1">
      <c r="A377" t="inlineStr">
        <is>
          <t>A 23149-2024</t>
        </is>
      </c>
      <c r="B377" s="1" t="n">
        <v>45450.64208333333</v>
      </c>
      <c r="C377" s="1" t="n">
        <v>45917</v>
      </c>
      <c r="D377" t="inlineStr">
        <is>
          <t>STOCKHOLMS LÄN</t>
        </is>
      </c>
      <c r="E377" t="inlineStr">
        <is>
          <t>NORRTÄLJE</t>
        </is>
      </c>
      <c r="F377" t="inlineStr">
        <is>
          <t>Kommuner</t>
        </is>
      </c>
      <c r="G377" t="n">
        <v>1.3</v>
      </c>
      <c r="H377" t="n">
        <v>0</v>
      </c>
      <c r="I377" t="n">
        <v>0</v>
      </c>
      <c r="J377" t="n">
        <v>0</v>
      </c>
      <c r="K377" t="n">
        <v>0</v>
      </c>
      <c r="L377" t="n">
        <v>0</v>
      </c>
      <c r="M377" t="n">
        <v>0</v>
      </c>
      <c r="N377" t="n">
        <v>0</v>
      </c>
      <c r="O377" t="n">
        <v>0</v>
      </c>
      <c r="P377" t="n">
        <v>0</v>
      </c>
      <c r="Q377" t="n">
        <v>0</v>
      </c>
      <c r="R377" s="2" t="inlineStr"/>
    </row>
    <row r="378" ht="15" customHeight="1">
      <c r="A378" t="inlineStr">
        <is>
          <t>A 23151-2024</t>
        </is>
      </c>
      <c r="B378" s="1" t="n">
        <v>45450</v>
      </c>
      <c r="C378" s="1" t="n">
        <v>45917</v>
      </c>
      <c r="D378" t="inlineStr">
        <is>
          <t>STOCKHOLMS LÄN</t>
        </is>
      </c>
      <c r="E378" t="inlineStr">
        <is>
          <t>NORRTÄLJE</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9-2024</t>
        </is>
      </c>
      <c r="B379" s="1" t="n">
        <v>45293</v>
      </c>
      <c r="C379" s="1" t="n">
        <v>45917</v>
      </c>
      <c r="D379" t="inlineStr">
        <is>
          <t>STOCKHOLMS LÄN</t>
        </is>
      </c>
      <c r="E379" t="inlineStr">
        <is>
          <t>NORRTÄLJE</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51312-2023</t>
        </is>
      </c>
      <c r="B380" s="1" t="n">
        <v>45219.56697916667</v>
      </c>
      <c r="C380" s="1" t="n">
        <v>45917</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16913-2025</t>
        </is>
      </c>
      <c r="B381" s="1" t="n">
        <v>45755.36583333334</v>
      </c>
      <c r="C381" s="1" t="n">
        <v>45917</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11901-2024</t>
        </is>
      </c>
      <c r="B382" s="1" t="n">
        <v>45376.55638888889</v>
      </c>
      <c r="C382" s="1" t="n">
        <v>45917</v>
      </c>
      <c r="D382" t="inlineStr">
        <is>
          <t>STOCKHOLMS LÄN</t>
        </is>
      </c>
      <c r="E382" t="inlineStr">
        <is>
          <t>NORRTÄLJE</t>
        </is>
      </c>
      <c r="F382" t="inlineStr">
        <is>
          <t>Holmen skog AB</t>
        </is>
      </c>
      <c r="G382" t="n">
        <v>3.5</v>
      </c>
      <c r="H382" t="n">
        <v>0</v>
      </c>
      <c r="I382" t="n">
        <v>0</v>
      </c>
      <c r="J382" t="n">
        <v>0</v>
      </c>
      <c r="K382" t="n">
        <v>0</v>
      </c>
      <c r="L382" t="n">
        <v>0</v>
      </c>
      <c r="M382" t="n">
        <v>0</v>
      </c>
      <c r="N382" t="n">
        <v>0</v>
      </c>
      <c r="O382" t="n">
        <v>0</v>
      </c>
      <c r="P382" t="n">
        <v>0</v>
      </c>
      <c r="Q382" t="n">
        <v>0</v>
      </c>
      <c r="R382" s="2" t="inlineStr"/>
    </row>
    <row r="383" ht="15" customHeight="1">
      <c r="A383" t="inlineStr">
        <is>
          <t>A 11849-2025</t>
        </is>
      </c>
      <c r="B383" s="1" t="n">
        <v>45728.38409722222</v>
      </c>
      <c r="C383" s="1" t="n">
        <v>45917</v>
      </c>
      <c r="D383" t="inlineStr">
        <is>
          <t>STOCKHOLMS LÄN</t>
        </is>
      </c>
      <c r="E383" t="inlineStr">
        <is>
          <t>NORRTÄLJE</t>
        </is>
      </c>
      <c r="G383" t="n">
        <v>1.7</v>
      </c>
      <c r="H383" t="n">
        <v>0</v>
      </c>
      <c r="I383" t="n">
        <v>0</v>
      </c>
      <c r="J383" t="n">
        <v>0</v>
      </c>
      <c r="K383" t="n">
        <v>0</v>
      </c>
      <c r="L383" t="n">
        <v>0</v>
      </c>
      <c r="M383" t="n">
        <v>0</v>
      </c>
      <c r="N383" t="n">
        <v>0</v>
      </c>
      <c r="O383" t="n">
        <v>0</v>
      </c>
      <c r="P383" t="n">
        <v>0</v>
      </c>
      <c r="Q383" t="n">
        <v>0</v>
      </c>
      <c r="R383" s="2" t="inlineStr"/>
    </row>
    <row r="384" ht="15" customHeight="1">
      <c r="A384" t="inlineStr">
        <is>
          <t>A 38610-2022</t>
        </is>
      </c>
      <c r="B384" s="1" t="n">
        <v>44813.59915509259</v>
      </c>
      <c r="C384" s="1" t="n">
        <v>45917</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22816-2021</t>
        </is>
      </c>
      <c r="B385" s="1" t="n">
        <v>44325</v>
      </c>
      <c r="C385" s="1" t="n">
        <v>45917</v>
      </c>
      <c r="D385" t="inlineStr">
        <is>
          <t>STOCKHOLMS LÄN</t>
        </is>
      </c>
      <c r="E385" t="inlineStr">
        <is>
          <t>NORRTÄLJE</t>
        </is>
      </c>
      <c r="G385" t="n">
        <v>4.5</v>
      </c>
      <c r="H385" t="n">
        <v>0</v>
      </c>
      <c r="I385" t="n">
        <v>0</v>
      </c>
      <c r="J385" t="n">
        <v>0</v>
      </c>
      <c r="K385" t="n">
        <v>0</v>
      </c>
      <c r="L385" t="n">
        <v>0</v>
      </c>
      <c r="M385" t="n">
        <v>0</v>
      </c>
      <c r="N385" t="n">
        <v>0</v>
      </c>
      <c r="O385" t="n">
        <v>0</v>
      </c>
      <c r="P385" t="n">
        <v>0</v>
      </c>
      <c r="Q385" t="n">
        <v>0</v>
      </c>
      <c r="R385" s="2" t="inlineStr"/>
    </row>
    <row r="386" ht="15" customHeight="1">
      <c r="A386" t="inlineStr">
        <is>
          <t>A 51978-2023</t>
        </is>
      </c>
      <c r="B386" s="1" t="n">
        <v>45223</v>
      </c>
      <c r="C386" s="1" t="n">
        <v>45917</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13051-2021</t>
        </is>
      </c>
      <c r="B387" s="1" t="n">
        <v>44272</v>
      </c>
      <c r="C387" s="1" t="n">
        <v>45917</v>
      </c>
      <c r="D387" t="inlineStr">
        <is>
          <t>STOCKHOLMS LÄN</t>
        </is>
      </c>
      <c r="E387" t="inlineStr">
        <is>
          <t>NORRTÄLJE</t>
        </is>
      </c>
      <c r="G387" t="n">
        <v>9.1</v>
      </c>
      <c r="H387" t="n">
        <v>0</v>
      </c>
      <c r="I387" t="n">
        <v>0</v>
      </c>
      <c r="J387" t="n">
        <v>0</v>
      </c>
      <c r="K387" t="n">
        <v>0</v>
      </c>
      <c r="L387" t="n">
        <v>0</v>
      </c>
      <c r="M387" t="n">
        <v>0</v>
      </c>
      <c r="N387" t="n">
        <v>0</v>
      </c>
      <c r="O387" t="n">
        <v>0</v>
      </c>
      <c r="P387" t="n">
        <v>0</v>
      </c>
      <c r="Q387" t="n">
        <v>0</v>
      </c>
      <c r="R387" s="2" t="inlineStr"/>
    </row>
    <row r="388" ht="15" customHeight="1">
      <c r="A388" t="inlineStr">
        <is>
          <t>A 11499-2023</t>
        </is>
      </c>
      <c r="B388" s="1" t="n">
        <v>44993.66707175926</v>
      </c>
      <c r="C388" s="1" t="n">
        <v>45917</v>
      </c>
      <c r="D388" t="inlineStr">
        <is>
          <t>STOCKHOLMS LÄN</t>
        </is>
      </c>
      <c r="E388" t="inlineStr">
        <is>
          <t>NORRTÄLJE</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55755-2023</t>
        </is>
      </c>
      <c r="B389" s="1" t="n">
        <v>45239</v>
      </c>
      <c r="C389" s="1" t="n">
        <v>45917</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45549-2022</t>
        </is>
      </c>
      <c r="B390" s="1" t="n">
        <v>44845.48064814815</v>
      </c>
      <c r="C390" s="1" t="n">
        <v>45917</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53652-2020</t>
        </is>
      </c>
      <c r="B391" s="1" t="n">
        <v>44124</v>
      </c>
      <c r="C391" s="1" t="n">
        <v>45917</v>
      </c>
      <c r="D391" t="inlineStr">
        <is>
          <t>STOCKHOLMS LÄN</t>
        </is>
      </c>
      <c r="E391" t="inlineStr">
        <is>
          <t>NORRTÄLJE</t>
        </is>
      </c>
      <c r="G391" t="n">
        <v>2</v>
      </c>
      <c r="H391" t="n">
        <v>0</v>
      </c>
      <c r="I391" t="n">
        <v>0</v>
      </c>
      <c r="J391" t="n">
        <v>0</v>
      </c>
      <c r="K391" t="n">
        <v>0</v>
      </c>
      <c r="L391" t="n">
        <v>0</v>
      </c>
      <c r="M391" t="n">
        <v>0</v>
      </c>
      <c r="N391" t="n">
        <v>0</v>
      </c>
      <c r="O391" t="n">
        <v>0</v>
      </c>
      <c r="P391" t="n">
        <v>0</v>
      </c>
      <c r="Q391" t="n">
        <v>0</v>
      </c>
      <c r="R391" s="2" t="inlineStr"/>
    </row>
    <row r="392" ht="15" customHeight="1">
      <c r="A392" t="inlineStr">
        <is>
          <t>A 64600-2021</t>
        </is>
      </c>
      <c r="B392" s="1" t="n">
        <v>44511.70518518519</v>
      </c>
      <c r="C392" s="1" t="n">
        <v>45917</v>
      </c>
      <c r="D392" t="inlineStr">
        <is>
          <t>STOCKHOLMS LÄN</t>
        </is>
      </c>
      <c r="E392" t="inlineStr">
        <is>
          <t>NORRTÄLJE</t>
        </is>
      </c>
      <c r="G392" t="n">
        <v>6.2</v>
      </c>
      <c r="H392" t="n">
        <v>0</v>
      </c>
      <c r="I392" t="n">
        <v>0</v>
      </c>
      <c r="J392" t="n">
        <v>0</v>
      </c>
      <c r="K392" t="n">
        <v>0</v>
      </c>
      <c r="L392" t="n">
        <v>0</v>
      </c>
      <c r="M392" t="n">
        <v>0</v>
      </c>
      <c r="N392" t="n">
        <v>0</v>
      </c>
      <c r="O392" t="n">
        <v>0</v>
      </c>
      <c r="P392" t="n">
        <v>0</v>
      </c>
      <c r="Q392" t="n">
        <v>0</v>
      </c>
      <c r="R392" s="2" t="inlineStr"/>
    </row>
    <row r="393" ht="15" customHeight="1">
      <c r="A393" t="inlineStr">
        <is>
          <t>A 35640-2024</t>
        </is>
      </c>
      <c r="B393" s="1" t="n">
        <v>45531</v>
      </c>
      <c r="C393" s="1" t="n">
        <v>45917</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40761-2024</t>
        </is>
      </c>
      <c r="B394" s="1" t="n">
        <v>45558.46283564815</v>
      </c>
      <c r="C394" s="1" t="n">
        <v>45917</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23692-2024</t>
        </is>
      </c>
      <c r="B395" s="1" t="n">
        <v>45454.65774305556</v>
      </c>
      <c r="C395" s="1" t="n">
        <v>45917</v>
      </c>
      <c r="D395" t="inlineStr">
        <is>
          <t>STOCKHOLMS LÄN</t>
        </is>
      </c>
      <c r="E395" t="inlineStr">
        <is>
          <t>NORRTÄLJE</t>
        </is>
      </c>
      <c r="G395" t="n">
        <v>3.7</v>
      </c>
      <c r="H395" t="n">
        <v>0</v>
      </c>
      <c r="I395" t="n">
        <v>0</v>
      </c>
      <c r="J395" t="n">
        <v>0</v>
      </c>
      <c r="K395" t="n">
        <v>0</v>
      </c>
      <c r="L395" t="n">
        <v>0</v>
      </c>
      <c r="M395" t="n">
        <v>0</v>
      </c>
      <c r="N395" t="n">
        <v>0</v>
      </c>
      <c r="O395" t="n">
        <v>0</v>
      </c>
      <c r="P395" t="n">
        <v>0</v>
      </c>
      <c r="Q395" t="n">
        <v>0</v>
      </c>
      <c r="R395" s="2" t="inlineStr"/>
    </row>
    <row r="396" ht="15" customHeight="1">
      <c r="A396" t="inlineStr">
        <is>
          <t>A 27802-2025</t>
        </is>
      </c>
      <c r="B396" s="1" t="n">
        <v>45817.2565625</v>
      </c>
      <c r="C396" s="1" t="n">
        <v>45917</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27806-2025</t>
        </is>
      </c>
      <c r="B397" s="1" t="n">
        <v>45817.30329861111</v>
      </c>
      <c r="C397" s="1" t="n">
        <v>45917</v>
      </c>
      <c r="D397" t="inlineStr">
        <is>
          <t>STOCKHOLMS LÄN</t>
        </is>
      </c>
      <c r="E397" t="inlineStr">
        <is>
          <t>NORRTÄLJE</t>
        </is>
      </c>
      <c r="G397" t="n">
        <v>3</v>
      </c>
      <c r="H397" t="n">
        <v>0</v>
      </c>
      <c r="I397" t="n">
        <v>0</v>
      </c>
      <c r="J397" t="n">
        <v>0</v>
      </c>
      <c r="K397" t="n">
        <v>0</v>
      </c>
      <c r="L397" t="n">
        <v>0</v>
      </c>
      <c r="M397" t="n">
        <v>0</v>
      </c>
      <c r="N397" t="n">
        <v>0</v>
      </c>
      <c r="O397" t="n">
        <v>0</v>
      </c>
      <c r="P397" t="n">
        <v>0</v>
      </c>
      <c r="Q397" t="n">
        <v>0</v>
      </c>
      <c r="R397" s="2" t="inlineStr"/>
    </row>
    <row r="398" ht="15" customHeight="1">
      <c r="A398" t="inlineStr">
        <is>
          <t>A 27808-2025</t>
        </is>
      </c>
      <c r="B398" s="1" t="n">
        <v>45817.31085648148</v>
      </c>
      <c r="C398" s="1" t="n">
        <v>45917</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27810-2025</t>
        </is>
      </c>
      <c r="B399" s="1" t="n">
        <v>45817.31708333334</v>
      </c>
      <c r="C399" s="1" t="n">
        <v>45917</v>
      </c>
      <c r="D399" t="inlineStr">
        <is>
          <t>STOCKHOLMS LÄN</t>
        </is>
      </c>
      <c r="E399" t="inlineStr">
        <is>
          <t>NORRTÄLJE</t>
        </is>
      </c>
      <c r="G399" t="n">
        <v>3.9</v>
      </c>
      <c r="H399" t="n">
        <v>0</v>
      </c>
      <c r="I399" t="n">
        <v>0</v>
      </c>
      <c r="J399" t="n">
        <v>0</v>
      </c>
      <c r="K399" t="n">
        <v>0</v>
      </c>
      <c r="L399" t="n">
        <v>0</v>
      </c>
      <c r="M399" t="n">
        <v>0</v>
      </c>
      <c r="N399" t="n">
        <v>0</v>
      </c>
      <c r="O399" t="n">
        <v>0</v>
      </c>
      <c r="P399" t="n">
        <v>0</v>
      </c>
      <c r="Q399" t="n">
        <v>0</v>
      </c>
      <c r="R399" s="2" t="inlineStr"/>
    </row>
    <row r="400" ht="15" customHeight="1">
      <c r="A400" t="inlineStr">
        <is>
          <t>A 27811-2025</t>
        </is>
      </c>
      <c r="B400" s="1" t="n">
        <v>45817.31986111111</v>
      </c>
      <c r="C400" s="1" t="n">
        <v>45917</v>
      </c>
      <c r="D400" t="inlineStr">
        <is>
          <t>STOCKHOLMS LÄN</t>
        </is>
      </c>
      <c r="E400" t="inlineStr">
        <is>
          <t>NORRTÄLJE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27818-2025</t>
        </is>
      </c>
      <c r="B401" s="1" t="n">
        <v>45817.33503472222</v>
      </c>
      <c r="C401" s="1" t="n">
        <v>45917</v>
      </c>
      <c r="D401" t="inlineStr">
        <is>
          <t>STOCKHOLMS LÄN</t>
        </is>
      </c>
      <c r="E401" t="inlineStr">
        <is>
          <t>NORRTÄLJE</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8586-2023</t>
        </is>
      </c>
      <c r="B402" s="1" t="n">
        <v>44977</v>
      </c>
      <c r="C402" s="1" t="n">
        <v>45917</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67990-2021</t>
        </is>
      </c>
      <c r="B403" s="1" t="n">
        <v>44525</v>
      </c>
      <c r="C403" s="1" t="n">
        <v>45917</v>
      </c>
      <c r="D403" t="inlineStr">
        <is>
          <t>STOCKHOLMS LÄN</t>
        </is>
      </c>
      <c r="E403" t="inlineStr">
        <is>
          <t>NORRTÄLJE</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15528-2025</t>
        </is>
      </c>
      <c r="B404" s="1" t="n">
        <v>45747.63471064815</v>
      </c>
      <c r="C404" s="1" t="n">
        <v>45917</v>
      </c>
      <c r="D404" t="inlineStr">
        <is>
          <t>STOCKHOLMS LÄN</t>
        </is>
      </c>
      <c r="E404" t="inlineStr">
        <is>
          <t>NORRTÄLJE</t>
        </is>
      </c>
      <c r="G404" t="n">
        <v>10</v>
      </c>
      <c r="H404" t="n">
        <v>0</v>
      </c>
      <c r="I404" t="n">
        <v>0</v>
      </c>
      <c r="J404" t="n">
        <v>0</v>
      </c>
      <c r="K404" t="n">
        <v>0</v>
      </c>
      <c r="L404" t="n">
        <v>0</v>
      </c>
      <c r="M404" t="n">
        <v>0</v>
      </c>
      <c r="N404" t="n">
        <v>0</v>
      </c>
      <c r="O404" t="n">
        <v>0</v>
      </c>
      <c r="P404" t="n">
        <v>0</v>
      </c>
      <c r="Q404" t="n">
        <v>0</v>
      </c>
      <c r="R404" s="2" t="inlineStr"/>
    </row>
    <row r="405" ht="15" customHeight="1">
      <c r="A405" t="inlineStr">
        <is>
          <t>A 27803-2025</t>
        </is>
      </c>
      <c r="B405" s="1" t="n">
        <v>45817.291875</v>
      </c>
      <c r="C405" s="1" t="n">
        <v>45917</v>
      </c>
      <c r="D405" t="inlineStr">
        <is>
          <t>STOCKHOLMS LÄN</t>
        </is>
      </c>
      <c r="E405" t="inlineStr">
        <is>
          <t>NORRTÄLJE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27813-2025</t>
        </is>
      </c>
      <c r="B406" s="1" t="n">
        <v>45817.32538194444</v>
      </c>
      <c r="C406" s="1" t="n">
        <v>45917</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37550-2022</t>
        </is>
      </c>
      <c r="B407" s="1" t="n">
        <v>44809</v>
      </c>
      <c r="C407" s="1" t="n">
        <v>45917</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27801-2025</t>
        </is>
      </c>
      <c r="B408" s="1" t="n">
        <v>45817.25471064815</v>
      </c>
      <c r="C408" s="1" t="n">
        <v>45917</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47431-2023</t>
        </is>
      </c>
      <c r="B409" s="1" t="n">
        <v>45202</v>
      </c>
      <c r="C409" s="1" t="n">
        <v>45917</v>
      </c>
      <c r="D409" t="inlineStr">
        <is>
          <t>STOCKHOLMS LÄN</t>
        </is>
      </c>
      <c r="E409" t="inlineStr">
        <is>
          <t>NORRTÄLJE</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27821-2025</t>
        </is>
      </c>
      <c r="B410" s="1" t="n">
        <v>45817.34083333334</v>
      </c>
      <c r="C410" s="1" t="n">
        <v>45917</v>
      </c>
      <c r="D410" t="inlineStr">
        <is>
          <t>STOCKHOLMS LÄN</t>
        </is>
      </c>
      <c r="E410" t="inlineStr">
        <is>
          <t>NORRTÄLJE</t>
        </is>
      </c>
      <c r="G410" t="n">
        <v>3.2</v>
      </c>
      <c r="H410" t="n">
        <v>0</v>
      </c>
      <c r="I410" t="n">
        <v>0</v>
      </c>
      <c r="J410" t="n">
        <v>0</v>
      </c>
      <c r="K410" t="n">
        <v>0</v>
      </c>
      <c r="L410" t="n">
        <v>0</v>
      </c>
      <c r="M410" t="n">
        <v>0</v>
      </c>
      <c r="N410" t="n">
        <v>0</v>
      </c>
      <c r="O410" t="n">
        <v>0</v>
      </c>
      <c r="P410" t="n">
        <v>0</v>
      </c>
      <c r="Q410" t="n">
        <v>0</v>
      </c>
      <c r="R410" s="2" t="inlineStr"/>
    </row>
    <row r="411" ht="15" customHeight="1">
      <c r="A411" t="inlineStr">
        <is>
          <t>A 59468-2023</t>
        </is>
      </c>
      <c r="B411" s="1" t="n">
        <v>45254.41509259259</v>
      </c>
      <c r="C411" s="1" t="n">
        <v>45917</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23262-2023</t>
        </is>
      </c>
      <c r="B412" s="1" t="n">
        <v>45075.90270833333</v>
      </c>
      <c r="C412" s="1" t="n">
        <v>45917</v>
      </c>
      <c r="D412" t="inlineStr">
        <is>
          <t>STOCKHOLMS LÄN</t>
        </is>
      </c>
      <c r="E412" t="inlineStr">
        <is>
          <t>NORRTÄLJE</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23268-2023</t>
        </is>
      </c>
      <c r="B413" s="1" t="n">
        <v>45075.91042824074</v>
      </c>
      <c r="C413" s="1" t="n">
        <v>45917</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23270-2023</t>
        </is>
      </c>
      <c r="B414" s="1" t="n">
        <v>45075.91265046296</v>
      </c>
      <c r="C414" s="1" t="n">
        <v>45917</v>
      </c>
      <c r="D414" t="inlineStr">
        <is>
          <t>STOCKHOLMS LÄN</t>
        </is>
      </c>
      <c r="E414" t="inlineStr">
        <is>
          <t>NORRTÄLJE</t>
        </is>
      </c>
      <c r="G414" t="n">
        <v>12.3</v>
      </c>
      <c r="H414" t="n">
        <v>0</v>
      </c>
      <c r="I414" t="n">
        <v>0</v>
      </c>
      <c r="J414" t="n">
        <v>0</v>
      </c>
      <c r="K414" t="n">
        <v>0</v>
      </c>
      <c r="L414" t="n">
        <v>0</v>
      </c>
      <c r="M414" t="n">
        <v>0</v>
      </c>
      <c r="N414" t="n">
        <v>0</v>
      </c>
      <c r="O414" t="n">
        <v>0</v>
      </c>
      <c r="P414" t="n">
        <v>0</v>
      </c>
      <c r="Q414" t="n">
        <v>0</v>
      </c>
      <c r="R414" s="2" t="inlineStr"/>
    </row>
    <row r="415" ht="15" customHeight="1">
      <c r="A415" t="inlineStr">
        <is>
          <t>A 23274-2023</t>
        </is>
      </c>
      <c r="B415" s="1" t="n">
        <v>45075.92153935185</v>
      </c>
      <c r="C415" s="1" t="n">
        <v>45917</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18846-2022</t>
        </is>
      </c>
      <c r="B416" s="1" t="n">
        <v>44690</v>
      </c>
      <c r="C416" s="1" t="n">
        <v>45917</v>
      </c>
      <c r="D416" t="inlineStr">
        <is>
          <t>STOCKHOLMS LÄN</t>
        </is>
      </c>
      <c r="E416" t="inlineStr">
        <is>
          <t>NORRTÄLJE</t>
        </is>
      </c>
      <c r="G416" t="n">
        <v>7</v>
      </c>
      <c r="H416" t="n">
        <v>0</v>
      </c>
      <c r="I416" t="n">
        <v>0</v>
      </c>
      <c r="J416" t="n">
        <v>0</v>
      </c>
      <c r="K416" t="n">
        <v>0</v>
      </c>
      <c r="L416" t="n">
        <v>0</v>
      </c>
      <c r="M416" t="n">
        <v>0</v>
      </c>
      <c r="N416" t="n">
        <v>0</v>
      </c>
      <c r="O416" t="n">
        <v>0</v>
      </c>
      <c r="P416" t="n">
        <v>0</v>
      </c>
      <c r="Q416" t="n">
        <v>0</v>
      </c>
      <c r="R416" s="2" t="inlineStr"/>
    </row>
    <row r="417" ht="15" customHeight="1">
      <c r="A417" t="inlineStr">
        <is>
          <t>A 5732-2023</t>
        </is>
      </c>
      <c r="B417" s="1" t="n">
        <v>44962</v>
      </c>
      <c r="C417" s="1" t="n">
        <v>45917</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21696-2024</t>
        </is>
      </c>
      <c r="B418" s="1" t="n">
        <v>45442.45686342593</v>
      </c>
      <c r="C418" s="1" t="n">
        <v>45917</v>
      </c>
      <c r="D418" t="inlineStr">
        <is>
          <t>STOCKHOLMS LÄN</t>
        </is>
      </c>
      <c r="E418" t="inlineStr">
        <is>
          <t>NORRTÄLJE</t>
        </is>
      </c>
      <c r="G418" t="n">
        <v>2.9</v>
      </c>
      <c r="H418" t="n">
        <v>0</v>
      </c>
      <c r="I418" t="n">
        <v>0</v>
      </c>
      <c r="J418" t="n">
        <v>0</v>
      </c>
      <c r="K418" t="n">
        <v>0</v>
      </c>
      <c r="L418" t="n">
        <v>0</v>
      </c>
      <c r="M418" t="n">
        <v>0</v>
      </c>
      <c r="N418" t="n">
        <v>0</v>
      </c>
      <c r="O418" t="n">
        <v>0</v>
      </c>
      <c r="P418" t="n">
        <v>0</v>
      </c>
      <c r="Q418" t="n">
        <v>0</v>
      </c>
      <c r="R418" s="2" t="inlineStr"/>
    </row>
    <row r="419" ht="15" customHeight="1">
      <c r="A419" t="inlineStr">
        <is>
          <t>A 37136-2023</t>
        </is>
      </c>
      <c r="B419" s="1" t="n">
        <v>45155</v>
      </c>
      <c r="C419" s="1" t="n">
        <v>45917</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25609-2023</t>
        </is>
      </c>
      <c r="B420" s="1" t="n">
        <v>45089</v>
      </c>
      <c r="C420" s="1" t="n">
        <v>45917</v>
      </c>
      <c r="D420" t="inlineStr">
        <is>
          <t>STOCKHOLMS LÄN</t>
        </is>
      </c>
      <c r="E420" t="inlineStr">
        <is>
          <t>NORRTÄLJE</t>
        </is>
      </c>
      <c r="G420" t="n">
        <v>2.5</v>
      </c>
      <c r="H420" t="n">
        <v>0</v>
      </c>
      <c r="I420" t="n">
        <v>0</v>
      </c>
      <c r="J420" t="n">
        <v>0</v>
      </c>
      <c r="K420" t="n">
        <v>0</v>
      </c>
      <c r="L420" t="n">
        <v>0</v>
      </c>
      <c r="M420" t="n">
        <v>0</v>
      </c>
      <c r="N420" t="n">
        <v>0</v>
      </c>
      <c r="O420" t="n">
        <v>0</v>
      </c>
      <c r="P420" t="n">
        <v>0</v>
      </c>
      <c r="Q420" t="n">
        <v>0</v>
      </c>
      <c r="R420" s="2" t="inlineStr"/>
    </row>
    <row r="421" ht="15" customHeight="1">
      <c r="A421" t="inlineStr">
        <is>
          <t>A 33569-2023</t>
        </is>
      </c>
      <c r="B421" s="1" t="n">
        <v>45131.666875</v>
      </c>
      <c r="C421" s="1" t="n">
        <v>45917</v>
      </c>
      <c r="D421" t="inlineStr">
        <is>
          <t>STOCKHOLMS LÄN</t>
        </is>
      </c>
      <c r="E421" t="inlineStr">
        <is>
          <t>NORRTÄLJE</t>
        </is>
      </c>
      <c r="G421" t="n">
        <v>2.3</v>
      </c>
      <c r="H421" t="n">
        <v>0</v>
      </c>
      <c r="I421" t="n">
        <v>0</v>
      </c>
      <c r="J421" t="n">
        <v>0</v>
      </c>
      <c r="K421" t="n">
        <v>0</v>
      </c>
      <c r="L421" t="n">
        <v>0</v>
      </c>
      <c r="M421" t="n">
        <v>0</v>
      </c>
      <c r="N421" t="n">
        <v>0</v>
      </c>
      <c r="O421" t="n">
        <v>0</v>
      </c>
      <c r="P421" t="n">
        <v>0</v>
      </c>
      <c r="Q421" t="n">
        <v>0</v>
      </c>
      <c r="R421" s="2" t="inlineStr"/>
    </row>
    <row r="422" ht="15" customHeight="1">
      <c r="A422" t="inlineStr">
        <is>
          <t>A 44075-2023</t>
        </is>
      </c>
      <c r="B422" s="1" t="n">
        <v>45188.41637731482</v>
      </c>
      <c r="C422" s="1" t="n">
        <v>45917</v>
      </c>
      <c r="D422" t="inlineStr">
        <is>
          <t>STOCKHOLMS LÄN</t>
        </is>
      </c>
      <c r="E422" t="inlineStr">
        <is>
          <t>NORRTÄLJE</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1740-2023</t>
        </is>
      </c>
      <c r="B423" s="1" t="n">
        <v>44938</v>
      </c>
      <c r="C423" s="1" t="n">
        <v>45917</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50569-2022</t>
        </is>
      </c>
      <c r="B424" s="1" t="n">
        <v>44866.63775462963</v>
      </c>
      <c r="C424" s="1" t="n">
        <v>45917</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29250-2025</t>
        </is>
      </c>
      <c r="B425" s="1" t="n">
        <v>45824.37275462963</v>
      </c>
      <c r="C425" s="1" t="n">
        <v>45917</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12535-2025</t>
        </is>
      </c>
      <c r="B426" s="1" t="n">
        <v>45730.69502314815</v>
      </c>
      <c r="C426" s="1" t="n">
        <v>45917</v>
      </c>
      <c r="D426" t="inlineStr">
        <is>
          <t>STOCKHOLMS LÄN</t>
        </is>
      </c>
      <c r="E426" t="inlineStr">
        <is>
          <t>NORRTÄLJE</t>
        </is>
      </c>
      <c r="G426" t="n">
        <v>7.1</v>
      </c>
      <c r="H426" t="n">
        <v>0</v>
      </c>
      <c r="I426" t="n">
        <v>0</v>
      </c>
      <c r="J426" t="n">
        <v>0</v>
      </c>
      <c r="K426" t="n">
        <v>0</v>
      </c>
      <c r="L426" t="n">
        <v>0</v>
      </c>
      <c r="M426" t="n">
        <v>0</v>
      </c>
      <c r="N426" t="n">
        <v>0</v>
      </c>
      <c r="O426" t="n">
        <v>0</v>
      </c>
      <c r="P426" t="n">
        <v>0</v>
      </c>
      <c r="Q426" t="n">
        <v>0</v>
      </c>
      <c r="R426" s="2" t="inlineStr"/>
    </row>
    <row r="427" ht="15" customHeight="1">
      <c r="A427" t="inlineStr">
        <is>
          <t>A 574-2023</t>
        </is>
      </c>
      <c r="B427" s="1" t="n">
        <v>44925</v>
      </c>
      <c r="C427" s="1" t="n">
        <v>45917</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22833-2024</t>
        </is>
      </c>
      <c r="B428" s="1" t="n">
        <v>45448.56746527777</v>
      </c>
      <c r="C428" s="1" t="n">
        <v>45917</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60224-2023</t>
        </is>
      </c>
      <c r="B429" s="1" t="n">
        <v>45257</v>
      </c>
      <c r="C429" s="1" t="n">
        <v>45917</v>
      </c>
      <c r="D429" t="inlineStr">
        <is>
          <t>STOCKHOLMS LÄN</t>
        </is>
      </c>
      <c r="E429" t="inlineStr">
        <is>
          <t>NORRTÄLJE</t>
        </is>
      </c>
      <c r="G429" t="n">
        <v>8.1</v>
      </c>
      <c r="H429" t="n">
        <v>0</v>
      </c>
      <c r="I429" t="n">
        <v>0</v>
      </c>
      <c r="J429" t="n">
        <v>0</v>
      </c>
      <c r="K429" t="n">
        <v>0</v>
      </c>
      <c r="L429" t="n">
        <v>0</v>
      </c>
      <c r="M429" t="n">
        <v>0</v>
      </c>
      <c r="N429" t="n">
        <v>0</v>
      </c>
      <c r="O429" t="n">
        <v>0</v>
      </c>
      <c r="P429" t="n">
        <v>0</v>
      </c>
      <c r="Q429" t="n">
        <v>0</v>
      </c>
      <c r="R429" s="2" t="inlineStr"/>
    </row>
    <row r="430" ht="15" customHeight="1">
      <c r="A430" t="inlineStr">
        <is>
          <t>A 66662-2020</t>
        </is>
      </c>
      <c r="B430" s="1" t="n">
        <v>44179</v>
      </c>
      <c r="C430" s="1" t="n">
        <v>45917</v>
      </c>
      <c r="D430" t="inlineStr">
        <is>
          <t>STOCKHOLMS LÄN</t>
        </is>
      </c>
      <c r="E430" t="inlineStr">
        <is>
          <t>NORRTÄLJE</t>
        </is>
      </c>
      <c r="G430" t="n">
        <v>1.9</v>
      </c>
      <c r="H430" t="n">
        <v>0</v>
      </c>
      <c r="I430" t="n">
        <v>0</v>
      </c>
      <c r="J430" t="n">
        <v>0</v>
      </c>
      <c r="K430" t="n">
        <v>0</v>
      </c>
      <c r="L430" t="n">
        <v>0</v>
      </c>
      <c r="M430" t="n">
        <v>0</v>
      </c>
      <c r="N430" t="n">
        <v>0</v>
      </c>
      <c r="O430" t="n">
        <v>0</v>
      </c>
      <c r="P430" t="n">
        <v>0</v>
      </c>
      <c r="Q430" t="n">
        <v>0</v>
      </c>
      <c r="R430" s="2" t="inlineStr"/>
    </row>
    <row r="431" ht="15" customHeight="1">
      <c r="A431" t="inlineStr">
        <is>
          <t>A 63824-2020</t>
        </is>
      </c>
      <c r="B431" s="1" t="n">
        <v>44162</v>
      </c>
      <c r="C431" s="1" t="n">
        <v>45917</v>
      </c>
      <c r="D431" t="inlineStr">
        <is>
          <t>STOCKHOLMS LÄN</t>
        </is>
      </c>
      <c r="E431" t="inlineStr">
        <is>
          <t>NORRTÄLJE</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17785-2024</t>
        </is>
      </c>
      <c r="B432" s="1" t="n">
        <v>45418.6968287037</v>
      </c>
      <c r="C432" s="1" t="n">
        <v>45917</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50738-2020</t>
        </is>
      </c>
      <c r="B433" s="1" t="n">
        <v>44111.44373842593</v>
      </c>
      <c r="C433" s="1" t="n">
        <v>45917</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5423-2023</t>
        </is>
      </c>
      <c r="B434" s="1" t="n">
        <v>44959.74533564815</v>
      </c>
      <c r="C434" s="1" t="n">
        <v>45917</v>
      </c>
      <c r="D434" t="inlineStr">
        <is>
          <t>STOCKHOLMS LÄN</t>
        </is>
      </c>
      <c r="E434" t="inlineStr">
        <is>
          <t>NORRTÄLJE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58492-2022</t>
        </is>
      </c>
      <c r="B435" s="1" t="n">
        <v>44902</v>
      </c>
      <c r="C435" s="1" t="n">
        <v>45917</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13291-2025</t>
        </is>
      </c>
      <c r="B436" s="1" t="n">
        <v>45735</v>
      </c>
      <c r="C436" s="1" t="n">
        <v>45917</v>
      </c>
      <c r="D436" t="inlineStr">
        <is>
          <t>STOCKHOLMS LÄN</t>
        </is>
      </c>
      <c r="E436" t="inlineStr">
        <is>
          <t>NORRTÄLJE</t>
        </is>
      </c>
      <c r="G436" t="n">
        <v>3.8</v>
      </c>
      <c r="H436" t="n">
        <v>0</v>
      </c>
      <c r="I436" t="n">
        <v>0</v>
      </c>
      <c r="J436" t="n">
        <v>0</v>
      </c>
      <c r="K436" t="n">
        <v>0</v>
      </c>
      <c r="L436" t="n">
        <v>0</v>
      </c>
      <c r="M436" t="n">
        <v>0</v>
      </c>
      <c r="N436" t="n">
        <v>0</v>
      </c>
      <c r="O436" t="n">
        <v>0</v>
      </c>
      <c r="P436" t="n">
        <v>0</v>
      </c>
      <c r="Q436" t="n">
        <v>0</v>
      </c>
      <c r="R436" s="2" t="inlineStr"/>
    </row>
    <row r="437" ht="15" customHeight="1">
      <c r="A437" t="inlineStr">
        <is>
          <t>A 29684-2021</t>
        </is>
      </c>
      <c r="B437" s="1" t="n">
        <v>44362.37172453704</v>
      </c>
      <c r="C437" s="1" t="n">
        <v>45917</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37010-2022</t>
        </is>
      </c>
      <c r="B438" s="1" t="n">
        <v>44806.41576388889</v>
      </c>
      <c r="C438" s="1" t="n">
        <v>45917</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32705-2022</t>
        </is>
      </c>
      <c r="B439" s="1" t="n">
        <v>44783</v>
      </c>
      <c r="C439" s="1" t="n">
        <v>45917</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21386-2023</t>
        </is>
      </c>
      <c r="B440" s="1" t="n">
        <v>45063.35880787037</v>
      </c>
      <c r="C440" s="1" t="n">
        <v>45917</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30668-2025</t>
        </is>
      </c>
      <c r="B441" s="1" t="n">
        <v>45831.51659722222</v>
      </c>
      <c r="C441" s="1" t="n">
        <v>45917</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4581-2025</t>
        </is>
      </c>
      <c r="B442" s="1" t="n">
        <v>45687</v>
      </c>
      <c r="C442" s="1" t="n">
        <v>45917</v>
      </c>
      <c r="D442" t="inlineStr">
        <is>
          <t>STOCKHOLMS LÄN</t>
        </is>
      </c>
      <c r="E442" t="inlineStr">
        <is>
          <t>NORRTÄLJE</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33149-2022</t>
        </is>
      </c>
      <c r="B443" s="1" t="n">
        <v>44785</v>
      </c>
      <c r="C443" s="1" t="n">
        <v>45917</v>
      </c>
      <c r="D443" t="inlineStr">
        <is>
          <t>STOCKHOLMS LÄN</t>
        </is>
      </c>
      <c r="E443" t="inlineStr">
        <is>
          <t>NORRTÄLJE</t>
        </is>
      </c>
      <c r="F443" t="inlineStr">
        <is>
          <t>Holmen skog AB</t>
        </is>
      </c>
      <c r="G443" t="n">
        <v>4.4</v>
      </c>
      <c r="H443" t="n">
        <v>0</v>
      </c>
      <c r="I443" t="n">
        <v>0</v>
      </c>
      <c r="J443" t="n">
        <v>0</v>
      </c>
      <c r="K443" t="n">
        <v>0</v>
      </c>
      <c r="L443" t="n">
        <v>0</v>
      </c>
      <c r="M443" t="n">
        <v>0</v>
      </c>
      <c r="N443" t="n">
        <v>0</v>
      </c>
      <c r="O443" t="n">
        <v>0</v>
      </c>
      <c r="P443" t="n">
        <v>0</v>
      </c>
      <c r="Q443" t="n">
        <v>0</v>
      </c>
      <c r="R443" s="2" t="inlineStr"/>
    </row>
    <row r="444" ht="15" customHeight="1">
      <c r="A444" t="inlineStr">
        <is>
          <t>A 4593-2023</t>
        </is>
      </c>
      <c r="B444" s="1" t="n">
        <v>44956</v>
      </c>
      <c r="C444" s="1" t="n">
        <v>45917</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30799-2025</t>
        </is>
      </c>
      <c r="B445" s="1" t="n">
        <v>45831.65079861111</v>
      </c>
      <c r="C445" s="1" t="n">
        <v>45917</v>
      </c>
      <c r="D445" t="inlineStr">
        <is>
          <t>STOCKHOLMS LÄN</t>
        </is>
      </c>
      <c r="E445" t="inlineStr">
        <is>
          <t>NORRTÄLJE</t>
        </is>
      </c>
      <c r="F445" t="inlineStr">
        <is>
          <t>Holmen skog AB</t>
        </is>
      </c>
      <c r="G445" t="n">
        <v>7.9</v>
      </c>
      <c r="H445" t="n">
        <v>0</v>
      </c>
      <c r="I445" t="n">
        <v>0</v>
      </c>
      <c r="J445" t="n">
        <v>0</v>
      </c>
      <c r="K445" t="n">
        <v>0</v>
      </c>
      <c r="L445" t="n">
        <v>0</v>
      </c>
      <c r="M445" t="n">
        <v>0</v>
      </c>
      <c r="N445" t="n">
        <v>0</v>
      </c>
      <c r="O445" t="n">
        <v>0</v>
      </c>
      <c r="P445" t="n">
        <v>0</v>
      </c>
      <c r="Q445" t="n">
        <v>0</v>
      </c>
      <c r="R445" s="2" t="inlineStr"/>
    </row>
    <row r="446" ht="15" customHeight="1">
      <c r="A446" t="inlineStr">
        <is>
          <t>A 14559-2024</t>
        </is>
      </c>
      <c r="B446" s="1" t="n">
        <v>45394.72869212963</v>
      </c>
      <c r="C446" s="1" t="n">
        <v>45917</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54396-2021</t>
        </is>
      </c>
      <c r="B447" s="1" t="n">
        <v>44472</v>
      </c>
      <c r="C447" s="1" t="n">
        <v>45917</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36157-2024</t>
        </is>
      </c>
      <c r="B448" s="1" t="n">
        <v>45534.38240740741</v>
      </c>
      <c r="C448" s="1" t="n">
        <v>45917</v>
      </c>
      <c r="D448" t="inlineStr">
        <is>
          <t>STOCKHOLMS LÄN</t>
        </is>
      </c>
      <c r="E448" t="inlineStr">
        <is>
          <t>NORRTÄLJE</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62398-2022</t>
        </is>
      </c>
      <c r="B449" s="1" t="n">
        <v>44923.90159722222</v>
      </c>
      <c r="C449" s="1" t="n">
        <v>45917</v>
      </c>
      <c r="D449" t="inlineStr">
        <is>
          <t>STOCKHOLMS LÄN</t>
        </is>
      </c>
      <c r="E449" t="inlineStr">
        <is>
          <t>NORRTÄLJE</t>
        </is>
      </c>
      <c r="G449" t="n">
        <v>4</v>
      </c>
      <c r="H449" t="n">
        <v>0</v>
      </c>
      <c r="I449" t="n">
        <v>0</v>
      </c>
      <c r="J449" t="n">
        <v>0</v>
      </c>
      <c r="K449" t="n">
        <v>0</v>
      </c>
      <c r="L449" t="n">
        <v>0</v>
      </c>
      <c r="M449" t="n">
        <v>0</v>
      </c>
      <c r="N449" t="n">
        <v>0</v>
      </c>
      <c r="O449" t="n">
        <v>0</v>
      </c>
      <c r="P449" t="n">
        <v>0</v>
      </c>
      <c r="Q449" t="n">
        <v>0</v>
      </c>
      <c r="R449" s="2" t="inlineStr"/>
    </row>
    <row r="450" ht="15" customHeight="1">
      <c r="A450" t="inlineStr">
        <is>
          <t>A 68081-2020</t>
        </is>
      </c>
      <c r="B450" s="1" t="n">
        <v>44183</v>
      </c>
      <c r="C450" s="1" t="n">
        <v>45917</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17039-2024</t>
        </is>
      </c>
      <c r="B451" s="1" t="n">
        <v>45412.4104050926</v>
      </c>
      <c r="C451" s="1" t="n">
        <v>45917</v>
      </c>
      <c r="D451" t="inlineStr">
        <is>
          <t>STOCKHOLMS LÄN</t>
        </is>
      </c>
      <c r="E451" t="inlineStr">
        <is>
          <t>NORRTÄLJE</t>
        </is>
      </c>
      <c r="G451" t="n">
        <v>5.9</v>
      </c>
      <c r="H451" t="n">
        <v>0</v>
      </c>
      <c r="I451" t="n">
        <v>0</v>
      </c>
      <c r="J451" t="n">
        <v>0</v>
      </c>
      <c r="K451" t="n">
        <v>0</v>
      </c>
      <c r="L451" t="n">
        <v>0</v>
      </c>
      <c r="M451" t="n">
        <v>0</v>
      </c>
      <c r="N451" t="n">
        <v>0</v>
      </c>
      <c r="O451" t="n">
        <v>0</v>
      </c>
      <c r="P451" t="n">
        <v>0</v>
      </c>
      <c r="Q451" t="n">
        <v>0</v>
      </c>
      <c r="R451" s="2" t="inlineStr"/>
    </row>
    <row r="452" ht="15" customHeight="1">
      <c r="A452" t="inlineStr">
        <is>
          <t>A 30639-2025</t>
        </is>
      </c>
      <c r="B452" s="1" t="n">
        <v>45831.4844212963</v>
      </c>
      <c r="C452" s="1" t="n">
        <v>45917</v>
      </c>
      <c r="D452" t="inlineStr">
        <is>
          <t>STOCKHOLMS LÄN</t>
        </is>
      </c>
      <c r="E452" t="inlineStr">
        <is>
          <t>NORRTÄLJE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11-2024</t>
        </is>
      </c>
      <c r="B453" s="1" t="n">
        <v>45293</v>
      </c>
      <c r="C453" s="1" t="n">
        <v>45917</v>
      </c>
      <c r="D453" t="inlineStr">
        <is>
          <t>STOCKHOLMS LÄN</t>
        </is>
      </c>
      <c r="E453" t="inlineStr">
        <is>
          <t>NORRTÄLJE</t>
        </is>
      </c>
      <c r="F453" t="inlineStr">
        <is>
          <t>Sveaskog</t>
        </is>
      </c>
      <c r="G453" t="n">
        <v>3.2</v>
      </c>
      <c r="H453" t="n">
        <v>0</v>
      </c>
      <c r="I453" t="n">
        <v>0</v>
      </c>
      <c r="J453" t="n">
        <v>0</v>
      </c>
      <c r="K453" t="n">
        <v>0</v>
      </c>
      <c r="L453" t="n">
        <v>0</v>
      </c>
      <c r="M453" t="n">
        <v>0</v>
      </c>
      <c r="N453" t="n">
        <v>0</v>
      </c>
      <c r="O453" t="n">
        <v>0</v>
      </c>
      <c r="P453" t="n">
        <v>0</v>
      </c>
      <c r="Q453" t="n">
        <v>0</v>
      </c>
      <c r="R453" s="2" t="inlineStr"/>
    </row>
    <row r="454" ht="15" customHeight="1">
      <c r="A454" t="inlineStr">
        <is>
          <t>A 15256-2023</t>
        </is>
      </c>
      <c r="B454" s="1" t="n">
        <v>45019.3959837963</v>
      </c>
      <c r="C454" s="1" t="n">
        <v>45917</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32071-2023</t>
        </is>
      </c>
      <c r="B455" s="1" t="n">
        <v>45119.57728009259</v>
      </c>
      <c r="C455" s="1" t="n">
        <v>45917</v>
      </c>
      <c r="D455" t="inlineStr">
        <is>
          <t>STOCKHOLMS LÄN</t>
        </is>
      </c>
      <c r="E455" t="inlineStr">
        <is>
          <t>NORRTÄLJE</t>
        </is>
      </c>
      <c r="G455" t="n">
        <v>6.5</v>
      </c>
      <c r="H455" t="n">
        <v>0</v>
      </c>
      <c r="I455" t="n">
        <v>0</v>
      </c>
      <c r="J455" t="n">
        <v>0</v>
      </c>
      <c r="K455" t="n">
        <v>0</v>
      </c>
      <c r="L455" t="n">
        <v>0</v>
      </c>
      <c r="M455" t="n">
        <v>0</v>
      </c>
      <c r="N455" t="n">
        <v>0</v>
      </c>
      <c r="O455" t="n">
        <v>0</v>
      </c>
      <c r="P455" t="n">
        <v>0</v>
      </c>
      <c r="Q455" t="n">
        <v>0</v>
      </c>
      <c r="R455" s="2" t="inlineStr"/>
    </row>
    <row r="456" ht="15" customHeight="1">
      <c r="A456" t="inlineStr">
        <is>
          <t>A 31170-2025</t>
        </is>
      </c>
      <c r="B456" s="1" t="n">
        <v>45832.66385416667</v>
      </c>
      <c r="C456" s="1" t="n">
        <v>45917</v>
      </c>
      <c r="D456" t="inlineStr">
        <is>
          <t>STOCKHOLMS LÄN</t>
        </is>
      </c>
      <c r="E456" t="inlineStr">
        <is>
          <t>NORRTÄLJE</t>
        </is>
      </c>
      <c r="G456" t="n">
        <v>2.7</v>
      </c>
      <c r="H456" t="n">
        <v>0</v>
      </c>
      <c r="I456" t="n">
        <v>0</v>
      </c>
      <c r="J456" t="n">
        <v>0</v>
      </c>
      <c r="K456" t="n">
        <v>0</v>
      </c>
      <c r="L456" t="n">
        <v>0</v>
      </c>
      <c r="M456" t="n">
        <v>0</v>
      </c>
      <c r="N456" t="n">
        <v>0</v>
      </c>
      <c r="O456" t="n">
        <v>0</v>
      </c>
      <c r="P456" t="n">
        <v>0</v>
      </c>
      <c r="Q456" t="n">
        <v>0</v>
      </c>
      <c r="R456" s="2" t="inlineStr"/>
    </row>
    <row r="457" ht="15" customHeight="1">
      <c r="A457" t="inlineStr">
        <is>
          <t>A 3509-2022</t>
        </is>
      </c>
      <c r="B457" s="1" t="n">
        <v>44585</v>
      </c>
      <c r="C457" s="1" t="n">
        <v>45917</v>
      </c>
      <c r="D457" t="inlineStr">
        <is>
          <t>STOCKHOLMS LÄN</t>
        </is>
      </c>
      <c r="E457" t="inlineStr">
        <is>
          <t>NORRTÄLJE</t>
        </is>
      </c>
      <c r="F457" t="inlineStr">
        <is>
          <t>Kommuner</t>
        </is>
      </c>
      <c r="G457" t="n">
        <v>0.8</v>
      </c>
      <c r="H457" t="n">
        <v>0</v>
      </c>
      <c r="I457" t="n">
        <v>0</v>
      </c>
      <c r="J457" t="n">
        <v>0</v>
      </c>
      <c r="K457" t="n">
        <v>0</v>
      </c>
      <c r="L457" t="n">
        <v>0</v>
      </c>
      <c r="M457" t="n">
        <v>0</v>
      </c>
      <c r="N457" t="n">
        <v>0</v>
      </c>
      <c r="O457" t="n">
        <v>0</v>
      </c>
      <c r="P457" t="n">
        <v>0</v>
      </c>
      <c r="Q457" t="n">
        <v>0</v>
      </c>
      <c r="R457" s="2" t="inlineStr"/>
    </row>
    <row r="458" ht="15" customHeight="1">
      <c r="A458" t="inlineStr">
        <is>
          <t>A 30699-2025</t>
        </is>
      </c>
      <c r="B458" s="1" t="n">
        <v>45831.54618055555</v>
      </c>
      <c r="C458" s="1" t="n">
        <v>45917</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25681-2024</t>
        </is>
      </c>
      <c r="B459" s="1" t="n">
        <v>45463.80486111111</v>
      </c>
      <c r="C459" s="1" t="n">
        <v>45917</v>
      </c>
      <c r="D459" t="inlineStr">
        <is>
          <t>STOCKHOLMS LÄN</t>
        </is>
      </c>
      <c r="E459" t="inlineStr">
        <is>
          <t>NORRTÄLJE</t>
        </is>
      </c>
      <c r="G459" t="n">
        <v>2.7</v>
      </c>
      <c r="H459" t="n">
        <v>0</v>
      </c>
      <c r="I459" t="n">
        <v>0</v>
      </c>
      <c r="J459" t="n">
        <v>0</v>
      </c>
      <c r="K459" t="n">
        <v>0</v>
      </c>
      <c r="L459" t="n">
        <v>0</v>
      </c>
      <c r="M459" t="n">
        <v>0</v>
      </c>
      <c r="N459" t="n">
        <v>0</v>
      </c>
      <c r="O459" t="n">
        <v>0</v>
      </c>
      <c r="P459" t="n">
        <v>0</v>
      </c>
      <c r="Q459" t="n">
        <v>0</v>
      </c>
      <c r="R459" s="2" t="inlineStr"/>
    </row>
    <row r="460" ht="15" customHeight="1">
      <c r="A460" t="inlineStr">
        <is>
          <t>A 7413-2024</t>
        </is>
      </c>
      <c r="B460" s="1" t="n">
        <v>45345.6059837963</v>
      </c>
      <c r="C460" s="1" t="n">
        <v>45917</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58040-2024</t>
        </is>
      </c>
      <c r="B461" s="1" t="n">
        <v>45631.73952546297</v>
      </c>
      <c r="C461" s="1" t="n">
        <v>45917</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58041-2024</t>
        </is>
      </c>
      <c r="B462" s="1" t="n">
        <v>45631.74673611111</v>
      </c>
      <c r="C462" s="1" t="n">
        <v>45917</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7697-2025</t>
        </is>
      </c>
      <c r="B463" s="1" t="n">
        <v>45706.40086805556</v>
      </c>
      <c r="C463" s="1" t="n">
        <v>45917</v>
      </c>
      <c r="D463" t="inlineStr">
        <is>
          <t>STOCKHOLMS LÄN</t>
        </is>
      </c>
      <c r="E463" t="inlineStr">
        <is>
          <t>NORRTÄLJE</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24245-2024</t>
        </is>
      </c>
      <c r="B464" s="1" t="n">
        <v>45457</v>
      </c>
      <c r="C464" s="1" t="n">
        <v>45917</v>
      </c>
      <c r="D464" t="inlineStr">
        <is>
          <t>STOCKHOLMS LÄN</t>
        </is>
      </c>
      <c r="E464" t="inlineStr">
        <is>
          <t>NORRTÄLJE</t>
        </is>
      </c>
      <c r="F464" t="inlineStr">
        <is>
          <t>Holmen skog AB</t>
        </is>
      </c>
      <c r="G464" t="n">
        <v>3.4</v>
      </c>
      <c r="H464" t="n">
        <v>0</v>
      </c>
      <c r="I464" t="n">
        <v>0</v>
      </c>
      <c r="J464" t="n">
        <v>0</v>
      </c>
      <c r="K464" t="n">
        <v>0</v>
      </c>
      <c r="L464" t="n">
        <v>0</v>
      </c>
      <c r="M464" t="n">
        <v>0</v>
      </c>
      <c r="N464" t="n">
        <v>0</v>
      </c>
      <c r="O464" t="n">
        <v>0</v>
      </c>
      <c r="P464" t="n">
        <v>0</v>
      </c>
      <c r="Q464" t="n">
        <v>0</v>
      </c>
      <c r="R464" s="2" t="inlineStr"/>
    </row>
    <row r="465" ht="15" customHeight="1">
      <c r="A465" t="inlineStr">
        <is>
          <t>A 31057-2022</t>
        </is>
      </c>
      <c r="B465" s="1" t="n">
        <v>44769</v>
      </c>
      <c r="C465" s="1" t="n">
        <v>45917</v>
      </c>
      <c r="D465" t="inlineStr">
        <is>
          <t>STOCKHOLMS LÄN</t>
        </is>
      </c>
      <c r="E465" t="inlineStr">
        <is>
          <t>NORRTÄLJE</t>
        </is>
      </c>
      <c r="G465" t="n">
        <v>6.5</v>
      </c>
      <c r="H465" t="n">
        <v>0</v>
      </c>
      <c r="I465" t="n">
        <v>0</v>
      </c>
      <c r="J465" t="n">
        <v>0</v>
      </c>
      <c r="K465" t="n">
        <v>0</v>
      </c>
      <c r="L465" t="n">
        <v>0</v>
      </c>
      <c r="M465" t="n">
        <v>0</v>
      </c>
      <c r="N465" t="n">
        <v>0</v>
      </c>
      <c r="O465" t="n">
        <v>0</v>
      </c>
      <c r="P465" t="n">
        <v>0</v>
      </c>
      <c r="Q465" t="n">
        <v>0</v>
      </c>
      <c r="R465" s="2" t="inlineStr"/>
    </row>
    <row r="466" ht="15" customHeight="1">
      <c r="A466" t="inlineStr">
        <is>
          <t>A 39669-2024</t>
        </is>
      </c>
      <c r="B466" s="1" t="n">
        <v>45552.52827546297</v>
      </c>
      <c r="C466" s="1" t="n">
        <v>45917</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26115-2024</t>
        </is>
      </c>
      <c r="B467" s="1" t="n">
        <v>45468.45628472222</v>
      </c>
      <c r="C467" s="1" t="n">
        <v>45917</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2982-2023</t>
        </is>
      </c>
      <c r="B468" s="1" t="n">
        <v>44945.67409722223</v>
      </c>
      <c r="C468" s="1" t="n">
        <v>45917</v>
      </c>
      <c r="D468" t="inlineStr">
        <is>
          <t>STOCKHOLMS LÄN</t>
        </is>
      </c>
      <c r="E468" t="inlineStr">
        <is>
          <t>NORRTÄLJE</t>
        </is>
      </c>
      <c r="G468" t="n">
        <v>3.3</v>
      </c>
      <c r="H468" t="n">
        <v>0</v>
      </c>
      <c r="I468" t="n">
        <v>0</v>
      </c>
      <c r="J468" t="n">
        <v>0</v>
      </c>
      <c r="K468" t="n">
        <v>0</v>
      </c>
      <c r="L468" t="n">
        <v>0</v>
      </c>
      <c r="M468" t="n">
        <v>0</v>
      </c>
      <c r="N468" t="n">
        <v>0</v>
      </c>
      <c r="O468" t="n">
        <v>0</v>
      </c>
      <c r="P468" t="n">
        <v>0</v>
      </c>
      <c r="Q468" t="n">
        <v>0</v>
      </c>
      <c r="R468" s="2" t="inlineStr"/>
    </row>
    <row r="469" ht="15" customHeight="1">
      <c r="A469" t="inlineStr">
        <is>
          <t>A 1448-2023</t>
        </is>
      </c>
      <c r="B469" s="1" t="n">
        <v>44937</v>
      </c>
      <c r="C469" s="1" t="n">
        <v>45917</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31874-2025</t>
        </is>
      </c>
      <c r="B470" s="1" t="n">
        <v>45834</v>
      </c>
      <c r="C470" s="1" t="n">
        <v>45917</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37261-2025</t>
        </is>
      </c>
      <c r="B471" s="1" t="n">
        <v>45876.45253472222</v>
      </c>
      <c r="C471" s="1" t="n">
        <v>45917</v>
      </c>
      <c r="D471" t="inlineStr">
        <is>
          <t>STOCKHOLMS LÄN</t>
        </is>
      </c>
      <c r="E471" t="inlineStr">
        <is>
          <t>NORRTÄLJE</t>
        </is>
      </c>
      <c r="F471" t="inlineStr">
        <is>
          <t>Kommuner</t>
        </is>
      </c>
      <c r="G471" t="n">
        <v>2.2</v>
      </c>
      <c r="H471" t="n">
        <v>0</v>
      </c>
      <c r="I471" t="n">
        <v>0</v>
      </c>
      <c r="J471" t="n">
        <v>0</v>
      </c>
      <c r="K471" t="n">
        <v>0</v>
      </c>
      <c r="L471" t="n">
        <v>0</v>
      </c>
      <c r="M471" t="n">
        <v>0</v>
      </c>
      <c r="N471" t="n">
        <v>0</v>
      </c>
      <c r="O471" t="n">
        <v>0</v>
      </c>
      <c r="P471" t="n">
        <v>0</v>
      </c>
      <c r="Q471" t="n">
        <v>0</v>
      </c>
      <c r="R471" s="2" t="inlineStr"/>
    </row>
    <row r="472" ht="15" customHeight="1">
      <c r="A472" t="inlineStr">
        <is>
          <t>A 35127-2023</t>
        </is>
      </c>
      <c r="B472" s="1" t="n">
        <v>45145.51</v>
      </c>
      <c r="C472" s="1" t="n">
        <v>45917</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31868-2025</t>
        </is>
      </c>
      <c r="B473" s="1" t="n">
        <v>45834.6447337963</v>
      </c>
      <c r="C473" s="1" t="n">
        <v>45917</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50136-2023</t>
        </is>
      </c>
      <c r="B474" s="1" t="n">
        <v>45215</v>
      </c>
      <c r="C474" s="1" t="n">
        <v>45917</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6413-2025</t>
        </is>
      </c>
      <c r="B475" s="1" t="n">
        <v>45699.46283564815</v>
      </c>
      <c r="C475" s="1" t="n">
        <v>45917</v>
      </c>
      <c r="D475" t="inlineStr">
        <is>
          <t>STOCKHOLMS LÄN</t>
        </is>
      </c>
      <c r="E475" t="inlineStr">
        <is>
          <t>NORRTÄLJE</t>
        </is>
      </c>
      <c r="G475" t="n">
        <v>3.6</v>
      </c>
      <c r="H475" t="n">
        <v>0</v>
      </c>
      <c r="I475" t="n">
        <v>0</v>
      </c>
      <c r="J475" t="n">
        <v>0</v>
      </c>
      <c r="K475" t="n">
        <v>0</v>
      </c>
      <c r="L475" t="n">
        <v>0</v>
      </c>
      <c r="M475" t="n">
        <v>0</v>
      </c>
      <c r="N475" t="n">
        <v>0</v>
      </c>
      <c r="O475" t="n">
        <v>0</v>
      </c>
      <c r="P475" t="n">
        <v>0</v>
      </c>
      <c r="Q475" t="n">
        <v>0</v>
      </c>
      <c r="R475" s="2" t="inlineStr"/>
    </row>
    <row r="476" ht="15" customHeight="1">
      <c r="A476" t="inlineStr">
        <is>
          <t>A 3143-2021</t>
        </is>
      </c>
      <c r="B476" s="1" t="n">
        <v>44217.40149305556</v>
      </c>
      <c r="C476" s="1" t="n">
        <v>45917</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11229-2022</t>
        </is>
      </c>
      <c r="B477" s="1" t="n">
        <v>44629</v>
      </c>
      <c r="C477" s="1" t="n">
        <v>45917</v>
      </c>
      <c r="D477" t="inlineStr">
        <is>
          <t>STOCKHOLMS LÄN</t>
        </is>
      </c>
      <c r="E477" t="inlineStr">
        <is>
          <t>NORRTÄLJE</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9654-2022</t>
        </is>
      </c>
      <c r="B478" s="1" t="n">
        <v>44617</v>
      </c>
      <c r="C478" s="1" t="n">
        <v>45917</v>
      </c>
      <c r="D478" t="inlineStr">
        <is>
          <t>STOCKHOLMS LÄN</t>
        </is>
      </c>
      <c r="E478" t="inlineStr">
        <is>
          <t>NORRTÄLJE</t>
        </is>
      </c>
      <c r="G478" t="n">
        <v>6.4</v>
      </c>
      <c r="H478" t="n">
        <v>0</v>
      </c>
      <c r="I478" t="n">
        <v>0</v>
      </c>
      <c r="J478" t="n">
        <v>0</v>
      </c>
      <c r="K478" t="n">
        <v>0</v>
      </c>
      <c r="L478" t="n">
        <v>0</v>
      </c>
      <c r="M478" t="n">
        <v>0</v>
      </c>
      <c r="N478" t="n">
        <v>0</v>
      </c>
      <c r="O478" t="n">
        <v>0</v>
      </c>
      <c r="P478" t="n">
        <v>0</v>
      </c>
      <c r="Q478" t="n">
        <v>0</v>
      </c>
      <c r="R478" s="2" t="inlineStr"/>
    </row>
    <row r="479" ht="15" customHeight="1">
      <c r="A479" t="inlineStr">
        <is>
          <t>A 5389-2025</t>
        </is>
      </c>
      <c r="B479" s="1" t="n">
        <v>45692</v>
      </c>
      <c r="C479" s="1" t="n">
        <v>45917</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25619-2022</t>
        </is>
      </c>
      <c r="B480" s="1" t="n">
        <v>44732</v>
      </c>
      <c r="C480" s="1" t="n">
        <v>45917</v>
      </c>
      <c r="D480" t="inlineStr">
        <is>
          <t>STOCKHOLMS LÄN</t>
        </is>
      </c>
      <c r="E480" t="inlineStr">
        <is>
          <t>NORRTÄLJE</t>
        </is>
      </c>
      <c r="G480" t="n">
        <v>3.9</v>
      </c>
      <c r="H480" t="n">
        <v>0</v>
      </c>
      <c r="I480" t="n">
        <v>0</v>
      </c>
      <c r="J480" t="n">
        <v>0</v>
      </c>
      <c r="K480" t="n">
        <v>0</v>
      </c>
      <c r="L480" t="n">
        <v>0</v>
      </c>
      <c r="M480" t="n">
        <v>0</v>
      </c>
      <c r="N480" t="n">
        <v>0</v>
      </c>
      <c r="O480" t="n">
        <v>0</v>
      </c>
      <c r="P480" t="n">
        <v>0</v>
      </c>
      <c r="Q480" t="n">
        <v>0</v>
      </c>
      <c r="R480" s="2" t="inlineStr"/>
    </row>
    <row r="481" ht="15" customHeight="1">
      <c r="A481" t="inlineStr">
        <is>
          <t>A 15422-2024</t>
        </is>
      </c>
      <c r="B481" s="1" t="n">
        <v>45401.3653125</v>
      </c>
      <c r="C481" s="1" t="n">
        <v>45917</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31880-2025</t>
        </is>
      </c>
      <c r="B482" s="1" t="n">
        <v>45834.65538194445</v>
      </c>
      <c r="C482" s="1" t="n">
        <v>45917</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37147-2023</t>
        </is>
      </c>
      <c r="B483" s="1" t="n">
        <v>45155</v>
      </c>
      <c r="C483" s="1" t="n">
        <v>45917</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59499-2023</t>
        </is>
      </c>
      <c r="B484" s="1" t="n">
        <v>45254</v>
      </c>
      <c r="C484" s="1" t="n">
        <v>45917</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60654-2023</t>
        </is>
      </c>
      <c r="B485" s="1" t="n">
        <v>45260.43225694444</v>
      </c>
      <c r="C485" s="1" t="n">
        <v>45917</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60656-2023</t>
        </is>
      </c>
      <c r="B486" s="1" t="n">
        <v>45260.4333449074</v>
      </c>
      <c r="C486" s="1" t="n">
        <v>45917</v>
      </c>
      <c r="D486" t="inlineStr">
        <is>
          <t>STOCKHOLMS LÄN</t>
        </is>
      </c>
      <c r="E486" t="inlineStr">
        <is>
          <t>NORRTÄLJE</t>
        </is>
      </c>
      <c r="G486" t="n">
        <v>4.8</v>
      </c>
      <c r="H486" t="n">
        <v>0</v>
      </c>
      <c r="I486" t="n">
        <v>0</v>
      </c>
      <c r="J486" t="n">
        <v>0</v>
      </c>
      <c r="K486" t="n">
        <v>0</v>
      </c>
      <c r="L486" t="n">
        <v>0</v>
      </c>
      <c r="M486" t="n">
        <v>0</v>
      </c>
      <c r="N486" t="n">
        <v>0</v>
      </c>
      <c r="O486" t="n">
        <v>0</v>
      </c>
      <c r="P486" t="n">
        <v>0</v>
      </c>
      <c r="Q486" t="n">
        <v>0</v>
      </c>
      <c r="R486" s="2" t="inlineStr"/>
    </row>
    <row r="487" ht="15" customHeight="1">
      <c r="A487" t="inlineStr">
        <is>
          <t>A 48716-2023</t>
        </is>
      </c>
      <c r="B487" s="1" t="n">
        <v>45208.69671296296</v>
      </c>
      <c r="C487" s="1" t="n">
        <v>45917</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55369-2023</t>
        </is>
      </c>
      <c r="B488" s="1" t="n">
        <v>45238</v>
      </c>
      <c r="C488" s="1" t="n">
        <v>45917</v>
      </c>
      <c r="D488" t="inlineStr">
        <is>
          <t>STOCKHOLMS LÄN</t>
        </is>
      </c>
      <c r="E488" t="inlineStr">
        <is>
          <t>NORRTÄLJE</t>
        </is>
      </c>
      <c r="G488" t="n">
        <v>0.4</v>
      </c>
      <c r="H488" t="n">
        <v>0</v>
      </c>
      <c r="I488" t="n">
        <v>0</v>
      </c>
      <c r="J488" t="n">
        <v>0</v>
      </c>
      <c r="K488" t="n">
        <v>0</v>
      </c>
      <c r="L488" t="n">
        <v>0</v>
      </c>
      <c r="M488" t="n">
        <v>0</v>
      </c>
      <c r="N488" t="n">
        <v>0</v>
      </c>
      <c r="O488" t="n">
        <v>0</v>
      </c>
      <c r="P488" t="n">
        <v>0</v>
      </c>
      <c r="Q488" t="n">
        <v>0</v>
      </c>
      <c r="R488" s="2" t="inlineStr"/>
    </row>
    <row r="489" ht="15" customHeight="1">
      <c r="A489" t="inlineStr">
        <is>
          <t>A 32283-2025</t>
        </is>
      </c>
      <c r="B489" s="1" t="n">
        <v>45835.68076388889</v>
      </c>
      <c r="C489" s="1" t="n">
        <v>45917</v>
      </c>
      <c r="D489" t="inlineStr">
        <is>
          <t>STOCKHOLMS LÄN</t>
        </is>
      </c>
      <c r="E489" t="inlineStr">
        <is>
          <t>NORRTÄLJE</t>
        </is>
      </c>
      <c r="G489" t="n">
        <v>1.8</v>
      </c>
      <c r="H489" t="n">
        <v>0</v>
      </c>
      <c r="I489" t="n">
        <v>0</v>
      </c>
      <c r="J489" t="n">
        <v>0</v>
      </c>
      <c r="K489" t="n">
        <v>0</v>
      </c>
      <c r="L489" t="n">
        <v>0</v>
      </c>
      <c r="M489" t="n">
        <v>0</v>
      </c>
      <c r="N489" t="n">
        <v>0</v>
      </c>
      <c r="O489" t="n">
        <v>0</v>
      </c>
      <c r="P489" t="n">
        <v>0</v>
      </c>
      <c r="Q489" t="n">
        <v>0</v>
      </c>
      <c r="R489" s="2" t="inlineStr"/>
    </row>
    <row r="490" ht="15" customHeight="1">
      <c r="A490" t="inlineStr">
        <is>
          <t>A 22697-2022</t>
        </is>
      </c>
      <c r="B490" s="1" t="n">
        <v>44714.56040509259</v>
      </c>
      <c r="C490" s="1" t="n">
        <v>45917</v>
      </c>
      <c r="D490" t="inlineStr">
        <is>
          <t>STOCKHOLMS LÄN</t>
        </is>
      </c>
      <c r="E490" t="inlineStr">
        <is>
          <t>NORRTÄLJE</t>
        </is>
      </c>
      <c r="G490" t="n">
        <v>5.6</v>
      </c>
      <c r="H490" t="n">
        <v>0</v>
      </c>
      <c r="I490" t="n">
        <v>0</v>
      </c>
      <c r="J490" t="n">
        <v>0</v>
      </c>
      <c r="K490" t="n">
        <v>0</v>
      </c>
      <c r="L490" t="n">
        <v>0</v>
      </c>
      <c r="M490" t="n">
        <v>0</v>
      </c>
      <c r="N490" t="n">
        <v>0</v>
      </c>
      <c r="O490" t="n">
        <v>0</v>
      </c>
      <c r="P490" t="n">
        <v>0</v>
      </c>
      <c r="Q490" t="n">
        <v>0</v>
      </c>
      <c r="R490" s="2" t="inlineStr"/>
    </row>
    <row r="491" ht="15" customHeight="1">
      <c r="A491" t="inlineStr">
        <is>
          <t>A 20121-2022</t>
        </is>
      </c>
      <c r="B491" s="1" t="n">
        <v>44698</v>
      </c>
      <c r="C491" s="1" t="n">
        <v>45917</v>
      </c>
      <c r="D491" t="inlineStr">
        <is>
          <t>STOCKHOLMS LÄN</t>
        </is>
      </c>
      <c r="E491" t="inlineStr">
        <is>
          <t>NORRTÄLJE</t>
        </is>
      </c>
      <c r="G491" t="n">
        <v>4.2</v>
      </c>
      <c r="H491" t="n">
        <v>0</v>
      </c>
      <c r="I491" t="n">
        <v>0</v>
      </c>
      <c r="J491" t="n">
        <v>0</v>
      </c>
      <c r="K491" t="n">
        <v>0</v>
      </c>
      <c r="L491" t="n">
        <v>0</v>
      </c>
      <c r="M491" t="n">
        <v>0</v>
      </c>
      <c r="N491" t="n">
        <v>0</v>
      </c>
      <c r="O491" t="n">
        <v>0</v>
      </c>
      <c r="P491" t="n">
        <v>0</v>
      </c>
      <c r="Q491" t="n">
        <v>0</v>
      </c>
      <c r="R491" s="2" t="inlineStr"/>
    </row>
    <row r="492" ht="15" customHeight="1">
      <c r="A492" t="inlineStr">
        <is>
          <t>A 54273-2021</t>
        </is>
      </c>
      <c r="B492" s="1" t="n">
        <v>44470.72987268519</v>
      </c>
      <c r="C492" s="1" t="n">
        <v>45917</v>
      </c>
      <c r="D492" t="inlineStr">
        <is>
          <t>STOCKHOLMS LÄN</t>
        </is>
      </c>
      <c r="E492" t="inlineStr">
        <is>
          <t>NORRTÄLJE</t>
        </is>
      </c>
      <c r="G492" t="n">
        <v>2.7</v>
      </c>
      <c r="H492" t="n">
        <v>0</v>
      </c>
      <c r="I492" t="n">
        <v>0</v>
      </c>
      <c r="J492" t="n">
        <v>0</v>
      </c>
      <c r="K492" t="n">
        <v>0</v>
      </c>
      <c r="L492" t="n">
        <v>0</v>
      </c>
      <c r="M492" t="n">
        <v>0</v>
      </c>
      <c r="N492" t="n">
        <v>0</v>
      </c>
      <c r="O492" t="n">
        <v>0</v>
      </c>
      <c r="P492" t="n">
        <v>0</v>
      </c>
      <c r="Q492" t="n">
        <v>0</v>
      </c>
      <c r="R492" s="2" t="inlineStr"/>
    </row>
    <row r="493" ht="15" customHeight="1">
      <c r="A493" t="inlineStr">
        <is>
          <t>A 43212-2022</t>
        </is>
      </c>
      <c r="B493" s="1" t="n">
        <v>44834.38636574074</v>
      </c>
      <c r="C493" s="1" t="n">
        <v>45917</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26407-2024</t>
        </is>
      </c>
      <c r="B494" s="1" t="n">
        <v>45469</v>
      </c>
      <c r="C494" s="1" t="n">
        <v>45917</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32122-2025</t>
        </is>
      </c>
      <c r="B495" s="1" t="n">
        <v>45835.4928125</v>
      </c>
      <c r="C495" s="1" t="n">
        <v>45917</v>
      </c>
      <c r="D495" t="inlineStr">
        <is>
          <t>STOCKHOLMS LÄN</t>
        </is>
      </c>
      <c r="E495" t="inlineStr">
        <is>
          <t>NORRTÄLJE</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45917</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51720-2020</t>
        </is>
      </c>
      <c r="B497" s="1" t="n">
        <v>44113</v>
      </c>
      <c r="C497" s="1" t="n">
        <v>45917</v>
      </c>
      <c r="D497" t="inlineStr">
        <is>
          <t>STOCKHOLMS LÄN</t>
        </is>
      </c>
      <c r="E497" t="inlineStr">
        <is>
          <t>NORRTÄLJE</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10098-2022</t>
        </is>
      </c>
      <c r="B498" s="1" t="n">
        <v>44621</v>
      </c>
      <c r="C498" s="1" t="n">
        <v>45917</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35647-2024</t>
        </is>
      </c>
      <c r="B499" s="1" t="n">
        <v>45532</v>
      </c>
      <c r="C499" s="1" t="n">
        <v>45917</v>
      </c>
      <c r="D499" t="inlineStr">
        <is>
          <t>STOCKHOLMS LÄN</t>
        </is>
      </c>
      <c r="E499" t="inlineStr">
        <is>
          <t>NORRTÄLJE</t>
        </is>
      </c>
      <c r="G499" t="n">
        <v>5.3</v>
      </c>
      <c r="H499" t="n">
        <v>0</v>
      </c>
      <c r="I499" t="n">
        <v>0</v>
      </c>
      <c r="J499" t="n">
        <v>0</v>
      </c>
      <c r="K499" t="n">
        <v>0</v>
      </c>
      <c r="L499" t="n">
        <v>0</v>
      </c>
      <c r="M499" t="n">
        <v>0</v>
      </c>
      <c r="N499" t="n">
        <v>0</v>
      </c>
      <c r="O499" t="n">
        <v>0</v>
      </c>
      <c r="P499" t="n">
        <v>0</v>
      </c>
      <c r="Q499" t="n">
        <v>0</v>
      </c>
      <c r="R499" s="2" t="inlineStr"/>
    </row>
    <row r="500" ht="15" customHeight="1">
      <c r="A500" t="inlineStr">
        <is>
          <t>A 37632-2025</t>
        </is>
      </c>
      <c r="B500" s="1" t="n">
        <v>45880.46524305556</v>
      </c>
      <c r="C500" s="1" t="n">
        <v>45917</v>
      </c>
      <c r="D500" t="inlineStr">
        <is>
          <t>STOCKHOLMS LÄN</t>
        </is>
      </c>
      <c r="E500" t="inlineStr">
        <is>
          <t>NORRTÄLJE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37630-2025</t>
        </is>
      </c>
      <c r="B501" s="1" t="n">
        <v>45880.46372685185</v>
      </c>
      <c r="C501" s="1" t="n">
        <v>45917</v>
      </c>
      <c r="D501" t="inlineStr">
        <is>
          <t>STOCKHOLMS LÄN</t>
        </is>
      </c>
      <c r="E501" t="inlineStr">
        <is>
          <t>NORRTÄLJE</t>
        </is>
      </c>
      <c r="F501" t="inlineStr">
        <is>
          <t>Sveaskog</t>
        </is>
      </c>
      <c r="G501" t="n">
        <v>12.9</v>
      </c>
      <c r="H501" t="n">
        <v>0</v>
      </c>
      <c r="I501" t="n">
        <v>0</v>
      </c>
      <c r="J501" t="n">
        <v>0</v>
      </c>
      <c r="K501" t="n">
        <v>0</v>
      </c>
      <c r="L501" t="n">
        <v>0</v>
      </c>
      <c r="M501" t="n">
        <v>0</v>
      </c>
      <c r="N501" t="n">
        <v>0</v>
      </c>
      <c r="O501" t="n">
        <v>0</v>
      </c>
      <c r="P501" t="n">
        <v>0</v>
      </c>
      <c r="Q501" t="n">
        <v>0</v>
      </c>
      <c r="R501" s="2" t="inlineStr"/>
    </row>
    <row r="502" ht="15" customHeight="1">
      <c r="A502" t="inlineStr">
        <is>
          <t>A 32094-2025</t>
        </is>
      </c>
      <c r="B502" s="1" t="n">
        <v>45835.46034722222</v>
      </c>
      <c r="C502" s="1" t="n">
        <v>45917</v>
      </c>
      <c r="D502" t="inlineStr">
        <is>
          <t>STOCKHOLMS LÄN</t>
        </is>
      </c>
      <c r="E502" t="inlineStr">
        <is>
          <t>NORRTÄLJE</t>
        </is>
      </c>
      <c r="F502" t="inlineStr">
        <is>
          <t>Holmen skog AB</t>
        </is>
      </c>
      <c r="G502" t="n">
        <v>2.9</v>
      </c>
      <c r="H502" t="n">
        <v>0</v>
      </c>
      <c r="I502" t="n">
        <v>0</v>
      </c>
      <c r="J502" t="n">
        <v>0</v>
      </c>
      <c r="K502" t="n">
        <v>0</v>
      </c>
      <c r="L502" t="n">
        <v>0</v>
      </c>
      <c r="M502" t="n">
        <v>0</v>
      </c>
      <c r="N502" t="n">
        <v>0</v>
      </c>
      <c r="O502" t="n">
        <v>0</v>
      </c>
      <c r="P502" t="n">
        <v>0</v>
      </c>
      <c r="Q502" t="n">
        <v>0</v>
      </c>
      <c r="R502" s="2" t="inlineStr"/>
    </row>
    <row r="503" ht="15" customHeight="1">
      <c r="A503" t="inlineStr">
        <is>
          <t>A 49700-2023</t>
        </is>
      </c>
      <c r="B503" s="1" t="n">
        <v>45212</v>
      </c>
      <c r="C503" s="1" t="n">
        <v>45917</v>
      </c>
      <c r="D503" t="inlineStr">
        <is>
          <t>STOCKHOLMS LÄN</t>
        </is>
      </c>
      <c r="E503" t="inlineStr">
        <is>
          <t>NORRTÄLJE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32016-2025</t>
        </is>
      </c>
      <c r="B504" s="1" t="n">
        <v>45835</v>
      </c>
      <c r="C504" s="1" t="n">
        <v>45917</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32396-2025</t>
        </is>
      </c>
      <c r="B505" s="1" t="n">
        <v>45837</v>
      </c>
      <c r="C505" s="1" t="n">
        <v>45917</v>
      </c>
      <c r="D505" t="inlineStr">
        <is>
          <t>STOCKHOLMS LÄN</t>
        </is>
      </c>
      <c r="E505" t="inlineStr">
        <is>
          <t>NORRTÄLJE</t>
        </is>
      </c>
      <c r="G505" t="n">
        <v>2</v>
      </c>
      <c r="H505" t="n">
        <v>0</v>
      </c>
      <c r="I505" t="n">
        <v>0</v>
      </c>
      <c r="J505" t="n">
        <v>0</v>
      </c>
      <c r="K505" t="n">
        <v>0</v>
      </c>
      <c r="L505" t="n">
        <v>0</v>
      </c>
      <c r="M505" t="n">
        <v>0</v>
      </c>
      <c r="N505" t="n">
        <v>0</v>
      </c>
      <c r="O505" t="n">
        <v>0</v>
      </c>
      <c r="P505" t="n">
        <v>0</v>
      </c>
      <c r="Q505" t="n">
        <v>0</v>
      </c>
      <c r="R505" s="2" t="inlineStr"/>
    </row>
    <row r="506" ht="15" customHeight="1">
      <c r="A506" t="inlineStr">
        <is>
          <t>A 32397-2025</t>
        </is>
      </c>
      <c r="B506" s="1" t="n">
        <v>45837.94081018519</v>
      </c>
      <c r="C506" s="1" t="n">
        <v>45917</v>
      </c>
      <c r="D506" t="inlineStr">
        <is>
          <t>STOCKHOLMS LÄN</t>
        </is>
      </c>
      <c r="E506" t="inlineStr">
        <is>
          <t>NORRTÄLJE</t>
        </is>
      </c>
      <c r="G506" t="n">
        <v>5.9</v>
      </c>
      <c r="H506" t="n">
        <v>0</v>
      </c>
      <c r="I506" t="n">
        <v>0</v>
      </c>
      <c r="J506" t="n">
        <v>0</v>
      </c>
      <c r="K506" t="n">
        <v>0</v>
      </c>
      <c r="L506" t="n">
        <v>0</v>
      </c>
      <c r="M506" t="n">
        <v>0</v>
      </c>
      <c r="N506" t="n">
        <v>0</v>
      </c>
      <c r="O506" t="n">
        <v>0</v>
      </c>
      <c r="P506" t="n">
        <v>0</v>
      </c>
      <c r="Q506" t="n">
        <v>0</v>
      </c>
      <c r="R506" s="2" t="inlineStr"/>
    </row>
    <row r="507" ht="15" customHeight="1">
      <c r="A507" t="inlineStr">
        <is>
          <t>A 37628-2025</t>
        </is>
      </c>
      <c r="B507" s="1" t="n">
        <v>45880.46189814815</v>
      </c>
      <c r="C507" s="1" t="n">
        <v>45917</v>
      </c>
      <c r="D507" t="inlineStr">
        <is>
          <t>STOCKHOLMS LÄN</t>
        </is>
      </c>
      <c r="E507" t="inlineStr">
        <is>
          <t>NORRTÄLJE</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32480-2025</t>
        </is>
      </c>
      <c r="B508" s="1" t="n">
        <v>45838.43261574074</v>
      </c>
      <c r="C508" s="1" t="n">
        <v>45917</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48180-2023</t>
        </is>
      </c>
      <c r="B509" s="1" t="n">
        <v>45205</v>
      </c>
      <c r="C509" s="1" t="n">
        <v>45917</v>
      </c>
      <c r="D509" t="inlineStr">
        <is>
          <t>STOCKHOLMS LÄN</t>
        </is>
      </c>
      <c r="E509" t="inlineStr">
        <is>
          <t>NORRTÄLJE</t>
        </is>
      </c>
      <c r="G509" t="n">
        <v>1.5</v>
      </c>
      <c r="H509" t="n">
        <v>0</v>
      </c>
      <c r="I509" t="n">
        <v>0</v>
      </c>
      <c r="J509" t="n">
        <v>0</v>
      </c>
      <c r="K509" t="n">
        <v>0</v>
      </c>
      <c r="L509" t="n">
        <v>0</v>
      </c>
      <c r="M509" t="n">
        <v>0</v>
      </c>
      <c r="N509" t="n">
        <v>0</v>
      </c>
      <c r="O509" t="n">
        <v>0</v>
      </c>
      <c r="P509" t="n">
        <v>0</v>
      </c>
      <c r="Q509" t="n">
        <v>0</v>
      </c>
      <c r="R509" s="2" t="inlineStr"/>
    </row>
    <row r="510" ht="15" customHeight="1">
      <c r="A510" t="inlineStr">
        <is>
          <t>A 57353-2024</t>
        </is>
      </c>
      <c r="B510" s="1" t="n">
        <v>45629.65143518519</v>
      </c>
      <c r="C510" s="1" t="n">
        <v>45917</v>
      </c>
      <c r="D510" t="inlineStr">
        <is>
          <t>STOCKHOLMS LÄN</t>
        </is>
      </c>
      <c r="E510" t="inlineStr">
        <is>
          <t>NORRTÄLJE</t>
        </is>
      </c>
      <c r="F510" t="inlineStr">
        <is>
          <t>Holmen skog AB</t>
        </is>
      </c>
      <c r="G510" t="n">
        <v>0.9</v>
      </c>
      <c r="H510" t="n">
        <v>0</v>
      </c>
      <c r="I510" t="n">
        <v>0</v>
      </c>
      <c r="J510" t="n">
        <v>0</v>
      </c>
      <c r="K510" t="n">
        <v>0</v>
      </c>
      <c r="L510" t="n">
        <v>0</v>
      </c>
      <c r="M510" t="n">
        <v>0</v>
      </c>
      <c r="N510" t="n">
        <v>0</v>
      </c>
      <c r="O510" t="n">
        <v>0</v>
      </c>
      <c r="P510" t="n">
        <v>0</v>
      </c>
      <c r="Q510" t="n">
        <v>0</v>
      </c>
      <c r="R510" s="2" t="inlineStr"/>
    </row>
    <row r="511" ht="15" customHeight="1">
      <c r="A511" t="inlineStr">
        <is>
          <t>A 59875-2024</t>
        </is>
      </c>
      <c r="B511" s="1" t="n">
        <v>45640.58716435185</v>
      </c>
      <c r="C511" s="1" t="n">
        <v>45917</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45220-2024</t>
        </is>
      </c>
      <c r="B512" s="1" t="n">
        <v>45575</v>
      </c>
      <c r="C512" s="1" t="n">
        <v>45917</v>
      </c>
      <c r="D512" t="inlineStr">
        <is>
          <t>STOCKHOLMS LÄN</t>
        </is>
      </c>
      <c r="E512" t="inlineStr">
        <is>
          <t>NORRTÄLJE</t>
        </is>
      </c>
      <c r="G512" t="n">
        <v>4.3</v>
      </c>
      <c r="H512" t="n">
        <v>0</v>
      </c>
      <c r="I512" t="n">
        <v>0</v>
      </c>
      <c r="J512" t="n">
        <v>0</v>
      </c>
      <c r="K512" t="n">
        <v>0</v>
      </c>
      <c r="L512" t="n">
        <v>0</v>
      </c>
      <c r="M512" t="n">
        <v>0</v>
      </c>
      <c r="N512" t="n">
        <v>0</v>
      </c>
      <c r="O512" t="n">
        <v>0</v>
      </c>
      <c r="P512" t="n">
        <v>0</v>
      </c>
      <c r="Q512" t="n">
        <v>0</v>
      </c>
      <c r="R512" s="2" t="inlineStr"/>
    </row>
    <row r="513" ht="15" customHeight="1">
      <c r="A513" t="inlineStr">
        <is>
          <t>A 32395-2025</t>
        </is>
      </c>
      <c r="B513" s="1" t="n">
        <v>45837.93730324074</v>
      </c>
      <c r="C513" s="1" t="n">
        <v>45917</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55696-2022</t>
        </is>
      </c>
      <c r="B514" s="1" t="n">
        <v>44888</v>
      </c>
      <c r="C514" s="1" t="n">
        <v>45917</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50907-2022</t>
        </is>
      </c>
      <c r="B515" s="1" t="n">
        <v>44867.62090277778</v>
      </c>
      <c r="C515" s="1" t="n">
        <v>45917</v>
      </c>
      <c r="D515" t="inlineStr">
        <is>
          <t>STOCKHOLMS LÄN</t>
        </is>
      </c>
      <c r="E515" t="inlineStr">
        <is>
          <t>NORRTÄLJE</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6919-2025</t>
        </is>
      </c>
      <c r="B516" s="1" t="n">
        <v>45701.44372685185</v>
      </c>
      <c r="C516" s="1" t="n">
        <v>45917</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34295-2024</t>
        </is>
      </c>
      <c r="B517" s="1" t="n">
        <v>45524</v>
      </c>
      <c r="C517" s="1" t="n">
        <v>45917</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53362-2023</t>
        </is>
      </c>
      <c r="B518" s="1" t="n">
        <v>45223</v>
      </c>
      <c r="C518" s="1" t="n">
        <v>45917</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33211-2025</t>
        </is>
      </c>
      <c r="B519" s="1" t="n">
        <v>45840.62755787037</v>
      </c>
      <c r="C519" s="1" t="n">
        <v>45917</v>
      </c>
      <c r="D519" t="inlineStr">
        <is>
          <t>STOCKHOLMS LÄN</t>
        </is>
      </c>
      <c r="E519" t="inlineStr">
        <is>
          <t>NORRTÄLJE</t>
        </is>
      </c>
      <c r="G519" t="n">
        <v>5.1</v>
      </c>
      <c r="H519" t="n">
        <v>0</v>
      </c>
      <c r="I519" t="n">
        <v>0</v>
      </c>
      <c r="J519" t="n">
        <v>0</v>
      </c>
      <c r="K519" t="n">
        <v>0</v>
      </c>
      <c r="L519" t="n">
        <v>0</v>
      </c>
      <c r="M519" t="n">
        <v>0</v>
      </c>
      <c r="N519" t="n">
        <v>0</v>
      </c>
      <c r="O519" t="n">
        <v>0</v>
      </c>
      <c r="P519" t="n">
        <v>0</v>
      </c>
      <c r="Q519" t="n">
        <v>0</v>
      </c>
      <c r="R519" s="2" t="inlineStr"/>
    </row>
    <row r="520" ht="15" customHeight="1">
      <c r="A520" t="inlineStr">
        <is>
          <t>A 6537-2024</t>
        </is>
      </c>
      <c r="B520" s="1" t="n">
        <v>45341.39853009259</v>
      </c>
      <c r="C520" s="1" t="n">
        <v>45917</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4658-2024</t>
        </is>
      </c>
      <c r="B521" s="1" t="n">
        <v>45328.46336805556</v>
      </c>
      <c r="C521" s="1" t="n">
        <v>45917</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32903-2025</t>
        </is>
      </c>
      <c r="B522" s="1" t="n">
        <v>45839.62398148148</v>
      </c>
      <c r="C522" s="1" t="n">
        <v>45917</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48145-2024</t>
        </is>
      </c>
      <c r="B523" s="1" t="n">
        <v>45589.6756712963</v>
      </c>
      <c r="C523" s="1" t="n">
        <v>45917</v>
      </c>
      <c r="D523" t="inlineStr">
        <is>
          <t>STOCKHOLMS LÄN</t>
        </is>
      </c>
      <c r="E523" t="inlineStr">
        <is>
          <t>NORRTÄLJE</t>
        </is>
      </c>
      <c r="G523" t="n">
        <v>3.4</v>
      </c>
      <c r="H523" t="n">
        <v>0</v>
      </c>
      <c r="I523" t="n">
        <v>0</v>
      </c>
      <c r="J523" t="n">
        <v>0</v>
      </c>
      <c r="K523" t="n">
        <v>0</v>
      </c>
      <c r="L523" t="n">
        <v>0</v>
      </c>
      <c r="M523" t="n">
        <v>0</v>
      </c>
      <c r="N523" t="n">
        <v>0</v>
      </c>
      <c r="O523" t="n">
        <v>0</v>
      </c>
      <c r="P523" t="n">
        <v>0</v>
      </c>
      <c r="Q523" t="n">
        <v>0</v>
      </c>
      <c r="R523" s="2" t="inlineStr"/>
    </row>
    <row r="524" ht="15" customHeight="1">
      <c r="A524" t="inlineStr">
        <is>
          <t>A 29369-2024</t>
        </is>
      </c>
      <c r="B524" s="1" t="n">
        <v>45483.57244212963</v>
      </c>
      <c r="C524" s="1" t="n">
        <v>45917</v>
      </c>
      <c r="D524" t="inlineStr">
        <is>
          <t>STOCKHOLMS LÄN</t>
        </is>
      </c>
      <c r="E524" t="inlineStr">
        <is>
          <t>NORRTÄLJE</t>
        </is>
      </c>
      <c r="G524" t="n">
        <v>15.9</v>
      </c>
      <c r="H524" t="n">
        <v>0</v>
      </c>
      <c r="I524" t="n">
        <v>0</v>
      </c>
      <c r="J524" t="n">
        <v>0</v>
      </c>
      <c r="K524" t="n">
        <v>0</v>
      </c>
      <c r="L524" t="n">
        <v>0</v>
      </c>
      <c r="M524" t="n">
        <v>0</v>
      </c>
      <c r="N524" t="n">
        <v>0</v>
      </c>
      <c r="O524" t="n">
        <v>0</v>
      </c>
      <c r="P524" t="n">
        <v>0</v>
      </c>
      <c r="Q524" t="n">
        <v>0</v>
      </c>
      <c r="R524" s="2" t="inlineStr"/>
    </row>
    <row r="525" ht="15" customHeight="1">
      <c r="A525" t="inlineStr">
        <is>
          <t>A 48066-2020</t>
        </is>
      </c>
      <c r="B525" s="1" t="n">
        <v>44100</v>
      </c>
      <c r="C525" s="1" t="n">
        <v>45917</v>
      </c>
      <c r="D525" t="inlineStr">
        <is>
          <t>STOCKHOLMS LÄN</t>
        </is>
      </c>
      <c r="E525" t="inlineStr">
        <is>
          <t>NORRTÄLJE</t>
        </is>
      </c>
      <c r="G525" t="n">
        <v>3.7</v>
      </c>
      <c r="H525" t="n">
        <v>0</v>
      </c>
      <c r="I525" t="n">
        <v>0</v>
      </c>
      <c r="J525" t="n">
        <v>0</v>
      </c>
      <c r="K525" t="n">
        <v>0</v>
      </c>
      <c r="L525" t="n">
        <v>0</v>
      </c>
      <c r="M525" t="n">
        <v>0</v>
      </c>
      <c r="N525" t="n">
        <v>0</v>
      </c>
      <c r="O525" t="n">
        <v>0</v>
      </c>
      <c r="P525" t="n">
        <v>0</v>
      </c>
      <c r="Q525" t="n">
        <v>0</v>
      </c>
      <c r="R525" s="2" t="inlineStr"/>
    </row>
    <row r="526" ht="15" customHeight="1">
      <c r="A526" t="inlineStr">
        <is>
          <t>A 52260-2022</t>
        </is>
      </c>
      <c r="B526" s="1" t="n">
        <v>44869</v>
      </c>
      <c r="C526" s="1" t="n">
        <v>45917</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55058-2021</t>
        </is>
      </c>
      <c r="B527" s="1" t="n">
        <v>44474.62141203704</v>
      </c>
      <c r="C527" s="1" t="n">
        <v>45917</v>
      </c>
      <c r="D527" t="inlineStr">
        <is>
          <t>STOCKHOLMS LÄN</t>
        </is>
      </c>
      <c r="E527" t="inlineStr">
        <is>
          <t>NORRTÄLJE</t>
        </is>
      </c>
      <c r="G527" t="n">
        <v>1.9</v>
      </c>
      <c r="H527" t="n">
        <v>0</v>
      </c>
      <c r="I527" t="n">
        <v>0</v>
      </c>
      <c r="J527" t="n">
        <v>0</v>
      </c>
      <c r="K527" t="n">
        <v>0</v>
      </c>
      <c r="L527" t="n">
        <v>0</v>
      </c>
      <c r="M527" t="n">
        <v>0</v>
      </c>
      <c r="N527" t="n">
        <v>0</v>
      </c>
      <c r="O527" t="n">
        <v>0</v>
      </c>
      <c r="P527" t="n">
        <v>0</v>
      </c>
      <c r="Q527" t="n">
        <v>0</v>
      </c>
      <c r="R527" s="2" t="inlineStr"/>
    </row>
    <row r="528" ht="15" customHeight="1">
      <c r="A528" t="inlineStr">
        <is>
          <t>A 40192-2023</t>
        </is>
      </c>
      <c r="B528" s="1" t="n">
        <v>45169</v>
      </c>
      <c r="C528" s="1" t="n">
        <v>45917</v>
      </c>
      <c r="D528" t="inlineStr">
        <is>
          <t>STOCKHOLMS LÄN</t>
        </is>
      </c>
      <c r="E528" t="inlineStr">
        <is>
          <t>NORRTÄLJE</t>
        </is>
      </c>
      <c r="F528" t="inlineStr">
        <is>
          <t>Kyrkan</t>
        </is>
      </c>
      <c r="G528" t="n">
        <v>0.7</v>
      </c>
      <c r="H528" t="n">
        <v>0</v>
      </c>
      <c r="I528" t="n">
        <v>0</v>
      </c>
      <c r="J528" t="n">
        <v>0</v>
      </c>
      <c r="K528" t="n">
        <v>0</v>
      </c>
      <c r="L528" t="n">
        <v>0</v>
      </c>
      <c r="M528" t="n">
        <v>0</v>
      </c>
      <c r="N528" t="n">
        <v>0</v>
      </c>
      <c r="O528" t="n">
        <v>0</v>
      </c>
      <c r="P528" t="n">
        <v>0</v>
      </c>
      <c r="Q528" t="n">
        <v>0</v>
      </c>
      <c r="R528" s="2" t="inlineStr"/>
    </row>
    <row r="529" ht="15" customHeight="1">
      <c r="A529" t="inlineStr">
        <is>
          <t>A 8433-2022</t>
        </is>
      </c>
      <c r="B529" s="1" t="n">
        <v>44611</v>
      </c>
      <c r="C529" s="1" t="n">
        <v>45917</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4035-2023</t>
        </is>
      </c>
      <c r="B530" s="1" t="n">
        <v>44952.57989583333</v>
      </c>
      <c r="C530" s="1" t="n">
        <v>45917</v>
      </c>
      <c r="D530" t="inlineStr">
        <is>
          <t>STOCKHOLMS LÄN</t>
        </is>
      </c>
      <c r="E530" t="inlineStr">
        <is>
          <t>NORRTÄLJE</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26644-2024</t>
        </is>
      </c>
      <c r="B531" s="1" t="n">
        <v>45469</v>
      </c>
      <c r="C531" s="1" t="n">
        <v>45917</v>
      </c>
      <c r="D531" t="inlineStr">
        <is>
          <t>STOCKHOLMS LÄN</t>
        </is>
      </c>
      <c r="E531" t="inlineStr">
        <is>
          <t>NORRTÄLJE</t>
        </is>
      </c>
      <c r="G531" t="n">
        <v>4.3</v>
      </c>
      <c r="H531" t="n">
        <v>0</v>
      </c>
      <c r="I531" t="n">
        <v>0</v>
      </c>
      <c r="J531" t="n">
        <v>0</v>
      </c>
      <c r="K531" t="n">
        <v>0</v>
      </c>
      <c r="L531" t="n">
        <v>0</v>
      </c>
      <c r="M531" t="n">
        <v>0</v>
      </c>
      <c r="N531" t="n">
        <v>0</v>
      </c>
      <c r="O531" t="n">
        <v>0</v>
      </c>
      <c r="P531" t="n">
        <v>0</v>
      </c>
      <c r="Q531" t="n">
        <v>0</v>
      </c>
      <c r="R531" s="2" t="inlineStr"/>
    </row>
    <row r="532" ht="15" customHeight="1">
      <c r="A532" t="inlineStr">
        <is>
          <t>A 26668-2024</t>
        </is>
      </c>
      <c r="B532" s="1" t="n">
        <v>45469</v>
      </c>
      <c r="C532" s="1" t="n">
        <v>45917</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33265-2025</t>
        </is>
      </c>
      <c r="B533" s="1" t="n">
        <v>45840.67829861111</v>
      </c>
      <c r="C533" s="1" t="n">
        <v>45917</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10642-2025</t>
        </is>
      </c>
      <c r="B534" s="1" t="n">
        <v>45721.65858796296</v>
      </c>
      <c r="C534" s="1" t="n">
        <v>45917</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32872-2025</t>
        </is>
      </c>
      <c r="B535" s="1" t="n">
        <v>45839</v>
      </c>
      <c r="C535" s="1" t="n">
        <v>45917</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24024-2024</t>
        </is>
      </c>
      <c r="B536" s="1" t="n">
        <v>45456</v>
      </c>
      <c r="C536" s="1" t="n">
        <v>45917</v>
      </c>
      <c r="D536" t="inlineStr">
        <is>
          <t>STOCKHOLMS LÄN</t>
        </is>
      </c>
      <c r="E536" t="inlineStr">
        <is>
          <t>NORRTÄLJE</t>
        </is>
      </c>
      <c r="G536" t="n">
        <v>1.9</v>
      </c>
      <c r="H536" t="n">
        <v>0</v>
      </c>
      <c r="I536" t="n">
        <v>0</v>
      </c>
      <c r="J536" t="n">
        <v>0</v>
      </c>
      <c r="K536" t="n">
        <v>0</v>
      </c>
      <c r="L536" t="n">
        <v>0</v>
      </c>
      <c r="M536" t="n">
        <v>0</v>
      </c>
      <c r="N536" t="n">
        <v>0</v>
      </c>
      <c r="O536" t="n">
        <v>0</v>
      </c>
      <c r="P536" t="n">
        <v>0</v>
      </c>
      <c r="Q536" t="n">
        <v>0</v>
      </c>
      <c r="R536" s="2" t="inlineStr"/>
    </row>
    <row r="537" ht="15" customHeight="1">
      <c r="A537" t="inlineStr">
        <is>
          <t>A 38153-2025</t>
        </is>
      </c>
      <c r="B537" s="1" t="n">
        <v>45882.59722222222</v>
      </c>
      <c r="C537" s="1" t="n">
        <v>45917</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10215-2023</t>
        </is>
      </c>
      <c r="B538" s="1" t="n">
        <v>44986.5887962963</v>
      </c>
      <c r="C538" s="1" t="n">
        <v>45917</v>
      </c>
      <c r="D538" t="inlineStr">
        <is>
          <t>STOCKHOLMS LÄN</t>
        </is>
      </c>
      <c r="E538" t="inlineStr">
        <is>
          <t>NORRTÄLJE</t>
        </is>
      </c>
      <c r="G538" t="n">
        <v>6.5</v>
      </c>
      <c r="H538" t="n">
        <v>0</v>
      </c>
      <c r="I538" t="n">
        <v>0</v>
      </c>
      <c r="J538" t="n">
        <v>0</v>
      </c>
      <c r="K538" t="n">
        <v>0</v>
      </c>
      <c r="L538" t="n">
        <v>0</v>
      </c>
      <c r="M538" t="n">
        <v>0</v>
      </c>
      <c r="N538" t="n">
        <v>0</v>
      </c>
      <c r="O538" t="n">
        <v>0</v>
      </c>
      <c r="P538" t="n">
        <v>0</v>
      </c>
      <c r="Q538" t="n">
        <v>0</v>
      </c>
      <c r="R538" s="2" t="inlineStr"/>
    </row>
    <row r="539" ht="15" customHeight="1">
      <c r="A539" t="inlineStr">
        <is>
          <t>A 19058-2023</t>
        </is>
      </c>
      <c r="B539" s="1" t="n">
        <v>45048</v>
      </c>
      <c r="C539" s="1" t="n">
        <v>45917</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60321-2020</t>
        </is>
      </c>
      <c r="B540" s="1" t="n">
        <v>44152</v>
      </c>
      <c r="C540" s="1" t="n">
        <v>45917</v>
      </c>
      <c r="D540" t="inlineStr">
        <is>
          <t>STOCKHOLMS LÄN</t>
        </is>
      </c>
      <c r="E540" t="inlineStr">
        <is>
          <t>NORRTÄLJE</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35532-2024</t>
        </is>
      </c>
      <c r="B541" s="1" t="n">
        <v>45531</v>
      </c>
      <c r="C541" s="1" t="n">
        <v>45917</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21291-2021</t>
        </is>
      </c>
      <c r="B542" s="1" t="n">
        <v>44319</v>
      </c>
      <c r="C542" s="1" t="n">
        <v>45917</v>
      </c>
      <c r="D542" t="inlineStr">
        <is>
          <t>STOCKHOLMS LÄN</t>
        </is>
      </c>
      <c r="E542" t="inlineStr">
        <is>
          <t>NORRTÄLJE</t>
        </is>
      </c>
      <c r="G542" t="n">
        <v>12.7</v>
      </c>
      <c r="H542" t="n">
        <v>0</v>
      </c>
      <c r="I542" t="n">
        <v>0</v>
      </c>
      <c r="J542" t="n">
        <v>0</v>
      </c>
      <c r="K542" t="n">
        <v>0</v>
      </c>
      <c r="L542" t="n">
        <v>0</v>
      </c>
      <c r="M542" t="n">
        <v>0</v>
      </c>
      <c r="N542" t="n">
        <v>0</v>
      </c>
      <c r="O542" t="n">
        <v>0</v>
      </c>
      <c r="P542" t="n">
        <v>0</v>
      </c>
      <c r="Q542" t="n">
        <v>0</v>
      </c>
      <c r="R542" s="2" t="inlineStr"/>
    </row>
    <row r="543" ht="15" customHeight="1">
      <c r="A543" t="inlineStr">
        <is>
          <t>A 19118-2022</t>
        </is>
      </c>
      <c r="B543" s="1" t="n">
        <v>44691.5652662037</v>
      </c>
      <c r="C543" s="1" t="n">
        <v>45917</v>
      </c>
      <c r="D543" t="inlineStr">
        <is>
          <t>STOCKHOLMS LÄN</t>
        </is>
      </c>
      <c r="E543" t="inlineStr">
        <is>
          <t>NORRTÄLJE</t>
        </is>
      </c>
      <c r="G543" t="n">
        <v>0.5</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45917</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59893-2022</t>
        </is>
      </c>
      <c r="B545" s="1" t="n">
        <v>44908.77368055555</v>
      </c>
      <c r="C545" s="1" t="n">
        <v>45917</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33702-2025</t>
        </is>
      </c>
      <c r="B546" s="1" t="n">
        <v>45841.74596064815</v>
      </c>
      <c r="C546" s="1" t="n">
        <v>45917</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9469-2021</t>
        </is>
      </c>
      <c r="B547" s="1" t="n">
        <v>44251</v>
      </c>
      <c r="C547" s="1" t="n">
        <v>45917</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33336-2025</t>
        </is>
      </c>
      <c r="B548" s="1" t="n">
        <v>45841.35611111111</v>
      </c>
      <c r="C548" s="1" t="n">
        <v>45917</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33226-2024</t>
        </is>
      </c>
      <c r="B549" s="1" t="n">
        <v>45518</v>
      </c>
      <c r="C549" s="1" t="n">
        <v>45917</v>
      </c>
      <c r="D549" t="inlineStr">
        <is>
          <t>STOCKHOLMS LÄN</t>
        </is>
      </c>
      <c r="E549" t="inlineStr">
        <is>
          <t>NORRTÄLJE</t>
        </is>
      </c>
      <c r="G549" t="n">
        <v>13.8</v>
      </c>
      <c r="H549" t="n">
        <v>0</v>
      </c>
      <c r="I549" t="n">
        <v>0</v>
      </c>
      <c r="J549" t="n">
        <v>0</v>
      </c>
      <c r="K549" t="n">
        <v>0</v>
      </c>
      <c r="L549" t="n">
        <v>0</v>
      </c>
      <c r="M549" t="n">
        <v>0</v>
      </c>
      <c r="N549" t="n">
        <v>0</v>
      </c>
      <c r="O549" t="n">
        <v>0</v>
      </c>
      <c r="P549" t="n">
        <v>0</v>
      </c>
      <c r="Q549" t="n">
        <v>0</v>
      </c>
      <c r="R549" s="2" t="inlineStr"/>
    </row>
    <row r="550" ht="15" customHeight="1">
      <c r="A550" t="inlineStr">
        <is>
          <t>A 38593-2025</t>
        </is>
      </c>
      <c r="B550" s="1" t="n">
        <v>45884.48696759259</v>
      </c>
      <c r="C550" s="1" t="n">
        <v>45917</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16980-2023</t>
        </is>
      </c>
      <c r="B551" s="1" t="n">
        <v>45033</v>
      </c>
      <c r="C551" s="1" t="n">
        <v>45917</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14127-2025</t>
        </is>
      </c>
      <c r="B552" s="1" t="n">
        <v>45740.47055555556</v>
      </c>
      <c r="C552" s="1" t="n">
        <v>45917</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31559-2022</t>
        </is>
      </c>
      <c r="B553" s="1" t="n">
        <v>44775</v>
      </c>
      <c r="C553" s="1" t="n">
        <v>45917</v>
      </c>
      <c r="D553" t="inlineStr">
        <is>
          <t>STOCKHOLMS LÄN</t>
        </is>
      </c>
      <c r="E553" t="inlineStr">
        <is>
          <t>NORRTÄLJE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52001-2023</t>
        </is>
      </c>
      <c r="B554" s="1" t="n">
        <v>45223</v>
      </c>
      <c r="C554" s="1" t="n">
        <v>45917</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31107-2022</t>
        </is>
      </c>
      <c r="B555" s="1" t="n">
        <v>44769.66864583334</v>
      </c>
      <c r="C555" s="1" t="n">
        <v>45917</v>
      </c>
      <c r="D555" t="inlineStr">
        <is>
          <t>STOCKHOLMS LÄN</t>
        </is>
      </c>
      <c r="E555" t="inlineStr">
        <is>
          <t>NORRTÄLJE</t>
        </is>
      </c>
      <c r="G555" t="n">
        <v>3.8</v>
      </c>
      <c r="H555" t="n">
        <v>0</v>
      </c>
      <c r="I555" t="n">
        <v>0</v>
      </c>
      <c r="J555" t="n">
        <v>0</v>
      </c>
      <c r="K555" t="n">
        <v>0</v>
      </c>
      <c r="L555" t="n">
        <v>0</v>
      </c>
      <c r="M555" t="n">
        <v>0</v>
      </c>
      <c r="N555" t="n">
        <v>0</v>
      </c>
      <c r="O555" t="n">
        <v>0</v>
      </c>
      <c r="P555" t="n">
        <v>0</v>
      </c>
      <c r="Q555" t="n">
        <v>0</v>
      </c>
      <c r="R555" s="2" t="inlineStr"/>
    </row>
    <row r="556" ht="15" customHeight="1">
      <c r="A556" t="inlineStr">
        <is>
          <t>A 33552-2025</t>
        </is>
      </c>
      <c r="B556" s="1" t="n">
        <v>45841.5737962963</v>
      </c>
      <c r="C556" s="1" t="n">
        <v>45917</v>
      </c>
      <c r="D556" t="inlineStr">
        <is>
          <t>STOCKHOLMS LÄN</t>
        </is>
      </c>
      <c r="E556" t="inlineStr">
        <is>
          <t>NORRTÄLJE</t>
        </is>
      </c>
      <c r="G556" t="n">
        <v>8.9</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45917</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43170-2023</t>
        </is>
      </c>
      <c r="B558" s="1" t="n">
        <v>45183</v>
      </c>
      <c r="C558" s="1" t="n">
        <v>45917</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33824-2025</t>
        </is>
      </c>
      <c r="B559" s="1" t="n">
        <v>45842.46885416667</v>
      </c>
      <c r="C559" s="1" t="n">
        <v>45917</v>
      </c>
      <c r="D559" t="inlineStr">
        <is>
          <t>STOCKHOLMS LÄN</t>
        </is>
      </c>
      <c r="E559" t="inlineStr">
        <is>
          <t>NORRTÄLJE</t>
        </is>
      </c>
      <c r="G559" t="n">
        <v>1.9</v>
      </c>
      <c r="H559" t="n">
        <v>0</v>
      </c>
      <c r="I559" t="n">
        <v>0</v>
      </c>
      <c r="J559" t="n">
        <v>0</v>
      </c>
      <c r="K559" t="n">
        <v>0</v>
      </c>
      <c r="L559" t="n">
        <v>0</v>
      </c>
      <c r="M559" t="n">
        <v>0</v>
      </c>
      <c r="N559" t="n">
        <v>0</v>
      </c>
      <c r="O559" t="n">
        <v>0</v>
      </c>
      <c r="P559" t="n">
        <v>0</v>
      </c>
      <c r="Q559" t="n">
        <v>0</v>
      </c>
      <c r="R559" s="2" t="inlineStr"/>
    </row>
    <row r="560" ht="15" customHeight="1">
      <c r="A560" t="inlineStr">
        <is>
          <t>A 22456-2023</t>
        </is>
      </c>
      <c r="B560" s="1" t="n">
        <v>45070</v>
      </c>
      <c r="C560" s="1" t="n">
        <v>45917</v>
      </c>
      <c r="D560" t="inlineStr">
        <is>
          <t>STOCKHOLMS LÄN</t>
        </is>
      </c>
      <c r="E560" t="inlineStr">
        <is>
          <t>NORRTÄLJE</t>
        </is>
      </c>
      <c r="G560" t="n">
        <v>3.1</v>
      </c>
      <c r="H560" t="n">
        <v>0</v>
      </c>
      <c r="I560" t="n">
        <v>0</v>
      </c>
      <c r="J560" t="n">
        <v>0</v>
      </c>
      <c r="K560" t="n">
        <v>0</v>
      </c>
      <c r="L560" t="n">
        <v>0</v>
      </c>
      <c r="M560" t="n">
        <v>0</v>
      </c>
      <c r="N560" t="n">
        <v>0</v>
      </c>
      <c r="O560" t="n">
        <v>0</v>
      </c>
      <c r="P560" t="n">
        <v>0</v>
      </c>
      <c r="Q560" t="n">
        <v>0</v>
      </c>
      <c r="R560" s="2" t="inlineStr"/>
    </row>
    <row r="561" ht="15" customHeight="1">
      <c r="A561" t="inlineStr">
        <is>
          <t>A 39149-2025</t>
        </is>
      </c>
      <c r="B561" s="1" t="n">
        <v>45888.60714120371</v>
      </c>
      <c r="C561" s="1" t="n">
        <v>45917</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47626-2022</t>
        </is>
      </c>
      <c r="B562" s="1" t="n">
        <v>44854</v>
      </c>
      <c r="C562" s="1" t="n">
        <v>45917</v>
      </c>
      <c r="D562" t="inlineStr">
        <is>
          <t>STOCKHOLMS LÄN</t>
        </is>
      </c>
      <c r="E562" t="inlineStr">
        <is>
          <t>NORRTÄLJE</t>
        </is>
      </c>
      <c r="G562" t="n">
        <v>2</v>
      </c>
      <c r="H562" t="n">
        <v>0</v>
      </c>
      <c r="I562" t="n">
        <v>0</v>
      </c>
      <c r="J562" t="n">
        <v>0</v>
      </c>
      <c r="K562" t="n">
        <v>0</v>
      </c>
      <c r="L562" t="n">
        <v>0</v>
      </c>
      <c r="M562" t="n">
        <v>0</v>
      </c>
      <c r="N562" t="n">
        <v>0</v>
      </c>
      <c r="O562" t="n">
        <v>0</v>
      </c>
      <c r="P562" t="n">
        <v>0</v>
      </c>
      <c r="Q562" t="n">
        <v>0</v>
      </c>
      <c r="R562" s="2" t="inlineStr"/>
    </row>
    <row r="563" ht="15" customHeight="1">
      <c r="A563" t="inlineStr">
        <is>
          <t>A 19580-2022</t>
        </is>
      </c>
      <c r="B563" s="1" t="n">
        <v>44693</v>
      </c>
      <c r="C563" s="1" t="n">
        <v>45917</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32101-2022</t>
        </is>
      </c>
      <c r="B564" s="1" t="n">
        <v>44778.69210648148</v>
      </c>
      <c r="C564" s="1" t="n">
        <v>45917</v>
      </c>
      <c r="D564" t="inlineStr">
        <is>
          <t>STOCKHOLMS LÄN</t>
        </is>
      </c>
      <c r="E564" t="inlineStr">
        <is>
          <t>NORRTÄLJE</t>
        </is>
      </c>
      <c r="G564" t="n">
        <v>4.4</v>
      </c>
      <c r="H564" t="n">
        <v>0</v>
      </c>
      <c r="I564" t="n">
        <v>0</v>
      </c>
      <c r="J564" t="n">
        <v>0</v>
      </c>
      <c r="K564" t="n">
        <v>0</v>
      </c>
      <c r="L564" t="n">
        <v>0</v>
      </c>
      <c r="M564" t="n">
        <v>0</v>
      </c>
      <c r="N564" t="n">
        <v>0</v>
      </c>
      <c r="O564" t="n">
        <v>0</v>
      </c>
      <c r="P564" t="n">
        <v>0</v>
      </c>
      <c r="Q564" t="n">
        <v>0</v>
      </c>
      <c r="R564" s="2" t="inlineStr"/>
    </row>
    <row r="565" ht="15" customHeight="1">
      <c r="A565" t="inlineStr">
        <is>
          <t>A 28365-2022</t>
        </is>
      </c>
      <c r="B565" s="1" t="n">
        <v>44747</v>
      </c>
      <c r="C565" s="1" t="n">
        <v>45917</v>
      </c>
      <c r="D565" t="inlineStr">
        <is>
          <t>STOCKHOLMS LÄN</t>
        </is>
      </c>
      <c r="E565" t="inlineStr">
        <is>
          <t>NORRTÄLJE</t>
        </is>
      </c>
      <c r="G565" t="n">
        <v>5.1</v>
      </c>
      <c r="H565" t="n">
        <v>0</v>
      </c>
      <c r="I565" t="n">
        <v>0</v>
      </c>
      <c r="J565" t="n">
        <v>0</v>
      </c>
      <c r="K565" t="n">
        <v>0</v>
      </c>
      <c r="L565" t="n">
        <v>0</v>
      </c>
      <c r="M565" t="n">
        <v>0</v>
      </c>
      <c r="N565" t="n">
        <v>0</v>
      </c>
      <c r="O565" t="n">
        <v>0</v>
      </c>
      <c r="P565" t="n">
        <v>0</v>
      </c>
      <c r="Q565" t="n">
        <v>0</v>
      </c>
      <c r="R565" s="2" t="inlineStr"/>
    </row>
    <row r="566" ht="15" customHeight="1">
      <c r="A566" t="inlineStr">
        <is>
          <t>A 42867-2022</t>
        </is>
      </c>
      <c r="B566" s="1" t="n">
        <v>44832</v>
      </c>
      <c r="C566" s="1" t="n">
        <v>45917</v>
      </c>
      <c r="D566" t="inlineStr">
        <is>
          <t>STOCKHOLMS LÄN</t>
        </is>
      </c>
      <c r="E566" t="inlineStr">
        <is>
          <t>NORRTÄLJE</t>
        </is>
      </c>
      <c r="G566" t="n">
        <v>6.4</v>
      </c>
      <c r="H566" t="n">
        <v>0</v>
      </c>
      <c r="I566" t="n">
        <v>0</v>
      </c>
      <c r="J566" t="n">
        <v>0</v>
      </c>
      <c r="K566" t="n">
        <v>0</v>
      </c>
      <c r="L566" t="n">
        <v>0</v>
      </c>
      <c r="M566" t="n">
        <v>0</v>
      </c>
      <c r="N566" t="n">
        <v>0</v>
      </c>
      <c r="O566" t="n">
        <v>0</v>
      </c>
      <c r="P566" t="n">
        <v>0</v>
      </c>
      <c r="Q566" t="n">
        <v>0</v>
      </c>
      <c r="R566" s="2" t="inlineStr"/>
    </row>
    <row r="567" ht="15" customHeight="1">
      <c r="A567" t="inlineStr">
        <is>
          <t>A 46073-2024</t>
        </is>
      </c>
      <c r="B567" s="1" t="n">
        <v>45581</v>
      </c>
      <c r="C567" s="1" t="n">
        <v>45917</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5645-2023</t>
        </is>
      </c>
      <c r="B568" s="1" t="n">
        <v>44960.60469907407</v>
      </c>
      <c r="C568" s="1" t="n">
        <v>45917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5823-2023</t>
        </is>
      </c>
      <c r="B569" s="1" t="n">
        <v>44963</v>
      </c>
      <c r="C569" s="1" t="n">
        <v>45917</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30731-2023</t>
        </is>
      </c>
      <c r="B570" s="1" t="n">
        <v>45112</v>
      </c>
      <c r="C570" s="1" t="n">
        <v>45917</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36689-2023</t>
        </is>
      </c>
      <c r="B571" s="1" t="n">
        <v>45152</v>
      </c>
      <c r="C571" s="1" t="n">
        <v>45917</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11988-2021</t>
        </is>
      </c>
      <c r="B572" s="1" t="n">
        <v>44266</v>
      </c>
      <c r="C572" s="1" t="n">
        <v>45917</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12132-2021</t>
        </is>
      </c>
      <c r="B573" s="1" t="n">
        <v>44266</v>
      </c>
      <c r="C573" s="1" t="n">
        <v>45917</v>
      </c>
      <c r="D573" t="inlineStr">
        <is>
          <t>STOCKHOLMS LÄN</t>
        </is>
      </c>
      <c r="E573" t="inlineStr">
        <is>
          <t>NORRTÄLJE</t>
        </is>
      </c>
      <c r="G573" t="n">
        <v>4</v>
      </c>
      <c r="H573" t="n">
        <v>0</v>
      </c>
      <c r="I573" t="n">
        <v>0</v>
      </c>
      <c r="J573" t="n">
        <v>0</v>
      </c>
      <c r="K573" t="n">
        <v>0</v>
      </c>
      <c r="L573" t="n">
        <v>0</v>
      </c>
      <c r="M573" t="n">
        <v>0</v>
      </c>
      <c r="N573" t="n">
        <v>0</v>
      </c>
      <c r="O573" t="n">
        <v>0</v>
      </c>
      <c r="P573" t="n">
        <v>0</v>
      </c>
      <c r="Q573" t="n">
        <v>0</v>
      </c>
      <c r="R573" s="2" t="inlineStr"/>
    </row>
    <row r="574" ht="15" customHeight="1">
      <c r="A574" t="inlineStr">
        <is>
          <t>A 34139-2025</t>
        </is>
      </c>
      <c r="B574" s="1" t="n">
        <v>45845</v>
      </c>
      <c r="C574" s="1" t="n">
        <v>45917</v>
      </c>
      <c r="D574" t="inlineStr">
        <is>
          <t>STOCKHOLMS LÄN</t>
        </is>
      </c>
      <c r="E574" t="inlineStr">
        <is>
          <t>NORRTÄLJE</t>
        </is>
      </c>
      <c r="G574" t="n">
        <v>5.5</v>
      </c>
      <c r="H574" t="n">
        <v>0</v>
      </c>
      <c r="I574" t="n">
        <v>0</v>
      </c>
      <c r="J574" t="n">
        <v>0</v>
      </c>
      <c r="K574" t="n">
        <v>0</v>
      </c>
      <c r="L574" t="n">
        <v>0</v>
      </c>
      <c r="M574" t="n">
        <v>0</v>
      </c>
      <c r="N574" t="n">
        <v>0</v>
      </c>
      <c r="O574" t="n">
        <v>0</v>
      </c>
      <c r="P574" t="n">
        <v>0</v>
      </c>
      <c r="Q574" t="n">
        <v>0</v>
      </c>
      <c r="R574" s="2" t="inlineStr"/>
    </row>
    <row r="575" ht="15" customHeight="1">
      <c r="A575" t="inlineStr">
        <is>
          <t>A 34006-2025</t>
        </is>
      </c>
      <c r="B575" s="1" t="n">
        <v>45844.62609953704</v>
      </c>
      <c r="C575" s="1" t="n">
        <v>45917</v>
      </c>
      <c r="D575" t="inlineStr">
        <is>
          <t>STOCKHOLMS LÄN</t>
        </is>
      </c>
      <c r="E575" t="inlineStr">
        <is>
          <t>NORRTÄLJE</t>
        </is>
      </c>
      <c r="G575" t="n">
        <v>2.3</v>
      </c>
      <c r="H575" t="n">
        <v>0</v>
      </c>
      <c r="I575" t="n">
        <v>0</v>
      </c>
      <c r="J575" t="n">
        <v>0</v>
      </c>
      <c r="K575" t="n">
        <v>0</v>
      </c>
      <c r="L575" t="n">
        <v>0</v>
      </c>
      <c r="M575" t="n">
        <v>0</v>
      </c>
      <c r="N575" t="n">
        <v>0</v>
      </c>
      <c r="O575" t="n">
        <v>0</v>
      </c>
      <c r="P575" t="n">
        <v>0</v>
      </c>
      <c r="Q575" t="n">
        <v>0</v>
      </c>
      <c r="R575" s="2" t="inlineStr"/>
    </row>
    <row r="576" ht="15" customHeight="1">
      <c r="A576" t="inlineStr">
        <is>
          <t>A 51653-2022</t>
        </is>
      </c>
      <c r="B576" s="1" t="n">
        <v>44867</v>
      </c>
      <c r="C576" s="1" t="n">
        <v>45917</v>
      </c>
      <c r="D576" t="inlineStr">
        <is>
          <t>STOCKHOLMS LÄN</t>
        </is>
      </c>
      <c r="E576" t="inlineStr">
        <is>
          <t>NORRTÄLJE</t>
        </is>
      </c>
      <c r="G576" t="n">
        <v>6.6</v>
      </c>
      <c r="H576" t="n">
        <v>0</v>
      </c>
      <c r="I576" t="n">
        <v>0</v>
      </c>
      <c r="J576" t="n">
        <v>0</v>
      </c>
      <c r="K576" t="n">
        <v>0</v>
      </c>
      <c r="L576" t="n">
        <v>0</v>
      </c>
      <c r="M576" t="n">
        <v>0</v>
      </c>
      <c r="N576" t="n">
        <v>0</v>
      </c>
      <c r="O576" t="n">
        <v>0</v>
      </c>
      <c r="P576" t="n">
        <v>0</v>
      </c>
      <c r="Q576" t="n">
        <v>0</v>
      </c>
      <c r="R576" s="2" t="inlineStr"/>
    </row>
    <row r="577" ht="15" customHeight="1">
      <c r="A577" t="inlineStr">
        <is>
          <t>A 32103-2022</t>
        </is>
      </c>
      <c r="B577" s="1" t="n">
        <v>44778</v>
      </c>
      <c r="C577" s="1" t="n">
        <v>45917</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55952-2024</t>
        </is>
      </c>
      <c r="B578" s="1" t="n">
        <v>45623.62563657408</v>
      </c>
      <c r="C578" s="1" t="n">
        <v>45917</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34010-2025</t>
        </is>
      </c>
      <c r="B579" s="1" t="n">
        <v>45844.91234953704</v>
      </c>
      <c r="C579" s="1" t="n">
        <v>45917</v>
      </c>
      <c r="D579" t="inlineStr">
        <is>
          <t>STOCKHOLMS LÄN</t>
        </is>
      </c>
      <c r="E579" t="inlineStr">
        <is>
          <t>NORRTÄLJE</t>
        </is>
      </c>
      <c r="F579" t="inlineStr">
        <is>
          <t>Övriga Aktiebolag</t>
        </is>
      </c>
      <c r="G579" t="n">
        <v>1.1</v>
      </c>
      <c r="H579" t="n">
        <v>0</v>
      </c>
      <c r="I579" t="n">
        <v>0</v>
      </c>
      <c r="J579" t="n">
        <v>0</v>
      </c>
      <c r="K579" t="n">
        <v>0</v>
      </c>
      <c r="L579" t="n">
        <v>0</v>
      </c>
      <c r="M579" t="n">
        <v>0</v>
      </c>
      <c r="N579" t="n">
        <v>0</v>
      </c>
      <c r="O579" t="n">
        <v>0</v>
      </c>
      <c r="P579" t="n">
        <v>0</v>
      </c>
      <c r="Q579" t="n">
        <v>0</v>
      </c>
      <c r="R579" s="2" t="inlineStr"/>
    </row>
    <row r="580" ht="15" customHeight="1">
      <c r="A580" t="inlineStr">
        <is>
          <t>A 23070-2023</t>
        </is>
      </c>
      <c r="B580" s="1" t="n">
        <v>45075</v>
      </c>
      <c r="C580" s="1" t="n">
        <v>45917</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17775-2022</t>
        </is>
      </c>
      <c r="B581" s="1" t="n">
        <v>44682.78430555556</v>
      </c>
      <c r="C581" s="1" t="n">
        <v>45917</v>
      </c>
      <c r="D581" t="inlineStr">
        <is>
          <t>STOCKHOLMS LÄN</t>
        </is>
      </c>
      <c r="E581" t="inlineStr">
        <is>
          <t>NORRTÄLJE</t>
        </is>
      </c>
      <c r="G581" t="n">
        <v>4.7</v>
      </c>
      <c r="H581" t="n">
        <v>0</v>
      </c>
      <c r="I581" t="n">
        <v>0</v>
      </c>
      <c r="J581" t="n">
        <v>0</v>
      </c>
      <c r="K581" t="n">
        <v>0</v>
      </c>
      <c r="L581" t="n">
        <v>0</v>
      </c>
      <c r="M581" t="n">
        <v>0</v>
      </c>
      <c r="N581" t="n">
        <v>0</v>
      </c>
      <c r="O581" t="n">
        <v>0</v>
      </c>
      <c r="P581" t="n">
        <v>0</v>
      </c>
      <c r="Q581" t="n">
        <v>0</v>
      </c>
      <c r="R581" s="2" t="inlineStr"/>
    </row>
    <row r="582" ht="15" customHeight="1">
      <c r="A582" t="inlineStr">
        <is>
          <t>A 9703-2021</t>
        </is>
      </c>
      <c r="B582" s="1" t="n">
        <v>44252</v>
      </c>
      <c r="C582" s="1" t="n">
        <v>45917</v>
      </c>
      <c r="D582" t="inlineStr">
        <is>
          <t>STOCKHOLMS LÄN</t>
        </is>
      </c>
      <c r="E582" t="inlineStr">
        <is>
          <t>NORRTÄLJE</t>
        </is>
      </c>
      <c r="G582" t="n">
        <v>3.4</v>
      </c>
      <c r="H582" t="n">
        <v>0</v>
      </c>
      <c r="I582" t="n">
        <v>0</v>
      </c>
      <c r="J582" t="n">
        <v>0</v>
      </c>
      <c r="K582" t="n">
        <v>0</v>
      </c>
      <c r="L582" t="n">
        <v>0</v>
      </c>
      <c r="M582" t="n">
        <v>0</v>
      </c>
      <c r="N582" t="n">
        <v>0</v>
      </c>
      <c r="O582" t="n">
        <v>0</v>
      </c>
      <c r="P582" t="n">
        <v>0</v>
      </c>
      <c r="Q582" t="n">
        <v>0</v>
      </c>
      <c r="R582" s="2" t="inlineStr"/>
    </row>
    <row r="583" ht="15" customHeight="1">
      <c r="A583" t="inlineStr">
        <is>
          <t>A 8792-2025</t>
        </is>
      </c>
      <c r="B583" s="1" t="n">
        <v>45712</v>
      </c>
      <c r="C583" s="1" t="n">
        <v>45917</v>
      </c>
      <c r="D583" t="inlineStr">
        <is>
          <t>STOCKHOLMS LÄN</t>
        </is>
      </c>
      <c r="E583" t="inlineStr">
        <is>
          <t>NORRTÄLJE</t>
        </is>
      </c>
      <c r="F583" t="inlineStr">
        <is>
          <t>Övriga Aktiebolag</t>
        </is>
      </c>
      <c r="G583" t="n">
        <v>6.6</v>
      </c>
      <c r="H583" t="n">
        <v>0</v>
      </c>
      <c r="I583" t="n">
        <v>0</v>
      </c>
      <c r="J583" t="n">
        <v>0</v>
      </c>
      <c r="K583" t="n">
        <v>0</v>
      </c>
      <c r="L583" t="n">
        <v>0</v>
      </c>
      <c r="M583" t="n">
        <v>0</v>
      </c>
      <c r="N583" t="n">
        <v>0</v>
      </c>
      <c r="O583" t="n">
        <v>0</v>
      </c>
      <c r="P583" t="n">
        <v>0</v>
      </c>
      <c r="Q583" t="n">
        <v>0</v>
      </c>
      <c r="R583" s="2" t="inlineStr"/>
    </row>
    <row r="584" ht="15" customHeight="1">
      <c r="A584" t="inlineStr">
        <is>
          <t>A 39610-2025</t>
        </is>
      </c>
      <c r="B584" s="1" t="n">
        <v>45890.56001157407</v>
      </c>
      <c r="C584" s="1" t="n">
        <v>45917</v>
      </c>
      <c r="D584" t="inlineStr">
        <is>
          <t>STOCKHOLMS LÄN</t>
        </is>
      </c>
      <c r="E584" t="inlineStr">
        <is>
          <t>NORRTÄLJE</t>
        </is>
      </c>
      <c r="G584" t="n">
        <v>28.6</v>
      </c>
      <c r="H584" t="n">
        <v>0</v>
      </c>
      <c r="I584" t="n">
        <v>0</v>
      </c>
      <c r="J584" t="n">
        <v>0</v>
      </c>
      <c r="K584" t="n">
        <v>0</v>
      </c>
      <c r="L584" t="n">
        <v>0</v>
      </c>
      <c r="M584" t="n">
        <v>0</v>
      </c>
      <c r="N584" t="n">
        <v>0</v>
      </c>
      <c r="O584" t="n">
        <v>0</v>
      </c>
      <c r="P584" t="n">
        <v>0</v>
      </c>
      <c r="Q584" t="n">
        <v>0</v>
      </c>
      <c r="R584" s="2" t="inlineStr"/>
    </row>
    <row r="585" ht="15" customHeight="1">
      <c r="A585" t="inlineStr">
        <is>
          <t>A 7571-2024</t>
        </is>
      </c>
      <c r="B585" s="1" t="n">
        <v>45348.46300925926</v>
      </c>
      <c r="C585" s="1" t="n">
        <v>45917</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47481-2024</t>
        </is>
      </c>
      <c r="B586" s="1" t="n">
        <v>45587</v>
      </c>
      <c r="C586" s="1" t="n">
        <v>45917</v>
      </c>
      <c r="D586" t="inlineStr">
        <is>
          <t>STOCKHOLMS LÄN</t>
        </is>
      </c>
      <c r="E586" t="inlineStr">
        <is>
          <t>NORRTÄLJE</t>
        </is>
      </c>
      <c r="G586" t="n">
        <v>0.5</v>
      </c>
      <c r="H586" t="n">
        <v>0</v>
      </c>
      <c r="I586" t="n">
        <v>0</v>
      </c>
      <c r="J586" t="n">
        <v>0</v>
      </c>
      <c r="K586" t="n">
        <v>0</v>
      </c>
      <c r="L586" t="n">
        <v>0</v>
      </c>
      <c r="M586" t="n">
        <v>0</v>
      </c>
      <c r="N586" t="n">
        <v>0</v>
      </c>
      <c r="O586" t="n">
        <v>0</v>
      </c>
      <c r="P586" t="n">
        <v>0</v>
      </c>
      <c r="Q586" t="n">
        <v>0</v>
      </c>
      <c r="R586" s="2" t="inlineStr"/>
    </row>
    <row r="587" ht="15" customHeight="1">
      <c r="A587" t="inlineStr">
        <is>
          <t>A 24933-2023</t>
        </is>
      </c>
      <c r="B587" s="1" t="n">
        <v>45085.5309375</v>
      </c>
      <c r="C587" s="1" t="n">
        <v>45917</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36269-2022</t>
        </is>
      </c>
      <c r="B588" s="1" t="n">
        <v>44803</v>
      </c>
      <c r="C588" s="1" t="n">
        <v>45917</v>
      </c>
      <c r="D588" t="inlineStr">
        <is>
          <t>STOCKHOLMS LÄN</t>
        </is>
      </c>
      <c r="E588" t="inlineStr">
        <is>
          <t>NORRTÄLJE</t>
        </is>
      </c>
      <c r="G588" t="n">
        <v>2.3</v>
      </c>
      <c r="H588" t="n">
        <v>0</v>
      </c>
      <c r="I588" t="n">
        <v>0</v>
      </c>
      <c r="J588" t="n">
        <v>0</v>
      </c>
      <c r="K588" t="n">
        <v>0</v>
      </c>
      <c r="L588" t="n">
        <v>0</v>
      </c>
      <c r="M588" t="n">
        <v>0</v>
      </c>
      <c r="N588" t="n">
        <v>0</v>
      </c>
      <c r="O588" t="n">
        <v>0</v>
      </c>
      <c r="P588" t="n">
        <v>0</v>
      </c>
      <c r="Q588" t="n">
        <v>0</v>
      </c>
      <c r="R588" s="2" t="inlineStr"/>
    </row>
    <row r="589" ht="15" customHeight="1">
      <c r="A589" t="inlineStr">
        <is>
          <t>A 46071-2024</t>
        </is>
      </c>
      <c r="B589" s="1" t="n">
        <v>45581</v>
      </c>
      <c r="C589" s="1" t="n">
        <v>45917</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11062-2024</t>
        </is>
      </c>
      <c r="B590" s="1" t="n">
        <v>45370</v>
      </c>
      <c r="C590" s="1" t="n">
        <v>45917</v>
      </c>
      <c r="D590" t="inlineStr">
        <is>
          <t>STOCKHOLMS LÄN</t>
        </is>
      </c>
      <c r="E590" t="inlineStr">
        <is>
          <t>NORRTÄLJE</t>
        </is>
      </c>
      <c r="G590" t="n">
        <v>3.2</v>
      </c>
      <c r="H590" t="n">
        <v>0</v>
      </c>
      <c r="I590" t="n">
        <v>0</v>
      </c>
      <c r="J590" t="n">
        <v>0</v>
      </c>
      <c r="K590" t="n">
        <v>0</v>
      </c>
      <c r="L590" t="n">
        <v>0</v>
      </c>
      <c r="M590" t="n">
        <v>0</v>
      </c>
      <c r="N590" t="n">
        <v>0</v>
      </c>
      <c r="O590" t="n">
        <v>0</v>
      </c>
      <c r="P590" t="n">
        <v>0</v>
      </c>
      <c r="Q590" t="n">
        <v>0</v>
      </c>
      <c r="R590" s="2" t="inlineStr"/>
    </row>
    <row r="591" ht="15" customHeight="1">
      <c r="A591" t="inlineStr">
        <is>
          <t>A 15733-2025</t>
        </is>
      </c>
      <c r="B591" s="1" t="n">
        <v>45748</v>
      </c>
      <c r="C591" s="1" t="n">
        <v>45917</v>
      </c>
      <c r="D591" t="inlineStr">
        <is>
          <t>STOCKHOLMS LÄN</t>
        </is>
      </c>
      <c r="E591" t="inlineStr">
        <is>
          <t>NORRTÄLJE</t>
        </is>
      </c>
      <c r="G591" t="n">
        <v>13.3</v>
      </c>
      <c r="H591" t="n">
        <v>0</v>
      </c>
      <c r="I591" t="n">
        <v>0</v>
      </c>
      <c r="J591" t="n">
        <v>0</v>
      </c>
      <c r="K591" t="n">
        <v>0</v>
      </c>
      <c r="L591" t="n">
        <v>0</v>
      </c>
      <c r="M591" t="n">
        <v>0</v>
      </c>
      <c r="N591" t="n">
        <v>0</v>
      </c>
      <c r="O591" t="n">
        <v>0</v>
      </c>
      <c r="P591" t="n">
        <v>0</v>
      </c>
      <c r="Q591" t="n">
        <v>0</v>
      </c>
      <c r="R591" s="2" t="inlineStr"/>
    </row>
    <row r="592" ht="15" customHeight="1">
      <c r="A592" t="inlineStr">
        <is>
          <t>A 5665-2025</t>
        </is>
      </c>
      <c r="B592" s="1" t="n">
        <v>45693</v>
      </c>
      <c r="C592" s="1" t="n">
        <v>45917</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12407-2025</t>
        </is>
      </c>
      <c r="B593" s="1" t="n">
        <v>45730.42851851852</v>
      </c>
      <c r="C593" s="1" t="n">
        <v>45917</v>
      </c>
      <c r="D593" t="inlineStr">
        <is>
          <t>STOCKHOLMS LÄN</t>
        </is>
      </c>
      <c r="E593" t="inlineStr">
        <is>
          <t>NORRTÄLJE</t>
        </is>
      </c>
      <c r="F593" t="inlineStr">
        <is>
          <t>Holmen skog AB</t>
        </is>
      </c>
      <c r="G593" t="n">
        <v>2.6</v>
      </c>
      <c r="H593" t="n">
        <v>0</v>
      </c>
      <c r="I593" t="n">
        <v>0</v>
      </c>
      <c r="J593" t="n">
        <v>0</v>
      </c>
      <c r="K593" t="n">
        <v>0</v>
      </c>
      <c r="L593" t="n">
        <v>0</v>
      </c>
      <c r="M593" t="n">
        <v>0</v>
      </c>
      <c r="N593" t="n">
        <v>0</v>
      </c>
      <c r="O593" t="n">
        <v>0</v>
      </c>
      <c r="P593" t="n">
        <v>0</v>
      </c>
      <c r="Q593" t="n">
        <v>0</v>
      </c>
      <c r="R593" s="2" t="inlineStr"/>
    </row>
    <row r="594" ht="15" customHeight="1">
      <c r="A594" t="inlineStr">
        <is>
          <t>A 39692-2025</t>
        </is>
      </c>
      <c r="B594" s="1" t="n">
        <v>45890.68083333333</v>
      </c>
      <c r="C594" s="1" t="n">
        <v>45917</v>
      </c>
      <c r="D594" t="inlineStr">
        <is>
          <t>STOCKHOLMS LÄN</t>
        </is>
      </c>
      <c r="E594" t="inlineStr">
        <is>
          <t>NORRTÄLJE</t>
        </is>
      </c>
      <c r="G594" t="n">
        <v>10.5</v>
      </c>
      <c r="H594" t="n">
        <v>0</v>
      </c>
      <c r="I594" t="n">
        <v>0</v>
      </c>
      <c r="J594" t="n">
        <v>0</v>
      </c>
      <c r="K594" t="n">
        <v>0</v>
      </c>
      <c r="L594" t="n">
        <v>0</v>
      </c>
      <c r="M594" t="n">
        <v>0</v>
      </c>
      <c r="N594" t="n">
        <v>0</v>
      </c>
      <c r="O594" t="n">
        <v>0</v>
      </c>
      <c r="P594" t="n">
        <v>0</v>
      </c>
      <c r="Q594" t="n">
        <v>0</v>
      </c>
      <c r="R594" s="2" t="inlineStr"/>
    </row>
    <row r="595" ht="15" customHeight="1">
      <c r="A595" t="inlineStr">
        <is>
          <t>A 26636-2023</t>
        </is>
      </c>
      <c r="B595" s="1" t="n">
        <v>45092</v>
      </c>
      <c r="C595" s="1" t="n">
        <v>45917</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26637-2023</t>
        </is>
      </c>
      <c r="B596" s="1" t="n">
        <v>45092</v>
      </c>
      <c r="C596" s="1" t="n">
        <v>45917</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23266-2023</t>
        </is>
      </c>
      <c r="B597" s="1" t="n">
        <v>45075.90817129629</v>
      </c>
      <c r="C597" s="1" t="n">
        <v>45917</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576-2023</t>
        </is>
      </c>
      <c r="B598" s="1" t="n">
        <v>44925</v>
      </c>
      <c r="C598" s="1" t="n">
        <v>45917</v>
      </c>
      <c r="D598" t="inlineStr">
        <is>
          <t>STOCKHOLMS LÄN</t>
        </is>
      </c>
      <c r="E598" t="inlineStr">
        <is>
          <t>NORRTÄLJE</t>
        </is>
      </c>
      <c r="G598" t="n">
        <v>7.2</v>
      </c>
      <c r="H598" t="n">
        <v>0</v>
      </c>
      <c r="I598" t="n">
        <v>0</v>
      </c>
      <c r="J598" t="n">
        <v>0</v>
      </c>
      <c r="K598" t="n">
        <v>0</v>
      </c>
      <c r="L598" t="n">
        <v>0</v>
      </c>
      <c r="M598" t="n">
        <v>0</v>
      </c>
      <c r="N598" t="n">
        <v>0</v>
      </c>
      <c r="O598" t="n">
        <v>0</v>
      </c>
      <c r="P598" t="n">
        <v>0</v>
      </c>
      <c r="Q598" t="n">
        <v>0</v>
      </c>
      <c r="R598" s="2" t="inlineStr"/>
    </row>
    <row r="599" ht="15" customHeight="1">
      <c r="A599" t="inlineStr">
        <is>
          <t>A 40097-2025</t>
        </is>
      </c>
      <c r="B599" s="1" t="n">
        <v>45894.48322916667</v>
      </c>
      <c r="C599" s="1" t="n">
        <v>45917</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40033-2025</t>
        </is>
      </c>
      <c r="B600" s="1" t="n">
        <v>45893</v>
      </c>
      <c r="C600" s="1" t="n">
        <v>45917</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12908-2025</t>
        </is>
      </c>
      <c r="B601" s="1" t="n">
        <v>45733.82105324074</v>
      </c>
      <c r="C601" s="1" t="n">
        <v>45917</v>
      </c>
      <c r="D601" t="inlineStr">
        <is>
          <t>STOCKHOLMS LÄN</t>
        </is>
      </c>
      <c r="E601" t="inlineStr">
        <is>
          <t>NORRTÄLJE</t>
        </is>
      </c>
      <c r="G601" t="n">
        <v>1</v>
      </c>
      <c r="H601" t="n">
        <v>0</v>
      </c>
      <c r="I601" t="n">
        <v>0</v>
      </c>
      <c r="J601" t="n">
        <v>0</v>
      </c>
      <c r="K601" t="n">
        <v>0</v>
      </c>
      <c r="L601" t="n">
        <v>0</v>
      </c>
      <c r="M601" t="n">
        <v>0</v>
      </c>
      <c r="N601" t="n">
        <v>0</v>
      </c>
      <c r="O601" t="n">
        <v>0</v>
      </c>
      <c r="P601" t="n">
        <v>0</v>
      </c>
      <c r="Q601" t="n">
        <v>0</v>
      </c>
      <c r="R601" s="2" t="inlineStr"/>
    </row>
    <row r="602" ht="15" customHeight="1">
      <c r="A602" t="inlineStr">
        <is>
          <t>A 35161-2022</t>
        </is>
      </c>
      <c r="B602" s="1" t="n">
        <v>44797</v>
      </c>
      <c r="C602" s="1" t="n">
        <v>45917</v>
      </c>
      <c r="D602" t="inlineStr">
        <is>
          <t>STOCKHOLMS LÄN</t>
        </is>
      </c>
      <c r="E602" t="inlineStr">
        <is>
          <t>NORRTÄLJE</t>
        </is>
      </c>
      <c r="G602" t="n">
        <v>6</v>
      </c>
      <c r="H602" t="n">
        <v>0</v>
      </c>
      <c r="I602" t="n">
        <v>0</v>
      </c>
      <c r="J602" t="n">
        <v>0</v>
      </c>
      <c r="K602" t="n">
        <v>0</v>
      </c>
      <c r="L602" t="n">
        <v>0</v>
      </c>
      <c r="M602" t="n">
        <v>0</v>
      </c>
      <c r="N602" t="n">
        <v>0</v>
      </c>
      <c r="O602" t="n">
        <v>0</v>
      </c>
      <c r="P602" t="n">
        <v>0</v>
      </c>
      <c r="Q602" t="n">
        <v>0</v>
      </c>
      <c r="R602" s="2" t="inlineStr"/>
    </row>
    <row r="603" ht="15" customHeight="1">
      <c r="A603" t="inlineStr">
        <is>
          <t>A 40217-2025</t>
        </is>
      </c>
      <c r="B603" s="1" t="n">
        <v>45894.68864583333</v>
      </c>
      <c r="C603" s="1" t="n">
        <v>45917</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68361-2021</t>
        </is>
      </c>
      <c r="B604" s="1" t="n">
        <v>44528.91494212963</v>
      </c>
      <c r="C604" s="1" t="n">
        <v>45917</v>
      </c>
      <c r="D604" t="inlineStr">
        <is>
          <t>STOCKHOLMS LÄN</t>
        </is>
      </c>
      <c r="E604" t="inlineStr">
        <is>
          <t>NORRTÄLJE</t>
        </is>
      </c>
      <c r="G604" t="n">
        <v>1.9</v>
      </c>
      <c r="H604" t="n">
        <v>0</v>
      </c>
      <c r="I604" t="n">
        <v>0</v>
      </c>
      <c r="J604" t="n">
        <v>0</v>
      </c>
      <c r="K604" t="n">
        <v>0</v>
      </c>
      <c r="L604" t="n">
        <v>0</v>
      </c>
      <c r="M604" t="n">
        <v>0</v>
      </c>
      <c r="N604" t="n">
        <v>0</v>
      </c>
      <c r="O604" t="n">
        <v>0</v>
      </c>
      <c r="P604" t="n">
        <v>0</v>
      </c>
      <c r="Q604" t="n">
        <v>0</v>
      </c>
      <c r="R604" s="2" t="inlineStr"/>
    </row>
    <row r="605" ht="15" customHeight="1">
      <c r="A605" t="inlineStr">
        <is>
          <t>A 40032-2025</t>
        </is>
      </c>
      <c r="B605" s="1" t="n">
        <v>45893</v>
      </c>
      <c r="C605" s="1" t="n">
        <v>45917</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50469-2022</t>
        </is>
      </c>
      <c r="B606" s="1" t="n">
        <v>44866.49827546296</v>
      </c>
      <c r="C606" s="1" t="n">
        <v>45917</v>
      </c>
      <c r="D606" t="inlineStr">
        <is>
          <t>STOCKHOLMS LÄN</t>
        </is>
      </c>
      <c r="E606" t="inlineStr">
        <is>
          <t>NORRTÄLJE</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40172-2025</t>
        </is>
      </c>
      <c r="B607" s="1" t="n">
        <v>45894.6353125</v>
      </c>
      <c r="C607" s="1" t="n">
        <v>45917</v>
      </c>
      <c r="D607" t="inlineStr">
        <is>
          <t>STOCKHOLMS LÄN</t>
        </is>
      </c>
      <c r="E607" t="inlineStr">
        <is>
          <t>NORRTÄLJE</t>
        </is>
      </c>
      <c r="G607" t="n">
        <v>6</v>
      </c>
      <c r="H607" t="n">
        <v>0</v>
      </c>
      <c r="I607" t="n">
        <v>0</v>
      </c>
      <c r="J607" t="n">
        <v>0</v>
      </c>
      <c r="K607" t="n">
        <v>0</v>
      </c>
      <c r="L607" t="n">
        <v>0</v>
      </c>
      <c r="M607" t="n">
        <v>0</v>
      </c>
      <c r="N607" t="n">
        <v>0</v>
      </c>
      <c r="O607" t="n">
        <v>0</v>
      </c>
      <c r="P607" t="n">
        <v>0</v>
      </c>
      <c r="Q607" t="n">
        <v>0</v>
      </c>
      <c r="R607" s="2" t="inlineStr"/>
    </row>
    <row r="608" ht="15" customHeight="1">
      <c r="A608" t="inlineStr">
        <is>
          <t>A 41976-2024</t>
        </is>
      </c>
      <c r="B608" s="1" t="n">
        <v>45561.62141203704</v>
      </c>
      <c r="C608" s="1" t="n">
        <v>45917</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7903-2021</t>
        </is>
      </c>
      <c r="B609" s="1" t="n">
        <v>44243.33587962963</v>
      </c>
      <c r="C609" s="1" t="n">
        <v>45917</v>
      </c>
      <c r="D609" t="inlineStr">
        <is>
          <t>STOCKHOLMS LÄN</t>
        </is>
      </c>
      <c r="E609" t="inlineStr">
        <is>
          <t>NORRTÄLJE</t>
        </is>
      </c>
      <c r="G609" t="n">
        <v>3.5</v>
      </c>
      <c r="H609" t="n">
        <v>0</v>
      </c>
      <c r="I609" t="n">
        <v>0</v>
      </c>
      <c r="J609" t="n">
        <v>0</v>
      </c>
      <c r="K609" t="n">
        <v>0</v>
      </c>
      <c r="L609" t="n">
        <v>0</v>
      </c>
      <c r="M609" t="n">
        <v>0</v>
      </c>
      <c r="N609" t="n">
        <v>0</v>
      </c>
      <c r="O609" t="n">
        <v>0</v>
      </c>
      <c r="P609" t="n">
        <v>0</v>
      </c>
      <c r="Q609" t="n">
        <v>0</v>
      </c>
      <c r="R609" s="2" t="inlineStr"/>
    </row>
    <row r="610" ht="15" customHeight="1">
      <c r="A610" t="inlineStr">
        <is>
          <t>A 58863-2024</t>
        </is>
      </c>
      <c r="B610" s="1" t="n">
        <v>45636.41572916666</v>
      </c>
      <c r="C610" s="1" t="n">
        <v>45917</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35110-2025</t>
        </is>
      </c>
      <c r="B611" s="1" t="n">
        <v>45852.58030092593</v>
      </c>
      <c r="C611" s="1" t="n">
        <v>45917</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15447-2023</t>
        </is>
      </c>
      <c r="B612" s="1" t="n">
        <v>45020</v>
      </c>
      <c r="C612" s="1" t="n">
        <v>45917</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34391-2023</t>
        </is>
      </c>
      <c r="B613" s="1" t="n">
        <v>45139.51457175926</v>
      </c>
      <c r="C613" s="1" t="n">
        <v>45917</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62206-2022</t>
        </is>
      </c>
      <c r="B614" s="1" t="n">
        <v>44922</v>
      </c>
      <c r="C614" s="1" t="n">
        <v>45917</v>
      </c>
      <c r="D614" t="inlineStr">
        <is>
          <t>STOCKHOLMS LÄN</t>
        </is>
      </c>
      <c r="E614" t="inlineStr">
        <is>
          <t>NORRTÄLJE</t>
        </is>
      </c>
      <c r="G614" t="n">
        <v>2.9</v>
      </c>
      <c r="H614" t="n">
        <v>0</v>
      </c>
      <c r="I614" t="n">
        <v>0</v>
      </c>
      <c r="J614" t="n">
        <v>0</v>
      </c>
      <c r="K614" t="n">
        <v>0</v>
      </c>
      <c r="L614" t="n">
        <v>0</v>
      </c>
      <c r="M614" t="n">
        <v>0</v>
      </c>
      <c r="N614" t="n">
        <v>0</v>
      </c>
      <c r="O614" t="n">
        <v>0</v>
      </c>
      <c r="P614" t="n">
        <v>0</v>
      </c>
      <c r="Q614" t="n">
        <v>0</v>
      </c>
      <c r="R614" s="2" t="inlineStr"/>
    </row>
    <row r="615" ht="15" customHeight="1">
      <c r="A615" t="inlineStr">
        <is>
          <t>A 53312-2024</t>
        </is>
      </c>
      <c r="B615" s="1" t="n">
        <v>45614.39627314815</v>
      </c>
      <c r="C615" s="1" t="n">
        <v>45917</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30886-2022</t>
        </is>
      </c>
      <c r="B616" s="1" t="n">
        <v>44767.60601851852</v>
      </c>
      <c r="C616" s="1" t="n">
        <v>45917</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40228-2025</t>
        </is>
      </c>
      <c r="B617" s="1" t="n">
        <v>45894.70854166667</v>
      </c>
      <c r="C617" s="1" t="n">
        <v>45917</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40230-2025</t>
        </is>
      </c>
      <c r="B618" s="1" t="n">
        <v>45894.71101851852</v>
      </c>
      <c r="C618" s="1" t="n">
        <v>45917</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58989-2021</t>
        </is>
      </c>
      <c r="B619" s="1" t="n">
        <v>44490.02482638889</v>
      </c>
      <c r="C619" s="1" t="n">
        <v>45917</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58990-2021</t>
        </is>
      </c>
      <c r="B620" s="1" t="n">
        <v>44490.03621527777</v>
      </c>
      <c r="C620" s="1" t="n">
        <v>45917</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11940-2023</t>
        </is>
      </c>
      <c r="B621" s="1" t="n">
        <v>44995</v>
      </c>
      <c r="C621" s="1" t="n">
        <v>45917</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40292-2025</t>
        </is>
      </c>
      <c r="B622" s="1" t="n">
        <v>45895.3867824074</v>
      </c>
      <c r="C622" s="1" t="n">
        <v>45917</v>
      </c>
      <c r="D622" t="inlineStr">
        <is>
          <t>STOCKHOLMS LÄN</t>
        </is>
      </c>
      <c r="E622" t="inlineStr">
        <is>
          <t>NORRTÄLJE</t>
        </is>
      </c>
      <c r="G622" t="n">
        <v>3.5</v>
      </c>
      <c r="H622" t="n">
        <v>0</v>
      </c>
      <c r="I622" t="n">
        <v>0</v>
      </c>
      <c r="J622" t="n">
        <v>0</v>
      </c>
      <c r="K622" t="n">
        <v>0</v>
      </c>
      <c r="L622" t="n">
        <v>0</v>
      </c>
      <c r="M622" t="n">
        <v>0</v>
      </c>
      <c r="N622" t="n">
        <v>0</v>
      </c>
      <c r="O622" t="n">
        <v>0</v>
      </c>
      <c r="P622" t="n">
        <v>0</v>
      </c>
      <c r="Q622" t="n">
        <v>0</v>
      </c>
      <c r="R622" s="2" t="inlineStr"/>
    </row>
    <row r="623" ht="15" customHeight="1">
      <c r="A623" t="inlineStr">
        <is>
          <t>A 21158-2022</t>
        </is>
      </c>
      <c r="B623" s="1" t="n">
        <v>44704</v>
      </c>
      <c r="C623" s="1" t="n">
        <v>45917</v>
      </c>
      <c r="D623" t="inlineStr">
        <is>
          <t>STOCKHOLMS LÄN</t>
        </is>
      </c>
      <c r="E623" t="inlineStr">
        <is>
          <t>NORRTÄLJE</t>
        </is>
      </c>
      <c r="G623" t="n">
        <v>17.8</v>
      </c>
      <c r="H623" t="n">
        <v>0</v>
      </c>
      <c r="I623" t="n">
        <v>0</v>
      </c>
      <c r="J623" t="n">
        <v>0</v>
      </c>
      <c r="K623" t="n">
        <v>0</v>
      </c>
      <c r="L623" t="n">
        <v>0</v>
      </c>
      <c r="M623" t="n">
        <v>0</v>
      </c>
      <c r="N623" t="n">
        <v>0</v>
      </c>
      <c r="O623" t="n">
        <v>0</v>
      </c>
      <c r="P623" t="n">
        <v>0</v>
      </c>
      <c r="Q623" t="n">
        <v>0</v>
      </c>
      <c r="R623" s="2" t="inlineStr"/>
    </row>
    <row r="624" ht="15" customHeight="1">
      <c r="A624" t="inlineStr">
        <is>
          <t>A 29266-2022</t>
        </is>
      </c>
      <c r="B624" s="1" t="n">
        <v>44750.66068287037</v>
      </c>
      <c r="C624" s="1" t="n">
        <v>45917</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29278-2022</t>
        </is>
      </c>
      <c r="B625" s="1" t="n">
        <v>44750</v>
      </c>
      <c r="C625" s="1" t="n">
        <v>45917</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15915-2023</t>
        </is>
      </c>
      <c r="B626" s="1" t="n">
        <v>45022</v>
      </c>
      <c r="C626" s="1" t="n">
        <v>45917</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35256-2025</t>
        </is>
      </c>
      <c r="B627" s="1" t="n">
        <v>45853</v>
      </c>
      <c r="C627" s="1" t="n">
        <v>45917</v>
      </c>
      <c r="D627" t="inlineStr">
        <is>
          <t>STOCKHOLMS LÄN</t>
        </is>
      </c>
      <c r="E627" t="inlineStr">
        <is>
          <t>NORRTÄLJE</t>
        </is>
      </c>
      <c r="G627" t="n">
        <v>6.4</v>
      </c>
      <c r="H627" t="n">
        <v>0</v>
      </c>
      <c r="I627" t="n">
        <v>0</v>
      </c>
      <c r="J627" t="n">
        <v>0</v>
      </c>
      <c r="K627" t="n">
        <v>0</v>
      </c>
      <c r="L627" t="n">
        <v>0</v>
      </c>
      <c r="M627" t="n">
        <v>0</v>
      </c>
      <c r="N627" t="n">
        <v>0</v>
      </c>
      <c r="O627" t="n">
        <v>0</v>
      </c>
      <c r="P627" t="n">
        <v>0</v>
      </c>
      <c r="Q627" t="n">
        <v>0</v>
      </c>
      <c r="R627" s="2" t="inlineStr"/>
    </row>
    <row r="628" ht="15" customHeight="1">
      <c r="A628" t="inlineStr">
        <is>
          <t>A 40294-2025</t>
        </is>
      </c>
      <c r="B628" s="1" t="n">
        <v>45895.38778935185</v>
      </c>
      <c r="C628" s="1" t="n">
        <v>45917</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58993-2022</t>
        </is>
      </c>
      <c r="B629" s="1" t="n">
        <v>44903</v>
      </c>
      <c r="C629" s="1" t="n">
        <v>45917</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6401-2024</t>
        </is>
      </c>
      <c r="B630" s="1" t="n">
        <v>45338</v>
      </c>
      <c r="C630" s="1" t="n">
        <v>45917</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39905-2023</t>
        </is>
      </c>
      <c r="B631" s="1" t="n">
        <v>45168.44489583333</v>
      </c>
      <c r="C631" s="1" t="n">
        <v>45917</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24501-2023</t>
        </is>
      </c>
      <c r="B632" s="1" t="n">
        <v>45082</v>
      </c>
      <c r="C632" s="1" t="n">
        <v>45917</v>
      </c>
      <c r="D632" t="inlineStr">
        <is>
          <t>STOCKHOLMS LÄN</t>
        </is>
      </c>
      <c r="E632" t="inlineStr">
        <is>
          <t>NORRTÄLJE</t>
        </is>
      </c>
      <c r="G632" t="n">
        <v>1.2</v>
      </c>
      <c r="H632" t="n">
        <v>0</v>
      </c>
      <c r="I632" t="n">
        <v>0</v>
      </c>
      <c r="J632" t="n">
        <v>0</v>
      </c>
      <c r="K632" t="n">
        <v>0</v>
      </c>
      <c r="L632" t="n">
        <v>0</v>
      </c>
      <c r="M632" t="n">
        <v>0</v>
      </c>
      <c r="N632" t="n">
        <v>0</v>
      </c>
      <c r="O632" t="n">
        <v>0</v>
      </c>
      <c r="P632" t="n">
        <v>0</v>
      </c>
      <c r="Q632" t="n">
        <v>0</v>
      </c>
      <c r="R632" s="2" t="inlineStr"/>
    </row>
    <row r="633" ht="15" customHeight="1">
      <c r="A633" t="inlineStr">
        <is>
          <t>A 24520-2023</t>
        </is>
      </c>
      <c r="B633" s="1" t="n">
        <v>45082.68922453704</v>
      </c>
      <c r="C633" s="1" t="n">
        <v>45917</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35254-2025</t>
        </is>
      </c>
      <c r="B634" s="1" t="n">
        <v>45853</v>
      </c>
      <c r="C634" s="1" t="n">
        <v>45917</v>
      </c>
      <c r="D634" t="inlineStr">
        <is>
          <t>STOCKHOLMS LÄN</t>
        </is>
      </c>
      <c r="E634" t="inlineStr">
        <is>
          <t>NORRTÄLJE</t>
        </is>
      </c>
      <c r="G634" t="n">
        <v>6.5</v>
      </c>
      <c r="H634" t="n">
        <v>0</v>
      </c>
      <c r="I634" t="n">
        <v>0</v>
      </c>
      <c r="J634" t="n">
        <v>0</v>
      </c>
      <c r="K634" t="n">
        <v>0</v>
      </c>
      <c r="L634" t="n">
        <v>0</v>
      </c>
      <c r="M634" t="n">
        <v>0</v>
      </c>
      <c r="N634" t="n">
        <v>0</v>
      </c>
      <c r="O634" t="n">
        <v>0</v>
      </c>
      <c r="P634" t="n">
        <v>0</v>
      </c>
      <c r="Q634" t="n">
        <v>0</v>
      </c>
      <c r="R634" s="2" t="inlineStr"/>
    </row>
    <row r="635" ht="15" customHeight="1">
      <c r="A635" t="inlineStr">
        <is>
          <t>A 31281-2022</t>
        </is>
      </c>
      <c r="B635" s="1" t="n">
        <v>44771</v>
      </c>
      <c r="C635" s="1" t="n">
        <v>45917</v>
      </c>
      <c r="D635" t="inlineStr">
        <is>
          <t>STOCKHOLMS LÄN</t>
        </is>
      </c>
      <c r="E635" t="inlineStr">
        <is>
          <t>NORRTÄLJE</t>
        </is>
      </c>
      <c r="F635" t="inlineStr">
        <is>
          <t>Holmen skog AB</t>
        </is>
      </c>
      <c r="G635" t="n">
        <v>5.2</v>
      </c>
      <c r="H635" t="n">
        <v>0</v>
      </c>
      <c r="I635" t="n">
        <v>0</v>
      </c>
      <c r="J635" t="n">
        <v>0</v>
      </c>
      <c r="K635" t="n">
        <v>0</v>
      </c>
      <c r="L635" t="n">
        <v>0</v>
      </c>
      <c r="M635" t="n">
        <v>0</v>
      </c>
      <c r="N635" t="n">
        <v>0</v>
      </c>
      <c r="O635" t="n">
        <v>0</v>
      </c>
      <c r="P635" t="n">
        <v>0</v>
      </c>
      <c r="Q635" t="n">
        <v>0</v>
      </c>
      <c r="R635" s="2" t="inlineStr"/>
    </row>
    <row r="636" ht="15" customHeight="1">
      <c r="A636" t="inlineStr">
        <is>
          <t>A 33793-2022</t>
        </is>
      </c>
      <c r="B636" s="1" t="n">
        <v>44790</v>
      </c>
      <c r="C636" s="1" t="n">
        <v>45917</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40529-2025</t>
        </is>
      </c>
      <c r="B637" s="1" t="n">
        <v>45896.38466435186</v>
      </c>
      <c r="C637" s="1" t="n">
        <v>45917</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17304-2024</t>
        </is>
      </c>
      <c r="B638" s="1" t="n">
        <v>45414</v>
      </c>
      <c r="C638" s="1" t="n">
        <v>45917</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16852-2024</t>
        </is>
      </c>
      <c r="B639" s="1" t="n">
        <v>45411.54768518519</v>
      </c>
      <c r="C639" s="1" t="n">
        <v>45917</v>
      </c>
      <c r="D639" t="inlineStr">
        <is>
          <t>STOCKHOLMS LÄN</t>
        </is>
      </c>
      <c r="E639" t="inlineStr">
        <is>
          <t>NORRTÄLJE</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4326-2023</t>
        </is>
      </c>
      <c r="B640" s="1" t="n">
        <v>44953.70481481482</v>
      </c>
      <c r="C640" s="1" t="n">
        <v>45917</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33385-2024</t>
        </is>
      </c>
      <c r="B641" s="1" t="n">
        <v>45519</v>
      </c>
      <c r="C641" s="1" t="n">
        <v>45917</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29714-2023</t>
        </is>
      </c>
      <c r="B642" s="1" t="n">
        <v>45107.42538194444</v>
      </c>
      <c r="C642" s="1" t="n">
        <v>45917</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30508-2023</t>
        </is>
      </c>
      <c r="B643" s="1" t="n">
        <v>45111</v>
      </c>
      <c r="C643" s="1" t="n">
        <v>45917</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12031-2021</t>
        </is>
      </c>
      <c r="B644" s="1" t="n">
        <v>44266</v>
      </c>
      <c r="C644" s="1" t="n">
        <v>45917</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40829-2025</t>
        </is>
      </c>
      <c r="B645" s="1" t="n">
        <v>45897.50802083333</v>
      </c>
      <c r="C645" s="1" t="n">
        <v>45917</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40831-2025</t>
        </is>
      </c>
      <c r="B646" s="1" t="n">
        <v>45897.51077546296</v>
      </c>
      <c r="C646" s="1" t="n">
        <v>45917</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40837-2025</t>
        </is>
      </c>
      <c r="B647" s="1" t="n">
        <v>45897.51328703704</v>
      </c>
      <c r="C647" s="1" t="n">
        <v>45917</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35479-2025</t>
        </is>
      </c>
      <c r="B648" s="1" t="n">
        <v>45855.69387731481</v>
      </c>
      <c r="C648" s="1" t="n">
        <v>45917</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41174-2025</t>
        </is>
      </c>
      <c r="B649" s="1" t="n">
        <v>45898.54921296296</v>
      </c>
      <c r="C649" s="1" t="n">
        <v>45917</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41259-2025</t>
        </is>
      </c>
      <c r="B650" s="1" t="n">
        <v>45898.61054398148</v>
      </c>
      <c r="C650" s="1" t="n">
        <v>45917</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41275-2025</t>
        </is>
      </c>
      <c r="B651" s="1" t="n">
        <v>45898.62625</v>
      </c>
      <c r="C651" s="1" t="n">
        <v>45917</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38612-2022</t>
        </is>
      </c>
      <c r="B652" s="1" t="n">
        <v>44813</v>
      </c>
      <c r="C652" s="1" t="n">
        <v>45917</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41036-2025</t>
        </is>
      </c>
      <c r="B653" s="1" t="n">
        <v>45898.38552083333</v>
      </c>
      <c r="C653" s="1" t="n">
        <v>45917</v>
      </c>
      <c r="D653" t="inlineStr">
        <is>
          <t>STOCKHOLMS LÄN</t>
        </is>
      </c>
      <c r="E653" t="inlineStr">
        <is>
          <t>NORRTÄLJE</t>
        </is>
      </c>
      <c r="F653" t="inlineStr">
        <is>
          <t>Holmen skog AB</t>
        </is>
      </c>
      <c r="G653" t="n">
        <v>2.7</v>
      </c>
      <c r="H653" t="n">
        <v>0</v>
      </c>
      <c r="I653" t="n">
        <v>0</v>
      </c>
      <c r="J653" t="n">
        <v>0</v>
      </c>
      <c r="K653" t="n">
        <v>0</v>
      </c>
      <c r="L653" t="n">
        <v>0</v>
      </c>
      <c r="M653" t="n">
        <v>0</v>
      </c>
      <c r="N653" t="n">
        <v>0</v>
      </c>
      <c r="O653" t="n">
        <v>0</v>
      </c>
      <c r="P653" t="n">
        <v>0</v>
      </c>
      <c r="Q653" t="n">
        <v>0</v>
      </c>
      <c r="R653" s="2" t="inlineStr"/>
    </row>
    <row r="654" ht="15" customHeight="1">
      <c r="A654" t="inlineStr">
        <is>
          <t>A 41053-2025</t>
        </is>
      </c>
      <c r="B654" s="1" t="n">
        <v>45898.40480324074</v>
      </c>
      <c r="C654" s="1" t="n">
        <v>45917</v>
      </c>
      <c r="D654" t="inlineStr">
        <is>
          <t>STOCKHOLMS LÄN</t>
        </is>
      </c>
      <c r="E654" t="inlineStr">
        <is>
          <t>NORRTÄLJE</t>
        </is>
      </c>
      <c r="F654" t="inlineStr">
        <is>
          <t>Holmen skog AB</t>
        </is>
      </c>
      <c r="G654" t="n">
        <v>2.5</v>
      </c>
      <c r="H654" t="n">
        <v>0</v>
      </c>
      <c r="I654" t="n">
        <v>0</v>
      </c>
      <c r="J654" t="n">
        <v>0</v>
      </c>
      <c r="K654" t="n">
        <v>0</v>
      </c>
      <c r="L654" t="n">
        <v>0</v>
      </c>
      <c r="M654" t="n">
        <v>0</v>
      </c>
      <c r="N654" t="n">
        <v>0</v>
      </c>
      <c r="O654" t="n">
        <v>0</v>
      </c>
      <c r="P654" t="n">
        <v>0</v>
      </c>
      <c r="Q654" t="n">
        <v>0</v>
      </c>
      <c r="R654" s="2" t="inlineStr"/>
    </row>
    <row r="655" ht="15" customHeight="1">
      <c r="A655" t="inlineStr">
        <is>
          <t>A 41106-2025</t>
        </is>
      </c>
      <c r="B655" s="1" t="n">
        <v>45898.45636574074</v>
      </c>
      <c r="C655" s="1" t="n">
        <v>45917</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35451-2025</t>
        </is>
      </c>
      <c r="B656" s="1" t="n">
        <v>45855.57033564815</v>
      </c>
      <c r="C656" s="1" t="n">
        <v>45917</v>
      </c>
      <c r="D656" t="inlineStr">
        <is>
          <t>STOCKHOLMS LÄN</t>
        </is>
      </c>
      <c r="E656" t="inlineStr">
        <is>
          <t>NORRTÄLJE</t>
        </is>
      </c>
      <c r="F656" t="inlineStr">
        <is>
          <t>Holmen skog AB</t>
        </is>
      </c>
      <c r="G656" t="n">
        <v>7.4</v>
      </c>
      <c r="H656" t="n">
        <v>0</v>
      </c>
      <c r="I656" t="n">
        <v>0</v>
      </c>
      <c r="J656" t="n">
        <v>0</v>
      </c>
      <c r="K656" t="n">
        <v>0</v>
      </c>
      <c r="L656" t="n">
        <v>0</v>
      </c>
      <c r="M656" t="n">
        <v>0</v>
      </c>
      <c r="N656" t="n">
        <v>0</v>
      </c>
      <c r="O656" t="n">
        <v>0</v>
      </c>
      <c r="P656" t="n">
        <v>0</v>
      </c>
      <c r="Q656" t="n">
        <v>0</v>
      </c>
      <c r="R656" s="2" t="inlineStr"/>
    </row>
    <row r="657" ht="15" customHeight="1">
      <c r="A657" t="inlineStr">
        <is>
          <t>A 35478-2025</t>
        </is>
      </c>
      <c r="B657" s="1" t="n">
        <v>45855.68413194444</v>
      </c>
      <c r="C657" s="1" t="n">
        <v>45917</v>
      </c>
      <c r="D657" t="inlineStr">
        <is>
          <t>STOCKHOLMS LÄN</t>
        </is>
      </c>
      <c r="E657" t="inlineStr">
        <is>
          <t>NORRTÄLJE</t>
        </is>
      </c>
      <c r="F657" t="inlineStr">
        <is>
          <t>Holmen skog AB</t>
        </is>
      </c>
      <c r="G657" t="n">
        <v>2.7</v>
      </c>
      <c r="H657" t="n">
        <v>0</v>
      </c>
      <c r="I657" t="n">
        <v>0</v>
      </c>
      <c r="J657" t="n">
        <v>0</v>
      </c>
      <c r="K657" t="n">
        <v>0</v>
      </c>
      <c r="L657" t="n">
        <v>0</v>
      </c>
      <c r="M657" t="n">
        <v>0</v>
      </c>
      <c r="N657" t="n">
        <v>0</v>
      </c>
      <c r="O657" t="n">
        <v>0</v>
      </c>
      <c r="P657" t="n">
        <v>0</v>
      </c>
      <c r="Q657" t="n">
        <v>0</v>
      </c>
      <c r="R657" s="2" t="inlineStr"/>
    </row>
    <row r="658" ht="15" customHeight="1">
      <c r="A658" t="inlineStr">
        <is>
          <t>A 33040-2021</t>
        </is>
      </c>
      <c r="B658" s="1" t="n">
        <v>44376.50728009259</v>
      </c>
      <c r="C658" s="1" t="n">
        <v>45917</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8296-2023</t>
        </is>
      </c>
      <c r="B659" s="1" t="n">
        <v>44974</v>
      </c>
      <c r="C659" s="1" t="n">
        <v>45917</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41301-2025</t>
        </is>
      </c>
      <c r="B660" s="1" t="n">
        <v>45898.68826388889</v>
      </c>
      <c r="C660" s="1" t="n">
        <v>45917</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26117-2024</t>
        </is>
      </c>
      <c r="B661" s="1" t="n">
        <v>45468.45877314815</v>
      </c>
      <c r="C661" s="1" t="n">
        <v>45917</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61113-2023</t>
        </is>
      </c>
      <c r="B662" s="1" t="n">
        <v>45261</v>
      </c>
      <c r="C662" s="1" t="n">
        <v>45917</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41110-2025</t>
        </is>
      </c>
      <c r="B663" s="1" t="n">
        <v>45898.45976851852</v>
      </c>
      <c r="C663" s="1" t="n">
        <v>45917</v>
      </c>
      <c r="D663" t="inlineStr">
        <is>
          <t>STOCKHOLMS LÄN</t>
        </is>
      </c>
      <c r="E663" t="inlineStr">
        <is>
          <t>NORRTÄLJE</t>
        </is>
      </c>
      <c r="F663" t="inlineStr">
        <is>
          <t>Holmen skog AB</t>
        </is>
      </c>
      <c r="G663" t="n">
        <v>6.7</v>
      </c>
      <c r="H663" t="n">
        <v>0</v>
      </c>
      <c r="I663" t="n">
        <v>0</v>
      </c>
      <c r="J663" t="n">
        <v>0</v>
      </c>
      <c r="K663" t="n">
        <v>0</v>
      </c>
      <c r="L663" t="n">
        <v>0</v>
      </c>
      <c r="M663" t="n">
        <v>0</v>
      </c>
      <c r="N663" t="n">
        <v>0</v>
      </c>
      <c r="O663" t="n">
        <v>0</v>
      </c>
      <c r="P663" t="n">
        <v>0</v>
      </c>
      <c r="Q663" t="n">
        <v>0</v>
      </c>
      <c r="R663" s="2" t="inlineStr"/>
    </row>
    <row r="664" ht="15" customHeight="1">
      <c r="A664" t="inlineStr">
        <is>
          <t>A 31236-2022</t>
        </is>
      </c>
      <c r="B664" s="1" t="n">
        <v>44771</v>
      </c>
      <c r="C664" s="1" t="n">
        <v>45917</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41030-2025</t>
        </is>
      </c>
      <c r="B665" s="1" t="n">
        <v>45898.37636574074</v>
      </c>
      <c r="C665" s="1" t="n">
        <v>45917</v>
      </c>
      <c r="D665" t="inlineStr">
        <is>
          <t>STOCKHOLMS LÄN</t>
        </is>
      </c>
      <c r="E665" t="inlineStr">
        <is>
          <t>NORRTÄLJE</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60822-2023</t>
        </is>
      </c>
      <c r="B666" s="1" t="n">
        <v>45259</v>
      </c>
      <c r="C666" s="1" t="n">
        <v>45917</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59310-2023</t>
        </is>
      </c>
      <c r="B667" s="1" t="n">
        <v>45253.61146990741</v>
      </c>
      <c r="C667" s="1" t="n">
        <v>45917</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41158-2025</t>
        </is>
      </c>
      <c r="B668" s="1" t="n">
        <v>45898.5315625</v>
      </c>
      <c r="C668" s="1" t="n">
        <v>45917</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20343-2024</t>
        </is>
      </c>
      <c r="B669" s="1" t="n">
        <v>45435.43466435185</v>
      </c>
      <c r="C669" s="1" t="n">
        <v>45917</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20345-2024</t>
        </is>
      </c>
      <c r="B670" s="1" t="n">
        <v>45435.43820601852</v>
      </c>
      <c r="C670" s="1" t="n">
        <v>45917</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41272-2025</t>
        </is>
      </c>
      <c r="B671" s="1" t="n">
        <v>45898.62373842593</v>
      </c>
      <c r="C671" s="1" t="n">
        <v>45917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55010-2024</t>
        </is>
      </c>
      <c r="B672" s="1" t="n">
        <v>45621.34425925926</v>
      </c>
      <c r="C672" s="1" t="n">
        <v>45917</v>
      </c>
      <c r="D672" t="inlineStr">
        <is>
          <t>STOCKHOLMS LÄN</t>
        </is>
      </c>
      <c r="E672" t="inlineStr">
        <is>
          <t>NORRTÄLJE</t>
        </is>
      </c>
      <c r="F672" t="inlineStr">
        <is>
          <t>Sveaskog</t>
        </is>
      </c>
      <c r="G672" t="n">
        <v>5.7</v>
      </c>
      <c r="H672" t="n">
        <v>0</v>
      </c>
      <c r="I672" t="n">
        <v>0</v>
      </c>
      <c r="J672" t="n">
        <v>0</v>
      </c>
      <c r="K672" t="n">
        <v>0</v>
      </c>
      <c r="L672" t="n">
        <v>0</v>
      </c>
      <c r="M672" t="n">
        <v>0</v>
      </c>
      <c r="N672" t="n">
        <v>0</v>
      </c>
      <c r="O672" t="n">
        <v>0</v>
      </c>
      <c r="P672" t="n">
        <v>0</v>
      </c>
      <c r="Q672" t="n">
        <v>0</v>
      </c>
      <c r="R672" s="2" t="inlineStr"/>
    </row>
    <row r="673" ht="15" customHeight="1">
      <c r="A673" t="inlineStr">
        <is>
          <t>A 55018-2024</t>
        </is>
      </c>
      <c r="B673" s="1" t="n">
        <v>45621.35712962963</v>
      </c>
      <c r="C673" s="1" t="n">
        <v>45917</v>
      </c>
      <c r="D673" t="inlineStr">
        <is>
          <t>STOCKHOLMS LÄN</t>
        </is>
      </c>
      <c r="E673" t="inlineStr">
        <is>
          <t>NORRTÄLJE</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52593-2024</t>
        </is>
      </c>
      <c r="B674" s="1" t="n">
        <v>45609.70778935185</v>
      </c>
      <c r="C674" s="1" t="n">
        <v>45917</v>
      </c>
      <c r="D674" t="inlineStr">
        <is>
          <t>STOCKHOLMS LÄN</t>
        </is>
      </c>
      <c r="E674" t="inlineStr">
        <is>
          <t>NORRTÄLJE</t>
        </is>
      </c>
      <c r="F674" t="inlineStr">
        <is>
          <t>Holmen skog AB</t>
        </is>
      </c>
      <c r="G674" t="n">
        <v>2.4</v>
      </c>
      <c r="H674" t="n">
        <v>0</v>
      </c>
      <c r="I674" t="n">
        <v>0</v>
      </c>
      <c r="J674" t="n">
        <v>0</v>
      </c>
      <c r="K674" t="n">
        <v>0</v>
      </c>
      <c r="L674" t="n">
        <v>0</v>
      </c>
      <c r="M674" t="n">
        <v>0</v>
      </c>
      <c r="N674" t="n">
        <v>0</v>
      </c>
      <c r="O674" t="n">
        <v>0</v>
      </c>
      <c r="P674" t="n">
        <v>0</v>
      </c>
      <c r="Q674" t="n">
        <v>0</v>
      </c>
      <c r="R674" s="2" t="inlineStr"/>
    </row>
    <row r="675" ht="15" customHeight="1">
      <c r="A675" t="inlineStr">
        <is>
          <t>A 52617-2024</t>
        </is>
      </c>
      <c r="B675" s="1" t="n">
        <v>45609.85146990741</v>
      </c>
      <c r="C675" s="1" t="n">
        <v>45917</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50113-2024</t>
        </is>
      </c>
      <c r="B676" s="1" t="n">
        <v>45600.411875</v>
      </c>
      <c r="C676" s="1" t="n">
        <v>45917</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27824-2022</t>
        </is>
      </c>
      <c r="B677" s="1" t="n">
        <v>44743.59331018518</v>
      </c>
      <c r="C677" s="1" t="n">
        <v>45917</v>
      </c>
      <c r="D677" t="inlineStr">
        <is>
          <t>STOCKHOLMS LÄN</t>
        </is>
      </c>
      <c r="E677" t="inlineStr">
        <is>
          <t>NORRTÄLJE</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20336-2024</t>
        </is>
      </c>
      <c r="B678" s="1" t="n">
        <v>45435.43123842592</v>
      </c>
      <c r="C678" s="1" t="n">
        <v>45917</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38720-2025</t>
        </is>
      </c>
      <c r="B679" s="1" t="n">
        <v>45886</v>
      </c>
      <c r="C679" s="1" t="n">
        <v>45917</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19058-2024</t>
        </is>
      </c>
      <c r="B680" s="1" t="n">
        <v>45427.89121527778</v>
      </c>
      <c r="C680" s="1" t="n">
        <v>45917</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64899-2023</t>
        </is>
      </c>
      <c r="B681" s="1" t="n">
        <v>45282</v>
      </c>
      <c r="C681" s="1" t="n">
        <v>45917</v>
      </c>
      <c r="D681" t="inlineStr">
        <is>
          <t>STOCKHOLMS LÄN</t>
        </is>
      </c>
      <c r="E681" t="inlineStr">
        <is>
          <t>NORRTÄLJE</t>
        </is>
      </c>
      <c r="G681" t="n">
        <v>6.3</v>
      </c>
      <c r="H681" t="n">
        <v>0</v>
      </c>
      <c r="I681" t="n">
        <v>0</v>
      </c>
      <c r="J681" t="n">
        <v>0</v>
      </c>
      <c r="K681" t="n">
        <v>0</v>
      </c>
      <c r="L681" t="n">
        <v>0</v>
      </c>
      <c r="M681" t="n">
        <v>0</v>
      </c>
      <c r="N681" t="n">
        <v>0</v>
      </c>
      <c r="O681" t="n">
        <v>0</v>
      </c>
      <c r="P681" t="n">
        <v>0</v>
      </c>
      <c r="Q681" t="n">
        <v>0</v>
      </c>
      <c r="R681" s="2" t="inlineStr"/>
    </row>
    <row r="682" ht="15" customHeight="1">
      <c r="A682" t="inlineStr">
        <is>
          <t>A 1847-2023</t>
        </is>
      </c>
      <c r="B682" s="1" t="n">
        <v>44938</v>
      </c>
      <c r="C682" s="1" t="n">
        <v>45917</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11122-2021</t>
        </is>
      </c>
      <c r="B683" s="1" t="n">
        <v>44260</v>
      </c>
      <c r="C683" s="1" t="n">
        <v>45917</v>
      </c>
      <c r="D683" t="inlineStr">
        <is>
          <t>STOCKHOLMS LÄN</t>
        </is>
      </c>
      <c r="E683" t="inlineStr">
        <is>
          <t>NORRTÄLJE</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47521-2024</t>
        </is>
      </c>
      <c r="B684" s="1" t="n">
        <v>45587.62565972222</v>
      </c>
      <c r="C684" s="1" t="n">
        <v>45917</v>
      </c>
      <c r="D684" t="inlineStr">
        <is>
          <t>STOCKHOLMS LÄN</t>
        </is>
      </c>
      <c r="E684" t="inlineStr">
        <is>
          <t>NORRTÄLJE</t>
        </is>
      </c>
      <c r="G684" t="n">
        <v>4.7</v>
      </c>
      <c r="H684" t="n">
        <v>0</v>
      </c>
      <c r="I684" t="n">
        <v>0</v>
      </c>
      <c r="J684" t="n">
        <v>0</v>
      </c>
      <c r="K684" t="n">
        <v>0</v>
      </c>
      <c r="L684" t="n">
        <v>0</v>
      </c>
      <c r="M684" t="n">
        <v>0</v>
      </c>
      <c r="N684" t="n">
        <v>0</v>
      </c>
      <c r="O684" t="n">
        <v>0</v>
      </c>
      <c r="P684" t="n">
        <v>0</v>
      </c>
      <c r="Q684" t="n">
        <v>0</v>
      </c>
      <c r="R684" s="2" t="inlineStr"/>
    </row>
    <row r="685" ht="15" customHeight="1">
      <c r="A685" t="inlineStr">
        <is>
          <t>A 50534-2024</t>
        </is>
      </c>
      <c r="B685" s="1" t="n">
        <v>45601.56726851852</v>
      </c>
      <c r="C685" s="1" t="n">
        <v>45917</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29362-2022</t>
        </is>
      </c>
      <c r="B686" s="1" t="n">
        <v>44753</v>
      </c>
      <c r="C686" s="1" t="n">
        <v>45917</v>
      </c>
      <c r="D686" t="inlineStr">
        <is>
          <t>STOCKHOLMS LÄN</t>
        </is>
      </c>
      <c r="E686" t="inlineStr">
        <is>
          <t>NORRTÄLJE</t>
        </is>
      </c>
      <c r="G686" t="n">
        <v>3.8</v>
      </c>
      <c r="H686" t="n">
        <v>0</v>
      </c>
      <c r="I686" t="n">
        <v>0</v>
      </c>
      <c r="J686" t="n">
        <v>0</v>
      </c>
      <c r="K686" t="n">
        <v>0</v>
      </c>
      <c r="L686" t="n">
        <v>0</v>
      </c>
      <c r="M686" t="n">
        <v>0</v>
      </c>
      <c r="N686" t="n">
        <v>0</v>
      </c>
      <c r="O686" t="n">
        <v>0</v>
      </c>
      <c r="P686" t="n">
        <v>0</v>
      </c>
      <c r="Q686" t="n">
        <v>0</v>
      </c>
      <c r="R686" s="2" t="inlineStr"/>
    </row>
    <row r="687" ht="15" customHeight="1">
      <c r="A687" t="inlineStr">
        <is>
          <t>A 42094-2023</t>
        </is>
      </c>
      <c r="B687" s="1" t="n">
        <v>45177.61498842593</v>
      </c>
      <c r="C687" s="1" t="n">
        <v>45917</v>
      </c>
      <c r="D687" t="inlineStr">
        <is>
          <t>STOCKHOLMS LÄN</t>
        </is>
      </c>
      <c r="E687" t="inlineStr">
        <is>
          <t>NORRTÄLJE</t>
        </is>
      </c>
      <c r="G687" t="n">
        <v>0.3</v>
      </c>
      <c r="H687" t="n">
        <v>0</v>
      </c>
      <c r="I687" t="n">
        <v>0</v>
      </c>
      <c r="J687" t="n">
        <v>0</v>
      </c>
      <c r="K687" t="n">
        <v>0</v>
      </c>
      <c r="L687" t="n">
        <v>0</v>
      </c>
      <c r="M687" t="n">
        <v>0</v>
      </c>
      <c r="N687" t="n">
        <v>0</v>
      </c>
      <c r="O687" t="n">
        <v>0</v>
      </c>
      <c r="P687" t="n">
        <v>0</v>
      </c>
      <c r="Q687" t="n">
        <v>0</v>
      </c>
      <c r="R687" s="2" t="inlineStr"/>
    </row>
    <row r="688" ht="15" customHeight="1">
      <c r="A688" t="inlineStr">
        <is>
          <t>A 58530-2024</t>
        </is>
      </c>
      <c r="B688" s="1" t="n">
        <v>45635.44788194444</v>
      </c>
      <c r="C688" s="1" t="n">
        <v>45917</v>
      </c>
      <c r="D688" t="inlineStr">
        <is>
          <t>STOCKHOLMS LÄN</t>
        </is>
      </c>
      <c r="E688" t="inlineStr">
        <is>
          <t>NORRTÄLJE</t>
        </is>
      </c>
      <c r="G688" t="n">
        <v>4.5</v>
      </c>
      <c r="H688" t="n">
        <v>0</v>
      </c>
      <c r="I688" t="n">
        <v>0</v>
      </c>
      <c r="J688" t="n">
        <v>0</v>
      </c>
      <c r="K688" t="n">
        <v>0</v>
      </c>
      <c r="L688" t="n">
        <v>0</v>
      </c>
      <c r="M688" t="n">
        <v>0</v>
      </c>
      <c r="N688" t="n">
        <v>0</v>
      </c>
      <c r="O688" t="n">
        <v>0</v>
      </c>
      <c r="P688" t="n">
        <v>0</v>
      </c>
      <c r="Q688" t="n">
        <v>0</v>
      </c>
      <c r="R688" s="2" t="inlineStr"/>
    </row>
    <row r="689" ht="15" customHeight="1">
      <c r="A689" t="inlineStr">
        <is>
          <t>A 20291-2022</t>
        </is>
      </c>
      <c r="B689" s="1" t="n">
        <v>44698</v>
      </c>
      <c r="C689" s="1" t="n">
        <v>45917</v>
      </c>
      <c r="D689" t="inlineStr">
        <is>
          <t>STOCKHOLMS LÄN</t>
        </is>
      </c>
      <c r="E689" t="inlineStr">
        <is>
          <t>NORRTÄLJE</t>
        </is>
      </c>
      <c r="F689" t="inlineStr">
        <is>
          <t>Naturvårdsverket</t>
        </is>
      </c>
      <c r="G689" t="n">
        <v>2</v>
      </c>
      <c r="H689" t="n">
        <v>0</v>
      </c>
      <c r="I689" t="n">
        <v>0</v>
      </c>
      <c r="J689" t="n">
        <v>0</v>
      </c>
      <c r="K689" t="n">
        <v>0</v>
      </c>
      <c r="L689" t="n">
        <v>0</v>
      </c>
      <c r="M689" t="n">
        <v>0</v>
      </c>
      <c r="N689" t="n">
        <v>0</v>
      </c>
      <c r="O689" t="n">
        <v>0</v>
      </c>
      <c r="P689" t="n">
        <v>0</v>
      </c>
      <c r="Q689" t="n">
        <v>0</v>
      </c>
      <c r="R689" s="2" t="inlineStr"/>
    </row>
    <row r="690" ht="15" customHeight="1">
      <c r="A690" t="inlineStr">
        <is>
          <t>A 30620-2022</t>
        </is>
      </c>
      <c r="B690" s="1" t="n">
        <v>44763.40914351852</v>
      </c>
      <c r="C690" s="1" t="n">
        <v>45917</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57602-2024</t>
        </is>
      </c>
      <c r="B691" s="1" t="n">
        <v>45630.52866898148</v>
      </c>
      <c r="C691" s="1" t="n">
        <v>45917</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11854-2025</t>
        </is>
      </c>
      <c r="B692" s="1" t="n">
        <v>45728.38924768518</v>
      </c>
      <c r="C692" s="1" t="n">
        <v>45917</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1283-2025</t>
        </is>
      </c>
      <c r="B693" s="1" t="n">
        <v>45667.49878472222</v>
      </c>
      <c r="C693" s="1" t="n">
        <v>45917</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48392-2020</t>
        </is>
      </c>
      <c r="B694" s="1" t="n">
        <v>44097</v>
      </c>
      <c r="C694" s="1" t="n">
        <v>45917</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60217-2021</t>
        </is>
      </c>
      <c r="B695" s="1" t="n">
        <v>44495.5893287037</v>
      </c>
      <c r="C695" s="1" t="n">
        <v>45917</v>
      </c>
      <c r="D695" t="inlineStr">
        <is>
          <t>STOCKHOLMS LÄN</t>
        </is>
      </c>
      <c r="E695" t="inlineStr">
        <is>
          <t>NORRTÄLJE</t>
        </is>
      </c>
      <c r="G695" t="n">
        <v>4.3</v>
      </c>
      <c r="H695" t="n">
        <v>0</v>
      </c>
      <c r="I695" t="n">
        <v>0</v>
      </c>
      <c r="J695" t="n">
        <v>0</v>
      </c>
      <c r="K695" t="n">
        <v>0</v>
      </c>
      <c r="L695" t="n">
        <v>0</v>
      </c>
      <c r="M695" t="n">
        <v>0</v>
      </c>
      <c r="N695" t="n">
        <v>0</v>
      </c>
      <c r="O695" t="n">
        <v>0</v>
      </c>
      <c r="P695" t="n">
        <v>0</v>
      </c>
      <c r="Q695" t="n">
        <v>0</v>
      </c>
      <c r="R695" s="2" t="inlineStr"/>
    </row>
    <row r="696" ht="15" customHeight="1">
      <c r="A696" t="inlineStr">
        <is>
          <t>A 41964-2025</t>
        </is>
      </c>
      <c r="B696" s="1" t="n">
        <v>45903.47270833333</v>
      </c>
      <c r="C696" s="1" t="n">
        <v>45917</v>
      </c>
      <c r="D696" t="inlineStr">
        <is>
          <t>STOCKHOLMS LÄN</t>
        </is>
      </c>
      <c r="E696" t="inlineStr">
        <is>
          <t>NORRTÄLJE</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12302-2025</t>
        </is>
      </c>
      <c r="B697" s="1" t="n">
        <v>45729.72851851852</v>
      </c>
      <c r="C697" s="1" t="n">
        <v>45917</v>
      </c>
      <c r="D697" t="inlineStr">
        <is>
          <t>STOCKHOLMS LÄN</t>
        </is>
      </c>
      <c r="E697" t="inlineStr">
        <is>
          <t>NORRTÄLJE</t>
        </is>
      </c>
      <c r="F697" t="inlineStr">
        <is>
          <t>Holmen skog AB</t>
        </is>
      </c>
      <c r="G697" t="n">
        <v>0.8</v>
      </c>
      <c r="H697" t="n">
        <v>0</v>
      </c>
      <c r="I697" t="n">
        <v>0</v>
      </c>
      <c r="J697" t="n">
        <v>0</v>
      </c>
      <c r="K697" t="n">
        <v>0</v>
      </c>
      <c r="L697" t="n">
        <v>0</v>
      </c>
      <c r="M697" t="n">
        <v>0</v>
      </c>
      <c r="N697" t="n">
        <v>0</v>
      </c>
      <c r="O697" t="n">
        <v>0</v>
      </c>
      <c r="P697" t="n">
        <v>0</v>
      </c>
      <c r="Q697" t="n">
        <v>0</v>
      </c>
      <c r="R697" s="2" t="inlineStr"/>
    </row>
    <row r="698" ht="15" customHeight="1">
      <c r="A698" t="inlineStr">
        <is>
          <t>A 42038-2025</t>
        </is>
      </c>
      <c r="B698" s="1" t="n">
        <v>45903.61431712963</v>
      </c>
      <c r="C698" s="1" t="n">
        <v>45917</v>
      </c>
      <c r="D698" t="inlineStr">
        <is>
          <t>STOCKHOLMS LÄN</t>
        </is>
      </c>
      <c r="E698" t="inlineStr">
        <is>
          <t>NORRTÄLJE</t>
        </is>
      </c>
      <c r="F698" t="inlineStr">
        <is>
          <t>Sveaskog</t>
        </is>
      </c>
      <c r="G698" t="n">
        <v>6.4</v>
      </c>
      <c r="H698" t="n">
        <v>0</v>
      </c>
      <c r="I698" t="n">
        <v>0</v>
      </c>
      <c r="J698" t="n">
        <v>0</v>
      </c>
      <c r="K698" t="n">
        <v>0</v>
      </c>
      <c r="L698" t="n">
        <v>0</v>
      </c>
      <c r="M698" t="n">
        <v>0</v>
      </c>
      <c r="N698" t="n">
        <v>0</v>
      </c>
      <c r="O698" t="n">
        <v>0</v>
      </c>
      <c r="P698" t="n">
        <v>0</v>
      </c>
      <c r="Q698" t="n">
        <v>0</v>
      </c>
      <c r="R698" s="2" t="inlineStr"/>
    </row>
    <row r="699" ht="15" customHeight="1">
      <c r="A699" t="inlineStr">
        <is>
          <t>A 31926-2022</t>
        </is>
      </c>
      <c r="B699" s="1" t="n">
        <v>44777</v>
      </c>
      <c r="C699" s="1" t="n">
        <v>45917</v>
      </c>
      <c r="D699" t="inlineStr">
        <is>
          <t>STOCKHOLMS LÄN</t>
        </is>
      </c>
      <c r="E699" t="inlineStr">
        <is>
          <t>NORRTÄLJE</t>
        </is>
      </c>
      <c r="G699" t="n">
        <v>5.2</v>
      </c>
      <c r="H699" t="n">
        <v>0</v>
      </c>
      <c r="I699" t="n">
        <v>0</v>
      </c>
      <c r="J699" t="n">
        <v>0</v>
      </c>
      <c r="K699" t="n">
        <v>0</v>
      </c>
      <c r="L699" t="n">
        <v>0</v>
      </c>
      <c r="M699" t="n">
        <v>0</v>
      </c>
      <c r="N699" t="n">
        <v>0</v>
      </c>
      <c r="O699" t="n">
        <v>0</v>
      </c>
      <c r="P699" t="n">
        <v>0</v>
      </c>
      <c r="Q699" t="n">
        <v>0</v>
      </c>
      <c r="R699" s="2" t="inlineStr"/>
    </row>
    <row r="700" ht="15" customHeight="1">
      <c r="A700" t="inlineStr">
        <is>
          <t>A 28900-2022</t>
        </is>
      </c>
      <c r="B700" s="1" t="n">
        <v>44749.55258101852</v>
      </c>
      <c r="C700" s="1" t="n">
        <v>45917</v>
      </c>
      <c r="D700" t="inlineStr">
        <is>
          <t>STOCKHOLMS LÄN</t>
        </is>
      </c>
      <c r="E700" t="inlineStr">
        <is>
          <t>NORRTÄLJE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32514-2022</t>
        </is>
      </c>
      <c r="B701" s="1" t="n">
        <v>44782</v>
      </c>
      <c r="C701" s="1" t="n">
        <v>45917</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41966-2025</t>
        </is>
      </c>
      <c r="B702" s="1" t="n">
        <v>45903.47456018518</v>
      </c>
      <c r="C702" s="1" t="n">
        <v>45917</v>
      </c>
      <c r="D702" t="inlineStr">
        <is>
          <t>STOCKHOLMS LÄN</t>
        </is>
      </c>
      <c r="E702" t="inlineStr">
        <is>
          <t>NORRTÄLJE</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1425-2025</t>
        </is>
      </c>
      <c r="B703" s="1" t="n">
        <v>45668.67446759259</v>
      </c>
      <c r="C703" s="1" t="n">
        <v>45917</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1453-2025</t>
        </is>
      </c>
      <c r="B704" s="1" t="n">
        <v>45670.3079050926</v>
      </c>
      <c r="C704" s="1" t="n">
        <v>45917</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3386-2021</t>
        </is>
      </c>
      <c r="B705" s="1" t="n">
        <v>44218</v>
      </c>
      <c r="C705" s="1" t="n">
        <v>45917</v>
      </c>
      <c r="D705" t="inlineStr">
        <is>
          <t>STOCKHOLMS LÄN</t>
        </is>
      </c>
      <c r="E705" t="inlineStr">
        <is>
          <t>NORRTÄLJE</t>
        </is>
      </c>
      <c r="G705" t="n">
        <v>8</v>
      </c>
      <c r="H705" t="n">
        <v>0</v>
      </c>
      <c r="I705" t="n">
        <v>0</v>
      </c>
      <c r="J705" t="n">
        <v>0</v>
      </c>
      <c r="K705" t="n">
        <v>0</v>
      </c>
      <c r="L705" t="n">
        <v>0</v>
      </c>
      <c r="M705" t="n">
        <v>0</v>
      </c>
      <c r="N705" t="n">
        <v>0</v>
      </c>
      <c r="O705" t="n">
        <v>0</v>
      </c>
      <c r="P705" t="n">
        <v>0</v>
      </c>
      <c r="Q705" t="n">
        <v>0</v>
      </c>
      <c r="R705" s="2" t="inlineStr"/>
    </row>
    <row r="706" ht="15" customHeight="1">
      <c r="A706" t="inlineStr">
        <is>
          <t>A 13860-2023</t>
        </is>
      </c>
      <c r="B706" s="1" t="n">
        <v>45007</v>
      </c>
      <c r="C706" s="1" t="n">
        <v>45917</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6070-2022</t>
        </is>
      </c>
      <c r="B707" s="1" t="n">
        <v>44599.58428240741</v>
      </c>
      <c r="C707" s="1" t="n">
        <v>45917</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9130-2025</t>
        </is>
      </c>
      <c r="B708" s="1" t="n">
        <v>45713.92623842593</v>
      </c>
      <c r="C708" s="1" t="n">
        <v>45917</v>
      </c>
      <c r="D708" t="inlineStr">
        <is>
          <t>STOCKHOLMS LÄN</t>
        </is>
      </c>
      <c r="E708" t="inlineStr">
        <is>
          <t>NORRTÄLJE</t>
        </is>
      </c>
      <c r="G708" t="n">
        <v>16</v>
      </c>
      <c r="H708" t="n">
        <v>0</v>
      </c>
      <c r="I708" t="n">
        <v>0</v>
      </c>
      <c r="J708" t="n">
        <v>0</v>
      </c>
      <c r="K708" t="n">
        <v>0</v>
      </c>
      <c r="L708" t="n">
        <v>0</v>
      </c>
      <c r="M708" t="n">
        <v>0</v>
      </c>
      <c r="N708" t="n">
        <v>0</v>
      </c>
      <c r="O708" t="n">
        <v>0</v>
      </c>
      <c r="P708" t="n">
        <v>0</v>
      </c>
      <c r="Q708" t="n">
        <v>0</v>
      </c>
      <c r="R708" s="2" t="inlineStr"/>
    </row>
    <row r="709" ht="15" customHeight="1">
      <c r="A709" t="inlineStr">
        <is>
          <t>A 27828-2022</t>
        </is>
      </c>
      <c r="B709" s="1" t="n">
        <v>44743.59765046297</v>
      </c>
      <c r="C709" s="1" t="n">
        <v>45917</v>
      </c>
      <c r="D709" t="inlineStr">
        <is>
          <t>STOCKHOLMS LÄN</t>
        </is>
      </c>
      <c r="E709" t="inlineStr">
        <is>
          <t>NORRTÄLJE</t>
        </is>
      </c>
      <c r="F709" t="inlineStr">
        <is>
          <t>Kommuner</t>
        </is>
      </c>
      <c r="G709" t="n">
        <v>1.6</v>
      </c>
      <c r="H709" t="n">
        <v>0</v>
      </c>
      <c r="I709" t="n">
        <v>0</v>
      </c>
      <c r="J709" t="n">
        <v>0</v>
      </c>
      <c r="K709" t="n">
        <v>0</v>
      </c>
      <c r="L709" t="n">
        <v>0</v>
      </c>
      <c r="M709" t="n">
        <v>0</v>
      </c>
      <c r="N709" t="n">
        <v>0</v>
      </c>
      <c r="O709" t="n">
        <v>0</v>
      </c>
      <c r="P709" t="n">
        <v>0</v>
      </c>
      <c r="Q709" t="n">
        <v>0</v>
      </c>
      <c r="R709" s="2" t="inlineStr"/>
    </row>
    <row r="710" ht="15" customHeight="1">
      <c r="A710" t="inlineStr">
        <is>
          <t>A 23125-2022</t>
        </is>
      </c>
      <c r="B710" s="1" t="n">
        <v>44719</v>
      </c>
      <c r="C710" s="1" t="n">
        <v>45917</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33219-2025</t>
        </is>
      </c>
      <c r="B711" s="1" t="n">
        <v>45840</v>
      </c>
      <c r="C711" s="1" t="n">
        <v>45917</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59873-2024</t>
        </is>
      </c>
      <c r="B712" s="1" t="n">
        <v>45640.57305555556</v>
      </c>
      <c r="C712" s="1" t="n">
        <v>45917</v>
      </c>
      <c r="D712" t="inlineStr">
        <is>
          <t>STOCKHOLMS LÄN</t>
        </is>
      </c>
      <c r="E712" t="inlineStr">
        <is>
          <t>NORRTÄLJE</t>
        </is>
      </c>
      <c r="G712" t="n">
        <v>3.3</v>
      </c>
      <c r="H712" t="n">
        <v>0</v>
      </c>
      <c r="I712" t="n">
        <v>0</v>
      </c>
      <c r="J712" t="n">
        <v>0</v>
      </c>
      <c r="K712" t="n">
        <v>0</v>
      </c>
      <c r="L712" t="n">
        <v>0</v>
      </c>
      <c r="M712" t="n">
        <v>0</v>
      </c>
      <c r="N712" t="n">
        <v>0</v>
      </c>
      <c r="O712" t="n">
        <v>0</v>
      </c>
      <c r="P712" t="n">
        <v>0</v>
      </c>
      <c r="Q712" t="n">
        <v>0</v>
      </c>
      <c r="R712" s="2" t="inlineStr"/>
    </row>
    <row r="713" ht="15" customHeight="1">
      <c r="A713" t="inlineStr">
        <is>
          <t>A 9329-2023</t>
        </is>
      </c>
      <c r="B713" s="1" t="n">
        <v>44980</v>
      </c>
      <c r="C713" s="1" t="n">
        <v>45917</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6855-2025</t>
        </is>
      </c>
      <c r="B714" s="1" t="n">
        <v>45700</v>
      </c>
      <c r="C714" s="1" t="n">
        <v>45917</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39152-2025</t>
        </is>
      </c>
      <c r="B715" s="1" t="n">
        <v>45888</v>
      </c>
      <c r="C715" s="1" t="n">
        <v>45917</v>
      </c>
      <c r="D715" t="inlineStr">
        <is>
          <t>STOCKHOLMS LÄN</t>
        </is>
      </c>
      <c r="E715" t="inlineStr">
        <is>
          <t>NORRTÄLJE</t>
        </is>
      </c>
      <c r="G715" t="n">
        <v>4.6</v>
      </c>
      <c r="H715" t="n">
        <v>0</v>
      </c>
      <c r="I715" t="n">
        <v>0</v>
      </c>
      <c r="J715" t="n">
        <v>0</v>
      </c>
      <c r="K715" t="n">
        <v>0</v>
      </c>
      <c r="L715" t="n">
        <v>0</v>
      </c>
      <c r="M715" t="n">
        <v>0</v>
      </c>
      <c r="N715" t="n">
        <v>0</v>
      </c>
      <c r="O715" t="n">
        <v>0</v>
      </c>
      <c r="P715" t="n">
        <v>0</v>
      </c>
      <c r="Q715" t="n">
        <v>0</v>
      </c>
      <c r="R715" s="2" t="inlineStr"/>
    </row>
    <row r="716" ht="15" customHeight="1">
      <c r="A716" t="inlineStr">
        <is>
          <t>A 22412-2021</t>
        </is>
      </c>
      <c r="B716" s="1" t="n">
        <v>44326.61967592593</v>
      </c>
      <c r="C716" s="1" t="n">
        <v>45917</v>
      </c>
      <c r="D716" t="inlineStr">
        <is>
          <t>STOCKHOLMS LÄN</t>
        </is>
      </c>
      <c r="E716" t="inlineStr">
        <is>
          <t>NORRTÄLJE</t>
        </is>
      </c>
      <c r="G716" t="n">
        <v>1.7</v>
      </c>
      <c r="H716" t="n">
        <v>0</v>
      </c>
      <c r="I716" t="n">
        <v>0</v>
      </c>
      <c r="J716" t="n">
        <v>0</v>
      </c>
      <c r="K716" t="n">
        <v>0</v>
      </c>
      <c r="L716" t="n">
        <v>0</v>
      </c>
      <c r="M716" t="n">
        <v>0</v>
      </c>
      <c r="N716" t="n">
        <v>0</v>
      </c>
      <c r="O716" t="n">
        <v>0</v>
      </c>
      <c r="P716" t="n">
        <v>0</v>
      </c>
      <c r="Q716" t="n">
        <v>0</v>
      </c>
      <c r="R716" s="2" t="inlineStr"/>
    </row>
    <row r="717" ht="15" customHeight="1">
      <c r="A717" t="inlineStr">
        <is>
          <t>A 20698-2025</t>
        </is>
      </c>
      <c r="B717" s="1" t="n">
        <v>45776.47122685185</v>
      </c>
      <c r="C717" s="1" t="n">
        <v>45917</v>
      </c>
      <c r="D717" t="inlineStr">
        <is>
          <t>STOCKHOLMS LÄN</t>
        </is>
      </c>
      <c r="E717" t="inlineStr">
        <is>
          <t>NORRTÄLJE</t>
        </is>
      </c>
      <c r="G717" t="n">
        <v>1.7</v>
      </c>
      <c r="H717" t="n">
        <v>0</v>
      </c>
      <c r="I717" t="n">
        <v>0</v>
      </c>
      <c r="J717" t="n">
        <v>0</v>
      </c>
      <c r="K717" t="n">
        <v>0</v>
      </c>
      <c r="L717" t="n">
        <v>0</v>
      </c>
      <c r="M717" t="n">
        <v>0</v>
      </c>
      <c r="N717" t="n">
        <v>0</v>
      </c>
      <c r="O717" t="n">
        <v>0</v>
      </c>
      <c r="P717" t="n">
        <v>0</v>
      </c>
      <c r="Q717" t="n">
        <v>0</v>
      </c>
      <c r="R717" s="2" t="inlineStr"/>
    </row>
    <row r="718" ht="15" customHeight="1">
      <c r="A718" t="inlineStr">
        <is>
          <t>A 48161-2022</t>
        </is>
      </c>
      <c r="B718" s="1" t="n">
        <v>44858</v>
      </c>
      <c r="C718" s="1" t="n">
        <v>45917</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14873-2025</t>
        </is>
      </c>
      <c r="B719" s="1" t="n">
        <v>45743.44953703704</v>
      </c>
      <c r="C719" s="1" t="n">
        <v>45917</v>
      </c>
      <c r="D719" t="inlineStr">
        <is>
          <t>STOCKHOLMS LÄN</t>
        </is>
      </c>
      <c r="E719" t="inlineStr">
        <is>
          <t>NORRTÄLJE</t>
        </is>
      </c>
      <c r="G719" t="n">
        <v>10.2</v>
      </c>
      <c r="H719" t="n">
        <v>0</v>
      </c>
      <c r="I719" t="n">
        <v>0</v>
      </c>
      <c r="J719" t="n">
        <v>0</v>
      </c>
      <c r="K719" t="n">
        <v>0</v>
      </c>
      <c r="L719" t="n">
        <v>0</v>
      </c>
      <c r="M719" t="n">
        <v>0</v>
      </c>
      <c r="N719" t="n">
        <v>0</v>
      </c>
      <c r="O719" t="n">
        <v>0</v>
      </c>
      <c r="P719" t="n">
        <v>0</v>
      </c>
      <c r="Q719" t="n">
        <v>0</v>
      </c>
      <c r="R719" s="2" t="inlineStr"/>
    </row>
    <row r="720" ht="15" customHeight="1">
      <c r="A720" t="inlineStr">
        <is>
          <t>A 43150-2023</t>
        </is>
      </c>
      <c r="B720" s="1" t="n">
        <v>45183</v>
      </c>
      <c r="C720" s="1" t="n">
        <v>45917</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8135-2025</t>
        </is>
      </c>
      <c r="B721" s="1" t="n">
        <v>45707.84997685185</v>
      </c>
      <c r="C721" s="1" t="n">
        <v>45917</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31936-2022</t>
        </is>
      </c>
      <c r="B722" s="1" t="n">
        <v>44777</v>
      </c>
      <c r="C722" s="1" t="n">
        <v>45917</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59534-2024</t>
        </is>
      </c>
      <c r="B723" s="1" t="n">
        <v>45638.5987037037</v>
      </c>
      <c r="C723" s="1" t="n">
        <v>45917</v>
      </c>
      <c r="D723" t="inlineStr">
        <is>
          <t>STOCKHOLMS LÄN</t>
        </is>
      </c>
      <c r="E723" t="inlineStr">
        <is>
          <t>NORRTÄLJE</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24887-2023</t>
        </is>
      </c>
      <c r="B724" s="1" t="n">
        <v>45085</v>
      </c>
      <c r="C724" s="1" t="n">
        <v>45917</v>
      </c>
      <c r="D724" t="inlineStr">
        <is>
          <t>STOCKHOLMS LÄN</t>
        </is>
      </c>
      <c r="E724" t="inlineStr">
        <is>
          <t>NORRTÄLJE</t>
        </is>
      </c>
      <c r="G724" t="n">
        <v>13.9</v>
      </c>
      <c r="H724" t="n">
        <v>0</v>
      </c>
      <c r="I724" t="n">
        <v>0</v>
      </c>
      <c r="J724" t="n">
        <v>0</v>
      </c>
      <c r="K724" t="n">
        <v>0</v>
      </c>
      <c r="L724" t="n">
        <v>0</v>
      </c>
      <c r="M724" t="n">
        <v>0</v>
      </c>
      <c r="N724" t="n">
        <v>0</v>
      </c>
      <c r="O724" t="n">
        <v>0</v>
      </c>
      <c r="P724" t="n">
        <v>0</v>
      </c>
      <c r="Q724" t="n">
        <v>0</v>
      </c>
      <c r="R724" s="2" t="inlineStr"/>
    </row>
    <row r="725" ht="15" customHeight="1">
      <c r="A725" t="inlineStr">
        <is>
          <t>A 23307-2024</t>
        </is>
      </c>
      <c r="B725" s="1" t="n">
        <v>45453</v>
      </c>
      <c r="C725" s="1" t="n">
        <v>45917</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56428-2023</t>
        </is>
      </c>
      <c r="B726" s="1" t="n">
        <v>45243.45289351852</v>
      </c>
      <c r="C726" s="1" t="n">
        <v>45917</v>
      </c>
      <c r="D726" t="inlineStr">
        <is>
          <t>STOCKHOLMS LÄN</t>
        </is>
      </c>
      <c r="E726" t="inlineStr">
        <is>
          <t>NORRTÄLJE</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19450-2025</t>
        </is>
      </c>
      <c r="B727" s="1" t="n">
        <v>45770</v>
      </c>
      <c r="C727" s="1" t="n">
        <v>45917</v>
      </c>
      <c r="D727" t="inlineStr">
        <is>
          <t>STOCKHOLMS LÄN</t>
        </is>
      </c>
      <c r="E727" t="inlineStr">
        <is>
          <t>NORRTÄLJE</t>
        </is>
      </c>
      <c r="G727" t="n">
        <v>5.3</v>
      </c>
      <c r="H727" t="n">
        <v>0</v>
      </c>
      <c r="I727" t="n">
        <v>0</v>
      </c>
      <c r="J727" t="n">
        <v>0</v>
      </c>
      <c r="K727" t="n">
        <v>0</v>
      </c>
      <c r="L727" t="n">
        <v>0</v>
      </c>
      <c r="M727" t="n">
        <v>0</v>
      </c>
      <c r="N727" t="n">
        <v>0</v>
      </c>
      <c r="O727" t="n">
        <v>0</v>
      </c>
      <c r="P727" t="n">
        <v>0</v>
      </c>
      <c r="Q727" t="n">
        <v>0</v>
      </c>
      <c r="R727" s="2" t="inlineStr"/>
    </row>
    <row r="728" ht="15" customHeight="1">
      <c r="A728" t="inlineStr">
        <is>
          <t>A 36396-2025</t>
        </is>
      </c>
      <c r="B728" s="1" t="n">
        <v>45868.62267361111</v>
      </c>
      <c r="C728" s="1" t="n">
        <v>45917</v>
      </c>
      <c r="D728" t="inlineStr">
        <is>
          <t>STOCKHOLMS LÄN</t>
        </is>
      </c>
      <c r="E728" t="inlineStr">
        <is>
          <t>NORRTÄLJE</t>
        </is>
      </c>
      <c r="G728" t="n">
        <v>4.1</v>
      </c>
      <c r="H728" t="n">
        <v>0</v>
      </c>
      <c r="I728" t="n">
        <v>0</v>
      </c>
      <c r="J728" t="n">
        <v>0</v>
      </c>
      <c r="K728" t="n">
        <v>0</v>
      </c>
      <c r="L728" t="n">
        <v>0</v>
      </c>
      <c r="M728" t="n">
        <v>0</v>
      </c>
      <c r="N728" t="n">
        <v>0</v>
      </c>
      <c r="O728" t="n">
        <v>0</v>
      </c>
      <c r="P728" t="n">
        <v>0</v>
      </c>
      <c r="Q728" t="n">
        <v>0</v>
      </c>
      <c r="R728" s="2" t="inlineStr"/>
    </row>
    <row r="729" ht="15" customHeight="1">
      <c r="A729" t="inlineStr">
        <is>
          <t>A 2281-2024</t>
        </is>
      </c>
      <c r="B729" s="1" t="n">
        <v>45310.40628472222</v>
      </c>
      <c r="C729" s="1" t="n">
        <v>45917</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2287-2024</t>
        </is>
      </c>
      <c r="B730" s="1" t="n">
        <v>45310</v>
      </c>
      <c r="C730" s="1" t="n">
        <v>45917</v>
      </c>
      <c r="D730" t="inlineStr">
        <is>
          <t>STOCKHOLMS LÄN</t>
        </is>
      </c>
      <c r="E730" t="inlineStr">
        <is>
          <t>NORRTÄLJE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30338-2022</t>
        </is>
      </c>
      <c r="B731" s="1" t="n">
        <v>44760</v>
      </c>
      <c r="C731" s="1" t="n">
        <v>45917</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18541-2023</t>
        </is>
      </c>
      <c r="B732" s="1" t="n">
        <v>45042.74291666667</v>
      </c>
      <c r="C732" s="1" t="n">
        <v>45917</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20618-2022</t>
        </is>
      </c>
      <c r="B733" s="1" t="n">
        <v>44700.50659722222</v>
      </c>
      <c r="C733" s="1" t="n">
        <v>45917</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32857-2021</t>
        </is>
      </c>
      <c r="B734" s="1" t="n">
        <v>44375</v>
      </c>
      <c r="C734" s="1" t="n">
        <v>45917</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51325-2023</t>
        </is>
      </c>
      <c r="B735" s="1" t="n">
        <v>45219</v>
      </c>
      <c r="C735" s="1" t="n">
        <v>45917</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21729-2024</t>
        </is>
      </c>
      <c r="B736" s="1" t="n">
        <v>45442</v>
      </c>
      <c r="C736" s="1" t="n">
        <v>45917</v>
      </c>
      <c r="D736" t="inlineStr">
        <is>
          <t>STOCKHOLMS LÄN</t>
        </is>
      </c>
      <c r="E736" t="inlineStr">
        <is>
          <t>NORRTÄLJE</t>
        </is>
      </c>
      <c r="G736" t="n">
        <v>2.2</v>
      </c>
      <c r="H736" t="n">
        <v>0</v>
      </c>
      <c r="I736" t="n">
        <v>0</v>
      </c>
      <c r="J736" t="n">
        <v>0</v>
      </c>
      <c r="K736" t="n">
        <v>0</v>
      </c>
      <c r="L736" t="n">
        <v>0</v>
      </c>
      <c r="M736" t="n">
        <v>0</v>
      </c>
      <c r="N736" t="n">
        <v>0</v>
      </c>
      <c r="O736" t="n">
        <v>0</v>
      </c>
      <c r="P736" t="n">
        <v>0</v>
      </c>
      <c r="Q736" t="n">
        <v>0</v>
      </c>
      <c r="R736" s="2" t="inlineStr"/>
    </row>
    <row r="737" ht="15" customHeight="1">
      <c r="A737" t="inlineStr">
        <is>
          <t>A 59504-2023</t>
        </is>
      </c>
      <c r="B737" s="1" t="n">
        <v>45254</v>
      </c>
      <c r="C737" s="1" t="n">
        <v>45917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43269-2025</t>
        </is>
      </c>
      <c r="B738" s="1" t="n">
        <v>45910.5819212963</v>
      </c>
      <c r="C738" s="1" t="n">
        <v>45917</v>
      </c>
      <c r="D738" t="inlineStr">
        <is>
          <t>STOCKHOLMS LÄN</t>
        </is>
      </c>
      <c r="E738" t="inlineStr">
        <is>
          <t>NORRTÄLJE</t>
        </is>
      </c>
      <c r="G738" t="n">
        <v>3.7</v>
      </c>
      <c r="H738" t="n">
        <v>0</v>
      </c>
      <c r="I738" t="n">
        <v>0</v>
      </c>
      <c r="J738" t="n">
        <v>0</v>
      </c>
      <c r="K738" t="n">
        <v>0</v>
      </c>
      <c r="L738" t="n">
        <v>0</v>
      </c>
      <c r="M738" t="n">
        <v>0</v>
      </c>
      <c r="N738" t="n">
        <v>0</v>
      </c>
      <c r="O738" t="n">
        <v>0</v>
      </c>
      <c r="P738" t="n">
        <v>0</v>
      </c>
      <c r="Q738" t="n">
        <v>0</v>
      </c>
      <c r="R738" s="2" t="inlineStr"/>
    </row>
    <row r="739" ht="15" customHeight="1">
      <c r="A739" t="inlineStr">
        <is>
          <t>A 22232-2024</t>
        </is>
      </c>
      <c r="B739" s="1" t="n">
        <v>45446.4287962963</v>
      </c>
      <c r="C739" s="1" t="n">
        <v>45917</v>
      </c>
      <c r="D739" t="inlineStr">
        <is>
          <t>STOCKHOLMS LÄN</t>
        </is>
      </c>
      <c r="E739" t="inlineStr">
        <is>
          <t>NORRTÄLJE</t>
        </is>
      </c>
      <c r="G739" t="n">
        <v>12.8</v>
      </c>
      <c r="H739" t="n">
        <v>0</v>
      </c>
      <c r="I739" t="n">
        <v>0</v>
      </c>
      <c r="J739" t="n">
        <v>0</v>
      </c>
      <c r="K739" t="n">
        <v>0</v>
      </c>
      <c r="L739" t="n">
        <v>0</v>
      </c>
      <c r="M739" t="n">
        <v>0</v>
      </c>
      <c r="N739" t="n">
        <v>0</v>
      </c>
      <c r="O739" t="n">
        <v>0</v>
      </c>
      <c r="P739" t="n">
        <v>0</v>
      </c>
      <c r="Q739" t="n">
        <v>0</v>
      </c>
      <c r="R739" s="2" t="inlineStr"/>
    </row>
    <row r="740" ht="15" customHeight="1">
      <c r="A740" t="inlineStr">
        <is>
          <t>A 34444-2024</t>
        </is>
      </c>
      <c r="B740" s="1" t="n">
        <v>45525</v>
      </c>
      <c r="C740" s="1" t="n">
        <v>45917</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42856-2025</t>
        </is>
      </c>
      <c r="B741" s="1" t="n">
        <v>45908</v>
      </c>
      <c r="C741" s="1" t="n">
        <v>45917</v>
      </c>
      <c r="D741" t="inlineStr">
        <is>
          <t>STOCKHOLMS LÄN</t>
        </is>
      </c>
      <c r="E741" t="inlineStr">
        <is>
          <t>NORRTÄLJE</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21894-2023</t>
        </is>
      </c>
      <c r="B742" s="1" t="n">
        <v>45068.51783564815</v>
      </c>
      <c r="C742" s="1" t="n">
        <v>45917</v>
      </c>
      <c r="D742" t="inlineStr">
        <is>
          <t>STOCKHOLMS LÄN</t>
        </is>
      </c>
      <c r="E742" t="inlineStr">
        <is>
          <t>NORRTÄLJE</t>
        </is>
      </c>
      <c r="G742" t="n">
        <v>2.5</v>
      </c>
      <c r="H742" t="n">
        <v>0</v>
      </c>
      <c r="I742" t="n">
        <v>0</v>
      </c>
      <c r="J742" t="n">
        <v>0</v>
      </c>
      <c r="K742" t="n">
        <v>0</v>
      </c>
      <c r="L742" t="n">
        <v>0</v>
      </c>
      <c r="M742" t="n">
        <v>0</v>
      </c>
      <c r="N742" t="n">
        <v>0</v>
      </c>
      <c r="O742" t="n">
        <v>0</v>
      </c>
      <c r="P742" t="n">
        <v>0</v>
      </c>
      <c r="Q742" t="n">
        <v>0</v>
      </c>
      <c r="R742" s="2" t="inlineStr"/>
    </row>
    <row r="743" ht="15" customHeight="1">
      <c r="A743" t="inlineStr">
        <is>
          <t>A 43169-2025</t>
        </is>
      </c>
      <c r="B743" s="1" t="n">
        <v>45910</v>
      </c>
      <c r="C743" s="1" t="n">
        <v>45917</v>
      </c>
      <c r="D743" t="inlineStr">
        <is>
          <t>STOCKHOLMS LÄN</t>
        </is>
      </c>
      <c r="E743" t="inlineStr">
        <is>
          <t>NORRTÄLJE</t>
        </is>
      </c>
      <c r="G743" t="n">
        <v>6.9</v>
      </c>
      <c r="H743" t="n">
        <v>0</v>
      </c>
      <c r="I743" t="n">
        <v>0</v>
      </c>
      <c r="J743" t="n">
        <v>0</v>
      </c>
      <c r="K743" t="n">
        <v>0</v>
      </c>
      <c r="L743" t="n">
        <v>0</v>
      </c>
      <c r="M743" t="n">
        <v>0</v>
      </c>
      <c r="N743" t="n">
        <v>0</v>
      </c>
      <c r="O743" t="n">
        <v>0</v>
      </c>
      <c r="P743" t="n">
        <v>0</v>
      </c>
      <c r="Q743" t="n">
        <v>0</v>
      </c>
      <c r="R743" s="2" t="inlineStr"/>
    </row>
    <row r="744" ht="15" customHeight="1">
      <c r="A744" t="inlineStr">
        <is>
          <t>A 25656-2023</t>
        </is>
      </c>
      <c r="B744" s="1" t="n">
        <v>45089</v>
      </c>
      <c r="C744" s="1" t="n">
        <v>45917</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38049-2023</t>
        </is>
      </c>
      <c r="B745" s="1" t="n">
        <v>45159</v>
      </c>
      <c r="C745" s="1" t="n">
        <v>45917</v>
      </c>
      <c r="D745" t="inlineStr">
        <is>
          <t>STOCKHOLMS LÄN</t>
        </is>
      </c>
      <c r="E745" t="inlineStr">
        <is>
          <t>NORRTÄLJE</t>
        </is>
      </c>
      <c r="G745" t="n">
        <v>3.6</v>
      </c>
      <c r="H745" t="n">
        <v>0</v>
      </c>
      <c r="I745" t="n">
        <v>0</v>
      </c>
      <c r="J745" t="n">
        <v>0</v>
      </c>
      <c r="K745" t="n">
        <v>0</v>
      </c>
      <c r="L745" t="n">
        <v>0</v>
      </c>
      <c r="M745" t="n">
        <v>0</v>
      </c>
      <c r="N745" t="n">
        <v>0</v>
      </c>
      <c r="O745" t="n">
        <v>0</v>
      </c>
      <c r="P745" t="n">
        <v>0</v>
      </c>
      <c r="Q745" t="n">
        <v>0</v>
      </c>
      <c r="R745" s="2" t="inlineStr"/>
    </row>
    <row r="746" ht="15" customHeight="1">
      <c r="A746" t="inlineStr">
        <is>
          <t>A 3966-2024</t>
        </is>
      </c>
      <c r="B746" s="1" t="n">
        <v>45322</v>
      </c>
      <c r="C746" s="1" t="n">
        <v>45917</v>
      </c>
      <c r="D746" t="inlineStr">
        <is>
          <t>STOCKHOLMS LÄN</t>
        </is>
      </c>
      <c r="E746" t="inlineStr">
        <is>
          <t>NORRTÄLJE</t>
        </is>
      </c>
      <c r="G746" t="n">
        <v>5.3</v>
      </c>
      <c r="H746" t="n">
        <v>0</v>
      </c>
      <c r="I746" t="n">
        <v>0</v>
      </c>
      <c r="J746" t="n">
        <v>0</v>
      </c>
      <c r="K746" t="n">
        <v>0</v>
      </c>
      <c r="L746" t="n">
        <v>0</v>
      </c>
      <c r="M746" t="n">
        <v>0</v>
      </c>
      <c r="N746" t="n">
        <v>0</v>
      </c>
      <c r="O746" t="n">
        <v>0</v>
      </c>
      <c r="P746" t="n">
        <v>0</v>
      </c>
      <c r="Q746" t="n">
        <v>0</v>
      </c>
      <c r="R746" s="2" t="inlineStr"/>
    </row>
    <row r="747" ht="15" customHeight="1">
      <c r="A747" t="inlineStr">
        <is>
          <t>A 17348-2024</t>
        </is>
      </c>
      <c r="B747" s="1" t="n">
        <v>45414.58650462963</v>
      </c>
      <c r="C747" s="1" t="n">
        <v>45917</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21732-2023</t>
        </is>
      </c>
      <c r="B748" s="1" t="n">
        <v>45063</v>
      </c>
      <c r="C748" s="1" t="n">
        <v>45917</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38591-2023</t>
        </is>
      </c>
      <c r="B749" s="1" t="n">
        <v>45162</v>
      </c>
      <c r="C749" s="1" t="n">
        <v>45917</v>
      </c>
      <c r="D749" t="inlineStr">
        <is>
          <t>STOCKHOLMS LÄN</t>
        </is>
      </c>
      <c r="E749" t="inlineStr">
        <is>
          <t>NORRTÄLJE</t>
        </is>
      </c>
      <c r="F749" t="inlineStr">
        <is>
          <t>Övriga Aktiebolag</t>
        </is>
      </c>
      <c r="G749" t="n">
        <v>3.1</v>
      </c>
      <c r="H749" t="n">
        <v>0</v>
      </c>
      <c r="I749" t="n">
        <v>0</v>
      </c>
      <c r="J749" t="n">
        <v>0</v>
      </c>
      <c r="K749" t="n">
        <v>0</v>
      </c>
      <c r="L749" t="n">
        <v>0</v>
      </c>
      <c r="M749" t="n">
        <v>0</v>
      </c>
      <c r="N749" t="n">
        <v>0</v>
      </c>
      <c r="O749" t="n">
        <v>0</v>
      </c>
      <c r="P749" t="n">
        <v>0</v>
      </c>
      <c r="Q749" t="n">
        <v>0</v>
      </c>
      <c r="R749" s="2" t="inlineStr"/>
    </row>
    <row r="750" ht="15" customHeight="1">
      <c r="A750" t="inlineStr">
        <is>
          <t>A 3273-2025</t>
        </is>
      </c>
      <c r="B750" s="1" t="n">
        <v>45679</v>
      </c>
      <c r="C750" s="1" t="n">
        <v>45917</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35636-2025</t>
        </is>
      </c>
      <c r="B751" s="1" t="n">
        <v>45859</v>
      </c>
      <c r="C751" s="1" t="n">
        <v>45917</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35639-2025</t>
        </is>
      </c>
      <c r="B752" s="1" t="n">
        <v>45859</v>
      </c>
      <c r="C752" s="1" t="n">
        <v>45917</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7806-2025</t>
        </is>
      </c>
      <c r="B753" s="1" t="n">
        <v>45706.61178240741</v>
      </c>
      <c r="C753" s="1" t="n">
        <v>45917</v>
      </c>
      <c r="D753" t="inlineStr">
        <is>
          <t>STOCKHOLMS LÄN</t>
        </is>
      </c>
      <c r="E753" t="inlineStr">
        <is>
          <t>NORRTÄLJE</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37444-2021</t>
        </is>
      </c>
      <c r="B754" s="1" t="n">
        <v>44398</v>
      </c>
      <c r="C754" s="1" t="n">
        <v>45917</v>
      </c>
      <c r="D754" t="inlineStr">
        <is>
          <t>STOCKHOLMS LÄN</t>
        </is>
      </c>
      <c r="E754" t="inlineStr">
        <is>
          <t>NORRTÄLJE</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34461-2023</t>
        </is>
      </c>
      <c r="B755" s="1" t="n">
        <v>45139</v>
      </c>
      <c r="C755" s="1" t="n">
        <v>45917</v>
      </c>
      <c r="D755" t="inlineStr">
        <is>
          <t>STOCKHOLMS LÄN</t>
        </is>
      </c>
      <c r="E755" t="inlineStr">
        <is>
          <t>NORRTÄLJE</t>
        </is>
      </c>
      <c r="G755" t="n">
        <v>1.4</v>
      </c>
      <c r="H755" t="n">
        <v>0</v>
      </c>
      <c r="I755" t="n">
        <v>0</v>
      </c>
      <c r="J755" t="n">
        <v>0</v>
      </c>
      <c r="K755" t="n">
        <v>0</v>
      </c>
      <c r="L755" t="n">
        <v>0</v>
      </c>
      <c r="M755" t="n">
        <v>0</v>
      </c>
      <c r="N755" t="n">
        <v>0</v>
      </c>
      <c r="O755" t="n">
        <v>0</v>
      </c>
      <c r="P755" t="n">
        <v>0</v>
      </c>
      <c r="Q755" t="n">
        <v>0</v>
      </c>
      <c r="R755" s="2" t="inlineStr"/>
    </row>
    <row r="756" ht="15" customHeight="1">
      <c r="A756" t="inlineStr">
        <is>
          <t>A 43916-2025</t>
        </is>
      </c>
      <c r="B756" s="1" t="n">
        <v>45914.78884259259</v>
      </c>
      <c r="C756" s="1" t="n">
        <v>45917</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22359-2025</t>
        </is>
      </c>
      <c r="B757" s="1" t="n">
        <v>45786</v>
      </c>
      <c r="C757" s="1" t="n">
        <v>45917</v>
      </c>
      <c r="D757" t="inlineStr">
        <is>
          <t>STOCKHOLMS LÄN</t>
        </is>
      </c>
      <c r="E757" t="inlineStr">
        <is>
          <t>NORRTÄLJE</t>
        </is>
      </c>
      <c r="G757" t="n">
        <v>5</v>
      </c>
      <c r="H757" t="n">
        <v>0</v>
      </c>
      <c r="I757" t="n">
        <v>0</v>
      </c>
      <c r="J757" t="n">
        <v>0</v>
      </c>
      <c r="K757" t="n">
        <v>0</v>
      </c>
      <c r="L757" t="n">
        <v>0</v>
      </c>
      <c r="M757" t="n">
        <v>0</v>
      </c>
      <c r="N757" t="n">
        <v>0</v>
      </c>
      <c r="O757" t="n">
        <v>0</v>
      </c>
      <c r="P757" t="n">
        <v>0</v>
      </c>
      <c r="Q757" t="n">
        <v>0</v>
      </c>
      <c r="R757" s="2" t="inlineStr"/>
    </row>
    <row r="758" ht="15" customHeight="1">
      <c r="A758" t="inlineStr">
        <is>
          <t>A 15217-2023</t>
        </is>
      </c>
      <c r="B758" s="1" t="n">
        <v>45019.28847222222</v>
      </c>
      <c r="C758" s="1" t="n">
        <v>45917</v>
      </c>
      <c r="D758" t="inlineStr">
        <is>
          <t>STOCKHOLMS LÄN</t>
        </is>
      </c>
      <c r="E758" t="inlineStr">
        <is>
          <t>NORRTÄLJE</t>
        </is>
      </c>
      <c r="G758" t="n">
        <v>3.6</v>
      </c>
      <c r="H758" t="n">
        <v>0</v>
      </c>
      <c r="I758" t="n">
        <v>0</v>
      </c>
      <c r="J758" t="n">
        <v>0</v>
      </c>
      <c r="K758" t="n">
        <v>0</v>
      </c>
      <c r="L758" t="n">
        <v>0</v>
      </c>
      <c r="M758" t="n">
        <v>0</v>
      </c>
      <c r="N758" t="n">
        <v>0</v>
      </c>
      <c r="O758" t="n">
        <v>0</v>
      </c>
      <c r="P758" t="n">
        <v>0</v>
      </c>
      <c r="Q758" t="n">
        <v>0</v>
      </c>
      <c r="R758" s="2" t="inlineStr"/>
    </row>
    <row r="759" ht="15" customHeight="1">
      <c r="A759" t="inlineStr">
        <is>
          <t>A 45173-2023</t>
        </is>
      </c>
      <c r="B759" s="1" t="n">
        <v>45191</v>
      </c>
      <c r="C759" s="1" t="n">
        <v>45917</v>
      </c>
      <c r="D759" t="inlineStr">
        <is>
          <t>STOCKHOLMS LÄN</t>
        </is>
      </c>
      <c r="E759" t="inlineStr">
        <is>
          <t>NORRTÄLJE</t>
        </is>
      </c>
      <c r="F759" t="inlineStr">
        <is>
          <t>Sveaskog</t>
        </is>
      </c>
      <c r="G759" t="n">
        <v>3.6</v>
      </c>
      <c r="H759" t="n">
        <v>0</v>
      </c>
      <c r="I759" t="n">
        <v>0</v>
      </c>
      <c r="J759" t="n">
        <v>0</v>
      </c>
      <c r="K759" t="n">
        <v>0</v>
      </c>
      <c r="L759" t="n">
        <v>0</v>
      </c>
      <c r="M759" t="n">
        <v>0</v>
      </c>
      <c r="N759" t="n">
        <v>0</v>
      </c>
      <c r="O759" t="n">
        <v>0</v>
      </c>
      <c r="P759" t="n">
        <v>0</v>
      </c>
      <c r="Q759" t="n">
        <v>0</v>
      </c>
      <c r="R759" s="2" t="inlineStr"/>
    </row>
    <row r="760" ht="15" customHeight="1">
      <c r="A760" t="inlineStr">
        <is>
          <t>A 24522-2023</t>
        </is>
      </c>
      <c r="B760" s="1" t="n">
        <v>45082.69179398148</v>
      </c>
      <c r="C760" s="1" t="n">
        <v>45917</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44349-2025</t>
        </is>
      </c>
      <c r="B761" s="1" t="n">
        <v>45916.43929398148</v>
      </c>
      <c r="C761" s="1" t="n">
        <v>45917</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44333-2025</t>
        </is>
      </c>
      <c r="B762" s="1" t="n">
        <v>45916.42293981482</v>
      </c>
      <c r="C762" s="1" t="n">
        <v>45917</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64137-2021</t>
        </is>
      </c>
      <c r="B763" s="1" t="n">
        <v>44510.51422453704</v>
      </c>
      <c r="C763" s="1" t="n">
        <v>45917</v>
      </c>
      <c r="D763" t="inlineStr">
        <is>
          <t>STOCKHOLMS LÄN</t>
        </is>
      </c>
      <c r="E763" t="inlineStr">
        <is>
          <t>NORRTÄLJE</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29176-2024</t>
        </is>
      </c>
      <c r="B764" s="1" t="n">
        <v>45482.53388888889</v>
      </c>
      <c r="C764" s="1" t="n">
        <v>45917</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38720-2022</t>
        </is>
      </c>
      <c r="B765" s="1" t="n">
        <v>44815.74539351852</v>
      </c>
      <c r="C765" s="1" t="n">
        <v>45917</v>
      </c>
      <c r="D765" t="inlineStr">
        <is>
          <t>STOCKHOLMS LÄN</t>
        </is>
      </c>
      <c r="E765" t="inlineStr">
        <is>
          <t>NORRTÄLJE</t>
        </is>
      </c>
      <c r="G765" t="n">
        <v>2.5</v>
      </c>
      <c r="H765" t="n">
        <v>0</v>
      </c>
      <c r="I765" t="n">
        <v>0</v>
      </c>
      <c r="J765" t="n">
        <v>0</v>
      </c>
      <c r="K765" t="n">
        <v>0</v>
      </c>
      <c r="L765" t="n">
        <v>0</v>
      </c>
      <c r="M765" t="n">
        <v>0</v>
      </c>
      <c r="N765" t="n">
        <v>0</v>
      </c>
      <c r="O765" t="n">
        <v>0</v>
      </c>
      <c r="P765" t="n">
        <v>0</v>
      </c>
      <c r="Q765" t="n">
        <v>0</v>
      </c>
      <c r="R765" s="2" t="inlineStr"/>
    </row>
    <row r="766" ht="15" customHeight="1">
      <c r="A766" t="inlineStr">
        <is>
          <t>A 34432-2021</t>
        </is>
      </c>
      <c r="B766" s="1" t="n">
        <v>44380.77346064815</v>
      </c>
      <c r="C766" s="1" t="n">
        <v>45917</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19911-2025</t>
        </is>
      </c>
      <c r="B767" s="1" t="n">
        <v>45771</v>
      </c>
      <c r="C767" s="1" t="n">
        <v>45917</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4596-2023</t>
        </is>
      </c>
      <c r="B768" s="1" t="n">
        <v>44956</v>
      </c>
      <c r="C768" s="1" t="n">
        <v>45917</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4438-2023</t>
        </is>
      </c>
      <c r="B769" s="1" t="n">
        <v>44956</v>
      </c>
      <c r="C769" s="1" t="n">
        <v>45917</v>
      </c>
      <c r="D769" t="inlineStr">
        <is>
          <t>STOCKHOLMS LÄN</t>
        </is>
      </c>
      <c r="E769" t="inlineStr">
        <is>
          <t>NORRTÄLJE</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24727-2023</t>
        </is>
      </c>
      <c r="B770" s="1" t="n">
        <v>45084.57695601852</v>
      </c>
      <c r="C770" s="1" t="n">
        <v>45917</v>
      </c>
      <c r="D770" t="inlineStr">
        <is>
          <t>STOCKHOLMS LÄN</t>
        </is>
      </c>
      <c r="E770" t="inlineStr">
        <is>
          <t>NORRTÄLJE</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14130-2025</t>
        </is>
      </c>
      <c r="B771" s="1" t="n">
        <v>45740.47288194444</v>
      </c>
      <c r="C771" s="1" t="n">
        <v>45917</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59904-2023</t>
        </is>
      </c>
      <c r="B772" s="1" t="n">
        <v>45257</v>
      </c>
      <c r="C772" s="1" t="n">
        <v>45917</v>
      </c>
      <c r="D772" t="inlineStr">
        <is>
          <t>STOCKHOLMS LÄN</t>
        </is>
      </c>
      <c r="E772" t="inlineStr">
        <is>
          <t>NORRTÄLJE</t>
        </is>
      </c>
      <c r="G772" t="n">
        <v>17.4</v>
      </c>
      <c r="H772" t="n">
        <v>0</v>
      </c>
      <c r="I772" t="n">
        <v>0</v>
      </c>
      <c r="J772" t="n">
        <v>0</v>
      </c>
      <c r="K772" t="n">
        <v>0</v>
      </c>
      <c r="L772" t="n">
        <v>0</v>
      </c>
      <c r="M772" t="n">
        <v>0</v>
      </c>
      <c r="N772" t="n">
        <v>0</v>
      </c>
      <c r="O772" t="n">
        <v>0</v>
      </c>
      <c r="P772" t="n">
        <v>0</v>
      </c>
      <c r="Q772" t="n">
        <v>0</v>
      </c>
      <c r="R772" s="2" t="inlineStr"/>
    </row>
    <row r="773" ht="15" customHeight="1">
      <c r="A773" t="inlineStr">
        <is>
          <t>A 12532-2025</t>
        </is>
      </c>
      <c r="B773" s="1" t="n">
        <v>45730.69143518519</v>
      </c>
      <c r="C773" s="1" t="n">
        <v>45917</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36308-2022</t>
        </is>
      </c>
      <c r="B774" s="1" t="n">
        <v>44803</v>
      </c>
      <c r="C774" s="1" t="n">
        <v>45917</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40175-2024</t>
        </is>
      </c>
      <c r="B775" s="1" t="n">
        <v>45554.55707175926</v>
      </c>
      <c r="C775" s="1" t="n">
        <v>45917</v>
      </c>
      <c r="D775" t="inlineStr">
        <is>
          <t>STOCKHOLMS LÄN</t>
        </is>
      </c>
      <c r="E775" t="inlineStr">
        <is>
          <t>NORRTÄLJE</t>
        </is>
      </c>
      <c r="G775" t="n">
        <v>7.7</v>
      </c>
      <c r="H775" t="n">
        <v>0</v>
      </c>
      <c r="I775" t="n">
        <v>0</v>
      </c>
      <c r="J775" t="n">
        <v>0</v>
      </c>
      <c r="K775" t="n">
        <v>0</v>
      </c>
      <c r="L775" t="n">
        <v>0</v>
      </c>
      <c r="M775" t="n">
        <v>0</v>
      </c>
      <c r="N775" t="n">
        <v>0</v>
      </c>
      <c r="O775" t="n">
        <v>0</v>
      </c>
      <c r="P775" t="n">
        <v>0</v>
      </c>
      <c r="Q775" t="n">
        <v>0</v>
      </c>
      <c r="R775" s="2" t="inlineStr"/>
    </row>
    <row r="776" ht="15" customHeight="1">
      <c r="A776" t="inlineStr">
        <is>
          <t>A 16229-2022</t>
        </is>
      </c>
      <c r="B776" s="1" t="n">
        <v>44670.4190162037</v>
      </c>
      <c r="C776" s="1" t="n">
        <v>45917</v>
      </c>
      <c r="D776" t="inlineStr">
        <is>
          <t>STOCKHOLMS LÄN</t>
        </is>
      </c>
      <c r="E776" t="inlineStr">
        <is>
          <t>NORRTÄLJE</t>
        </is>
      </c>
      <c r="G776" t="n">
        <v>7.4</v>
      </c>
      <c r="H776" t="n">
        <v>0</v>
      </c>
      <c r="I776" t="n">
        <v>0</v>
      </c>
      <c r="J776" t="n">
        <v>0</v>
      </c>
      <c r="K776" t="n">
        <v>0</v>
      </c>
      <c r="L776" t="n">
        <v>0</v>
      </c>
      <c r="M776" t="n">
        <v>0</v>
      </c>
      <c r="N776" t="n">
        <v>0</v>
      </c>
      <c r="O776" t="n">
        <v>0</v>
      </c>
      <c r="P776" t="n">
        <v>0</v>
      </c>
      <c r="Q776" t="n">
        <v>0</v>
      </c>
      <c r="R776" s="2" t="inlineStr"/>
    </row>
    <row r="777" ht="15" customHeight="1">
      <c r="A777" t="inlineStr">
        <is>
          <t>A 46914-2022</t>
        </is>
      </c>
      <c r="B777" s="1" t="n">
        <v>44851</v>
      </c>
      <c r="C777" s="1" t="n">
        <v>45917</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18787-2022</t>
        </is>
      </c>
      <c r="B778" s="1" t="n">
        <v>44687</v>
      </c>
      <c r="C778" s="1" t="n">
        <v>45917</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50497-2020</t>
        </is>
      </c>
      <c r="B779" s="1" t="n">
        <v>44110</v>
      </c>
      <c r="C779" s="1" t="n">
        <v>45917</v>
      </c>
      <c r="D779" t="inlineStr">
        <is>
          <t>STOCKHOLMS LÄN</t>
        </is>
      </c>
      <c r="E779" t="inlineStr">
        <is>
          <t>NORRTÄLJE</t>
        </is>
      </c>
      <c r="F779" t="inlineStr">
        <is>
          <t>Holmen skog AB</t>
        </is>
      </c>
      <c r="G779" t="n">
        <v>4.3</v>
      </c>
      <c r="H779" t="n">
        <v>0</v>
      </c>
      <c r="I779" t="n">
        <v>0</v>
      </c>
      <c r="J779" t="n">
        <v>0</v>
      </c>
      <c r="K779" t="n">
        <v>0</v>
      </c>
      <c r="L779" t="n">
        <v>0</v>
      </c>
      <c r="M779" t="n">
        <v>0</v>
      </c>
      <c r="N779" t="n">
        <v>0</v>
      </c>
      <c r="O779" t="n">
        <v>0</v>
      </c>
      <c r="P779" t="n">
        <v>0</v>
      </c>
      <c r="Q779" t="n">
        <v>0</v>
      </c>
      <c r="R779" s="2" t="inlineStr"/>
    </row>
    <row r="780" ht="15" customHeight="1">
      <c r="A780" t="inlineStr">
        <is>
          <t>A 44343-2025</t>
        </is>
      </c>
      <c r="B780" s="1" t="n">
        <v>45916.43378472222</v>
      </c>
      <c r="C780" s="1" t="n">
        <v>45917</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44354-2025</t>
        </is>
      </c>
      <c r="B781" s="1" t="n">
        <v>45916.44655092592</v>
      </c>
      <c r="C781" s="1" t="n">
        <v>45917</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20244-2025</t>
        </is>
      </c>
      <c r="B782" s="1" t="n">
        <v>45772.71221064815</v>
      </c>
      <c r="C782" s="1" t="n">
        <v>45917</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50143-2023</t>
        </is>
      </c>
      <c r="B783" s="1" t="n">
        <v>45215</v>
      </c>
      <c r="C783" s="1" t="n">
        <v>45917</v>
      </c>
      <c r="D783" t="inlineStr">
        <is>
          <t>STOCKHOLMS LÄN</t>
        </is>
      </c>
      <c r="E783" t="inlineStr">
        <is>
          <t>NORRTÄLJE</t>
        </is>
      </c>
      <c r="G783" t="n">
        <v>10.3</v>
      </c>
      <c r="H783" t="n">
        <v>0</v>
      </c>
      <c r="I783" t="n">
        <v>0</v>
      </c>
      <c r="J783" t="n">
        <v>0</v>
      </c>
      <c r="K783" t="n">
        <v>0</v>
      </c>
      <c r="L783" t="n">
        <v>0</v>
      </c>
      <c r="M783" t="n">
        <v>0</v>
      </c>
      <c r="N783" t="n">
        <v>0</v>
      </c>
      <c r="O783" t="n">
        <v>0</v>
      </c>
      <c r="P783" t="n">
        <v>0</v>
      </c>
      <c r="Q783" t="n">
        <v>0</v>
      </c>
      <c r="R783" s="2" t="inlineStr"/>
    </row>
    <row r="784" ht="15" customHeight="1">
      <c r="A784" t="inlineStr">
        <is>
          <t>A 20015-2023</t>
        </is>
      </c>
      <c r="B784" s="1" t="n">
        <v>45054</v>
      </c>
      <c r="C784" s="1" t="n">
        <v>45917</v>
      </c>
      <c r="D784" t="inlineStr">
        <is>
          <t>STOCKHOLMS LÄN</t>
        </is>
      </c>
      <c r="E784" t="inlineStr">
        <is>
          <t>NORRTÄLJE</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45917</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44311-2025</t>
        </is>
      </c>
      <c r="B786" s="1" t="n">
        <v>45916.38394675926</v>
      </c>
      <c r="C786" s="1" t="n">
        <v>45917</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20011-2025</t>
        </is>
      </c>
      <c r="B787" s="1" t="n">
        <v>45772.29622685185</v>
      </c>
      <c r="C787" s="1" t="n">
        <v>45917</v>
      </c>
      <c r="D787" t="inlineStr">
        <is>
          <t>STOCKHOLMS LÄN</t>
        </is>
      </c>
      <c r="E787" t="inlineStr">
        <is>
          <t>NORRTÄLJE</t>
        </is>
      </c>
      <c r="G787" t="n">
        <v>3.5</v>
      </c>
      <c r="H787" t="n">
        <v>0</v>
      </c>
      <c r="I787" t="n">
        <v>0</v>
      </c>
      <c r="J787" t="n">
        <v>0</v>
      </c>
      <c r="K787" t="n">
        <v>0</v>
      </c>
      <c r="L787" t="n">
        <v>0</v>
      </c>
      <c r="M787" t="n">
        <v>0</v>
      </c>
      <c r="N787" t="n">
        <v>0</v>
      </c>
      <c r="O787" t="n">
        <v>0</v>
      </c>
      <c r="P787" t="n">
        <v>0</v>
      </c>
      <c r="Q787" t="n">
        <v>0</v>
      </c>
      <c r="R787" s="2" t="inlineStr"/>
    </row>
    <row r="788" ht="15" customHeight="1">
      <c r="A788" t="inlineStr">
        <is>
          <t>A 50108-2021</t>
        </is>
      </c>
      <c r="B788" s="1" t="n">
        <v>44456</v>
      </c>
      <c r="C788" s="1" t="n">
        <v>45917</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8315-2025</t>
        </is>
      </c>
      <c r="B789" s="1" t="n">
        <v>45708.61761574074</v>
      </c>
      <c r="C789" s="1" t="n">
        <v>45917</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12251-2025</t>
        </is>
      </c>
      <c r="B790" s="1" t="n">
        <v>45729.60859953704</v>
      </c>
      <c r="C790" s="1" t="n">
        <v>45917</v>
      </c>
      <c r="D790" t="inlineStr">
        <is>
          <t>STOCKHOLMS LÄN</t>
        </is>
      </c>
      <c r="E790" t="inlineStr">
        <is>
          <t>NORRTÄLJE</t>
        </is>
      </c>
      <c r="F790" t="inlineStr">
        <is>
          <t>Holmen skog AB</t>
        </is>
      </c>
      <c r="G790" t="n">
        <v>5.9</v>
      </c>
      <c r="H790" t="n">
        <v>0</v>
      </c>
      <c r="I790" t="n">
        <v>0</v>
      </c>
      <c r="J790" t="n">
        <v>0</v>
      </c>
      <c r="K790" t="n">
        <v>0</v>
      </c>
      <c r="L790" t="n">
        <v>0</v>
      </c>
      <c r="M790" t="n">
        <v>0</v>
      </c>
      <c r="N790" t="n">
        <v>0</v>
      </c>
      <c r="O790" t="n">
        <v>0</v>
      </c>
      <c r="P790" t="n">
        <v>0</v>
      </c>
      <c r="Q790" t="n">
        <v>0</v>
      </c>
      <c r="R790" s="2" t="inlineStr"/>
    </row>
    <row r="791" ht="15" customHeight="1">
      <c r="A791" t="inlineStr">
        <is>
          <t>A 44306-2025</t>
        </is>
      </c>
      <c r="B791" s="1" t="n">
        <v>45916.37736111111</v>
      </c>
      <c r="C791" s="1" t="n">
        <v>45917</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25621-2022</t>
        </is>
      </c>
      <c r="B792" s="1" t="n">
        <v>44732</v>
      </c>
      <c r="C792" s="1" t="n">
        <v>45917</v>
      </c>
      <c r="D792" t="inlineStr">
        <is>
          <t>STOCKHOLMS LÄN</t>
        </is>
      </c>
      <c r="E792" t="inlineStr">
        <is>
          <t>NORRTÄLJE</t>
        </is>
      </c>
      <c r="G792" t="n">
        <v>3.1</v>
      </c>
      <c r="H792" t="n">
        <v>0</v>
      </c>
      <c r="I792" t="n">
        <v>0</v>
      </c>
      <c r="J792" t="n">
        <v>0</v>
      </c>
      <c r="K792" t="n">
        <v>0</v>
      </c>
      <c r="L792" t="n">
        <v>0</v>
      </c>
      <c r="M792" t="n">
        <v>0</v>
      </c>
      <c r="N792" t="n">
        <v>0</v>
      </c>
      <c r="O792" t="n">
        <v>0</v>
      </c>
      <c r="P792" t="n">
        <v>0</v>
      </c>
      <c r="Q792" t="n">
        <v>0</v>
      </c>
      <c r="R792" s="2" t="inlineStr"/>
    </row>
    <row r="793" ht="15" customHeight="1">
      <c r="A793" t="inlineStr">
        <is>
          <t>A 20304-2023</t>
        </is>
      </c>
      <c r="B793" s="1" t="n">
        <v>45056</v>
      </c>
      <c r="C793" s="1" t="n">
        <v>45917</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35235-2024</t>
        </is>
      </c>
      <c r="B794" s="1" t="n">
        <v>45530</v>
      </c>
      <c r="C794" s="1" t="n">
        <v>45917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54776-2023</t>
        </is>
      </c>
      <c r="B795" s="1" t="n">
        <v>45236.46369212963</v>
      </c>
      <c r="C795" s="1" t="n">
        <v>45917</v>
      </c>
      <c r="D795" t="inlineStr">
        <is>
          <t>STOCKHOLMS LÄN</t>
        </is>
      </c>
      <c r="E795" t="inlineStr">
        <is>
          <t>NORRTÄLJE</t>
        </is>
      </c>
      <c r="G795" t="n">
        <v>0.3</v>
      </c>
      <c r="H795" t="n">
        <v>0</v>
      </c>
      <c r="I795" t="n">
        <v>0</v>
      </c>
      <c r="J795" t="n">
        <v>0</v>
      </c>
      <c r="K795" t="n">
        <v>0</v>
      </c>
      <c r="L795" t="n">
        <v>0</v>
      </c>
      <c r="M795" t="n">
        <v>0</v>
      </c>
      <c r="N795" t="n">
        <v>0</v>
      </c>
      <c r="O795" t="n">
        <v>0</v>
      </c>
      <c r="P795" t="n">
        <v>0</v>
      </c>
      <c r="Q795" t="n">
        <v>0</v>
      </c>
      <c r="R795" s="2" t="inlineStr"/>
    </row>
    <row r="796" ht="15" customHeight="1">
      <c r="A796" t="inlineStr">
        <is>
          <t>A 20144-2023</t>
        </is>
      </c>
      <c r="B796" s="1" t="n">
        <v>45055.43509259259</v>
      </c>
      <c r="C796" s="1" t="n">
        <v>45917</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51061-2023</t>
        </is>
      </c>
      <c r="B797" s="1" t="n">
        <v>45218.65849537037</v>
      </c>
      <c r="C797" s="1" t="n">
        <v>45917</v>
      </c>
      <c r="D797" t="inlineStr">
        <is>
          <t>STOCKHOLMS LÄN</t>
        </is>
      </c>
      <c r="E797" t="inlineStr">
        <is>
          <t>NORRTÄLJE</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39213-2022</t>
        </is>
      </c>
      <c r="B798" s="1" t="n">
        <v>44817.56120370371</v>
      </c>
      <c r="C798" s="1" t="n">
        <v>45917</v>
      </c>
      <c r="D798" t="inlineStr">
        <is>
          <t>STOCKHOLMS LÄN</t>
        </is>
      </c>
      <c r="E798" t="inlineStr">
        <is>
          <t>NORRTÄLJE</t>
        </is>
      </c>
      <c r="G798" t="n">
        <v>3.4</v>
      </c>
      <c r="H798" t="n">
        <v>0</v>
      </c>
      <c r="I798" t="n">
        <v>0</v>
      </c>
      <c r="J798" t="n">
        <v>0</v>
      </c>
      <c r="K798" t="n">
        <v>0</v>
      </c>
      <c r="L798" t="n">
        <v>0</v>
      </c>
      <c r="M798" t="n">
        <v>0</v>
      </c>
      <c r="N798" t="n">
        <v>0</v>
      </c>
      <c r="O798" t="n">
        <v>0</v>
      </c>
      <c r="P798" t="n">
        <v>0</v>
      </c>
      <c r="Q798" t="n">
        <v>0</v>
      </c>
      <c r="R798" s="2" t="inlineStr"/>
    </row>
    <row r="799" ht="15" customHeight="1">
      <c r="A799" t="inlineStr">
        <is>
          <t>A 36246-2021</t>
        </is>
      </c>
      <c r="B799" s="1" t="n">
        <v>44390</v>
      </c>
      <c r="C799" s="1" t="n">
        <v>45917</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13314-2025</t>
        </is>
      </c>
      <c r="B800" s="1" t="n">
        <v>45735.59287037037</v>
      </c>
      <c r="C800" s="1" t="n">
        <v>45917</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23056-2023</t>
        </is>
      </c>
      <c r="B801" s="1" t="n">
        <v>45075</v>
      </c>
      <c r="C801" s="1" t="n">
        <v>45917</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15905-2023</t>
        </is>
      </c>
      <c r="B802" s="1" t="n">
        <v>45022</v>
      </c>
      <c r="C802" s="1" t="n">
        <v>45917</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11041-2025</t>
        </is>
      </c>
      <c r="B803" s="1" t="n">
        <v>45723</v>
      </c>
      <c r="C803" s="1" t="n">
        <v>45917</v>
      </c>
      <c r="D803" t="inlineStr">
        <is>
          <t>STOCKHOLMS LÄN</t>
        </is>
      </c>
      <c r="E803" t="inlineStr">
        <is>
          <t>NORRTÄLJE</t>
        </is>
      </c>
      <c r="F803" t="inlineStr">
        <is>
          <t>Övriga Aktiebolag</t>
        </is>
      </c>
      <c r="G803" t="n">
        <v>1.8</v>
      </c>
      <c r="H803" t="n">
        <v>0</v>
      </c>
      <c r="I803" t="n">
        <v>0</v>
      </c>
      <c r="J803" t="n">
        <v>0</v>
      </c>
      <c r="K803" t="n">
        <v>0</v>
      </c>
      <c r="L803" t="n">
        <v>0</v>
      </c>
      <c r="M803" t="n">
        <v>0</v>
      </c>
      <c r="N803" t="n">
        <v>0</v>
      </c>
      <c r="O803" t="n">
        <v>0</v>
      </c>
      <c r="P803" t="n">
        <v>0</v>
      </c>
      <c r="Q803" t="n">
        <v>0</v>
      </c>
      <c r="R803" s="2" t="inlineStr"/>
    </row>
    <row r="804" ht="15" customHeight="1">
      <c r="A804" t="inlineStr">
        <is>
          <t>A 13172-2025</t>
        </is>
      </c>
      <c r="B804" s="1" t="n">
        <v>45735.36873842592</v>
      </c>
      <c r="C804" s="1" t="n">
        <v>45917</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44917-2022</t>
        </is>
      </c>
      <c r="B805" s="1" t="n">
        <v>44841.52804398148</v>
      </c>
      <c r="C805" s="1" t="n">
        <v>45917</v>
      </c>
      <c r="D805" t="inlineStr">
        <is>
          <t>STOCKHOLMS LÄN</t>
        </is>
      </c>
      <c r="E805" t="inlineStr">
        <is>
          <t>NORRTÄLJE</t>
        </is>
      </c>
      <c r="F805" t="inlineStr">
        <is>
          <t>Holmen skog AB</t>
        </is>
      </c>
      <c r="G805" t="n">
        <v>3.3</v>
      </c>
      <c r="H805" t="n">
        <v>0</v>
      </c>
      <c r="I805" t="n">
        <v>0</v>
      </c>
      <c r="J805" t="n">
        <v>0</v>
      </c>
      <c r="K805" t="n">
        <v>0</v>
      </c>
      <c r="L805" t="n">
        <v>0</v>
      </c>
      <c r="M805" t="n">
        <v>0</v>
      </c>
      <c r="N805" t="n">
        <v>0</v>
      </c>
      <c r="O805" t="n">
        <v>0</v>
      </c>
      <c r="P805" t="n">
        <v>0</v>
      </c>
      <c r="Q805" t="n">
        <v>0</v>
      </c>
      <c r="R805" s="2" t="inlineStr"/>
    </row>
    <row r="806" ht="15" customHeight="1">
      <c r="A806" t="inlineStr">
        <is>
          <t>A 33173-2024</t>
        </is>
      </c>
      <c r="B806" s="1" t="n">
        <v>45518</v>
      </c>
      <c r="C806" s="1" t="n">
        <v>45917</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19025-2025</t>
        </is>
      </c>
      <c r="B807" s="1" t="n">
        <v>45764.6359837963</v>
      </c>
      <c r="C807" s="1" t="n">
        <v>45917</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17551-2025</t>
        </is>
      </c>
      <c r="B808" s="1" t="n">
        <v>45757.61421296297</v>
      </c>
      <c r="C808" s="1" t="n">
        <v>45917</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5867-2022</t>
        </is>
      </c>
      <c r="B809" s="1" t="n">
        <v>44596.66335648148</v>
      </c>
      <c r="C809" s="1" t="n">
        <v>45917</v>
      </c>
      <c r="D809" t="inlineStr">
        <is>
          <t>STOCKHOLMS LÄN</t>
        </is>
      </c>
      <c r="E809" t="inlineStr">
        <is>
          <t>NORRTÄLJE</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73307-2021</t>
        </is>
      </c>
      <c r="B810" s="1" t="n">
        <v>44549</v>
      </c>
      <c r="C810" s="1" t="n">
        <v>45917</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10678-2025</t>
        </is>
      </c>
      <c r="B811" s="1" t="n">
        <v>45721.89123842592</v>
      </c>
      <c r="C811" s="1" t="n">
        <v>45917</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58493-2020</t>
        </is>
      </c>
      <c r="B812" s="1" t="n">
        <v>44145</v>
      </c>
      <c r="C812" s="1" t="n">
        <v>45917</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21731-2023</t>
        </is>
      </c>
      <c r="B813" s="1" t="n">
        <v>45063</v>
      </c>
      <c r="C813" s="1" t="n">
        <v>45917</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21745-2023</t>
        </is>
      </c>
      <c r="B814" s="1" t="n">
        <v>45065.55917824074</v>
      </c>
      <c r="C814" s="1" t="n">
        <v>45917</v>
      </c>
      <c r="D814" t="inlineStr">
        <is>
          <t>STOCKHOLMS LÄN</t>
        </is>
      </c>
      <c r="E814" t="inlineStr">
        <is>
          <t>NORRTÄLJE</t>
        </is>
      </c>
      <c r="F814" t="inlineStr">
        <is>
          <t>Holmen skog AB</t>
        </is>
      </c>
      <c r="G814" t="n">
        <v>0.7</v>
      </c>
      <c r="H814" t="n">
        <v>0</v>
      </c>
      <c r="I814" t="n">
        <v>0</v>
      </c>
      <c r="J814" t="n">
        <v>0</v>
      </c>
      <c r="K814" t="n">
        <v>0</v>
      </c>
      <c r="L814" t="n">
        <v>0</v>
      </c>
      <c r="M814" t="n">
        <v>0</v>
      </c>
      <c r="N814" t="n">
        <v>0</v>
      </c>
      <c r="O814" t="n">
        <v>0</v>
      </c>
      <c r="P814" t="n">
        <v>0</v>
      </c>
      <c r="Q814" t="n">
        <v>0</v>
      </c>
      <c r="R814" s="2" t="inlineStr"/>
    </row>
    <row r="815" ht="15" customHeight="1">
      <c r="A815" t="inlineStr">
        <is>
          <t>A 8370-2025</t>
        </is>
      </c>
      <c r="B815" s="1" t="n">
        <v>45708</v>
      </c>
      <c r="C815" s="1" t="n">
        <v>45917</v>
      </c>
      <c r="D815" t="inlineStr">
        <is>
          <t>STOCKHOLMS LÄN</t>
        </is>
      </c>
      <c r="E815" t="inlineStr">
        <is>
          <t>NORRTÄLJE</t>
        </is>
      </c>
      <c r="F815" t="inlineStr">
        <is>
          <t>Övriga Aktiebolag</t>
        </is>
      </c>
      <c r="G815" t="n">
        <v>5.6</v>
      </c>
      <c r="H815" t="n">
        <v>0</v>
      </c>
      <c r="I815" t="n">
        <v>0</v>
      </c>
      <c r="J815" t="n">
        <v>0</v>
      </c>
      <c r="K815" t="n">
        <v>0</v>
      </c>
      <c r="L815" t="n">
        <v>0</v>
      </c>
      <c r="M815" t="n">
        <v>0</v>
      </c>
      <c r="N815" t="n">
        <v>0</v>
      </c>
      <c r="O815" t="n">
        <v>0</v>
      </c>
      <c r="P815" t="n">
        <v>0</v>
      </c>
      <c r="Q815" t="n">
        <v>0</v>
      </c>
      <c r="R815" s="2" t="inlineStr"/>
    </row>
    <row r="816" ht="15" customHeight="1">
      <c r="A816" t="inlineStr">
        <is>
          <t>A 951-2023</t>
        </is>
      </c>
      <c r="B816" s="1" t="n">
        <v>44934</v>
      </c>
      <c r="C816" s="1" t="n">
        <v>45917</v>
      </c>
      <c r="D816" t="inlineStr">
        <is>
          <t>STOCKHOLMS LÄN</t>
        </is>
      </c>
      <c r="E816" t="inlineStr">
        <is>
          <t>NORRTÄLJE</t>
        </is>
      </c>
      <c r="G816" t="n">
        <v>3.7</v>
      </c>
      <c r="H816" t="n">
        <v>0</v>
      </c>
      <c r="I816" t="n">
        <v>0</v>
      </c>
      <c r="J816" t="n">
        <v>0</v>
      </c>
      <c r="K816" t="n">
        <v>0</v>
      </c>
      <c r="L816" t="n">
        <v>0</v>
      </c>
      <c r="M816" t="n">
        <v>0</v>
      </c>
      <c r="N816" t="n">
        <v>0</v>
      </c>
      <c r="O816" t="n">
        <v>0</v>
      </c>
      <c r="P816" t="n">
        <v>0</v>
      </c>
      <c r="Q816" t="n">
        <v>0</v>
      </c>
      <c r="R816" s="2" t="inlineStr"/>
    </row>
    <row r="817" ht="15" customHeight="1">
      <c r="A817" t="inlineStr">
        <is>
          <t>A 30221-2024</t>
        </is>
      </c>
      <c r="B817" s="1" t="n">
        <v>45490.45342592592</v>
      </c>
      <c r="C817" s="1" t="n">
        <v>45917</v>
      </c>
      <c r="D817" t="inlineStr">
        <is>
          <t>STOCKHOLMS LÄN</t>
        </is>
      </c>
      <c r="E817" t="inlineStr">
        <is>
          <t>NORRTÄLJE</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32100-2022</t>
        </is>
      </c>
      <c r="B818" s="1" t="n">
        <v>44778</v>
      </c>
      <c r="C818" s="1" t="n">
        <v>45917</v>
      </c>
      <c r="D818" t="inlineStr">
        <is>
          <t>STOCKHOLMS LÄN</t>
        </is>
      </c>
      <c r="E818" t="inlineStr">
        <is>
          <t>NORRTÄLJE</t>
        </is>
      </c>
      <c r="G818" t="n">
        <v>3.3</v>
      </c>
      <c r="H818" t="n">
        <v>0</v>
      </c>
      <c r="I818" t="n">
        <v>0</v>
      </c>
      <c r="J818" t="n">
        <v>0</v>
      </c>
      <c r="K818" t="n">
        <v>0</v>
      </c>
      <c r="L818" t="n">
        <v>0</v>
      </c>
      <c r="M818" t="n">
        <v>0</v>
      </c>
      <c r="N818" t="n">
        <v>0</v>
      </c>
      <c r="O818" t="n">
        <v>0</v>
      </c>
      <c r="P818" t="n">
        <v>0</v>
      </c>
      <c r="Q818" t="n">
        <v>0</v>
      </c>
      <c r="R818" s="2" t="inlineStr"/>
    </row>
    <row r="819" ht="15" customHeight="1">
      <c r="A819" t="inlineStr">
        <is>
          <t>A 26365-2024</t>
        </is>
      </c>
      <c r="B819" s="1" t="n">
        <v>45469</v>
      </c>
      <c r="C819" s="1" t="n">
        <v>45917</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2888-2022</t>
        </is>
      </c>
      <c r="B820" s="1" t="n">
        <v>44581</v>
      </c>
      <c r="C820" s="1" t="n">
        <v>45917</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50602-2021</t>
        </is>
      </c>
      <c r="B821" s="1" t="n">
        <v>44459</v>
      </c>
      <c r="C821" s="1" t="n">
        <v>45917</v>
      </c>
      <c r="D821" t="inlineStr">
        <is>
          <t>STOCKHOLMS LÄN</t>
        </is>
      </c>
      <c r="E821" t="inlineStr">
        <is>
          <t>NORRTÄLJE</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11902-2024</t>
        </is>
      </c>
      <c r="B822" s="1" t="n">
        <v>45376.55704861111</v>
      </c>
      <c r="C822" s="1" t="n">
        <v>45917</v>
      </c>
      <c r="D822" t="inlineStr">
        <is>
          <t>STOCKHOLMS LÄN</t>
        </is>
      </c>
      <c r="E822" t="inlineStr">
        <is>
          <t>NORRTÄLJE</t>
        </is>
      </c>
      <c r="G822" t="n">
        <v>2.5</v>
      </c>
      <c r="H822" t="n">
        <v>0</v>
      </c>
      <c r="I822" t="n">
        <v>0</v>
      </c>
      <c r="J822" t="n">
        <v>0</v>
      </c>
      <c r="K822" t="n">
        <v>0</v>
      </c>
      <c r="L822" t="n">
        <v>0</v>
      </c>
      <c r="M822" t="n">
        <v>0</v>
      </c>
      <c r="N822" t="n">
        <v>0</v>
      </c>
      <c r="O822" t="n">
        <v>0</v>
      </c>
      <c r="P822" t="n">
        <v>0</v>
      </c>
      <c r="Q822" t="n">
        <v>0</v>
      </c>
      <c r="R822" s="2" t="inlineStr"/>
    </row>
    <row r="823" ht="15" customHeight="1">
      <c r="A823" t="inlineStr">
        <is>
          <t>A 48798-2021</t>
        </is>
      </c>
      <c r="B823" s="1" t="n">
        <v>44452</v>
      </c>
      <c r="C823" s="1" t="n">
        <v>45917</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13-2024</t>
        </is>
      </c>
      <c r="B824" s="1" t="n">
        <v>45293.37263888889</v>
      </c>
      <c r="C824" s="1" t="n">
        <v>45917</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58260-2023</t>
        </is>
      </c>
      <c r="B825" s="1" t="n">
        <v>45245</v>
      </c>
      <c r="C825" s="1" t="n">
        <v>45917</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58261-2023</t>
        </is>
      </c>
      <c r="B826" s="1" t="n">
        <v>45245</v>
      </c>
      <c r="C826" s="1" t="n">
        <v>45917</v>
      </c>
      <c r="D826" t="inlineStr">
        <is>
          <t>STOCKHOLMS LÄN</t>
        </is>
      </c>
      <c r="E826" t="inlineStr">
        <is>
          <t>NORRTÄLJE</t>
        </is>
      </c>
      <c r="G826" t="n">
        <v>53.5</v>
      </c>
      <c r="H826" t="n">
        <v>0</v>
      </c>
      <c r="I826" t="n">
        <v>0</v>
      </c>
      <c r="J826" t="n">
        <v>0</v>
      </c>
      <c r="K826" t="n">
        <v>0</v>
      </c>
      <c r="L826" t="n">
        <v>0</v>
      </c>
      <c r="M826" t="n">
        <v>0</v>
      </c>
      <c r="N826" t="n">
        <v>0</v>
      </c>
      <c r="O826" t="n">
        <v>0</v>
      </c>
      <c r="P826" t="n">
        <v>0</v>
      </c>
      <c r="Q826" t="n">
        <v>0</v>
      </c>
      <c r="R826" s="2" t="inlineStr"/>
    </row>
    <row r="827" ht="15" customHeight="1">
      <c r="A827" t="inlineStr">
        <is>
          <t>A 53607-2020</t>
        </is>
      </c>
      <c r="B827" s="1" t="n">
        <v>44124</v>
      </c>
      <c r="C827" s="1" t="n">
        <v>45917</v>
      </c>
      <c r="D827" t="inlineStr">
        <is>
          <t>STOCKHOLMS LÄN</t>
        </is>
      </c>
      <c r="E827" t="inlineStr">
        <is>
          <t>NORRTÄLJE</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4553-2023</t>
        </is>
      </c>
      <c r="B828" s="1" t="n">
        <v>44956.65920138889</v>
      </c>
      <c r="C828" s="1" t="n">
        <v>45917</v>
      </c>
      <c r="D828" t="inlineStr">
        <is>
          <t>STOCKHOLMS LÄN</t>
        </is>
      </c>
      <c r="E828" t="inlineStr">
        <is>
          <t>NORRTÄLJE</t>
        </is>
      </c>
      <c r="G828" t="n">
        <v>7.5</v>
      </c>
      <c r="H828" t="n">
        <v>0</v>
      </c>
      <c r="I828" t="n">
        <v>0</v>
      </c>
      <c r="J828" t="n">
        <v>0</v>
      </c>
      <c r="K828" t="n">
        <v>0</v>
      </c>
      <c r="L828" t="n">
        <v>0</v>
      </c>
      <c r="M828" t="n">
        <v>0</v>
      </c>
      <c r="N828" t="n">
        <v>0</v>
      </c>
      <c r="O828" t="n">
        <v>0</v>
      </c>
      <c r="P828" t="n">
        <v>0</v>
      </c>
      <c r="Q828" t="n">
        <v>0</v>
      </c>
      <c r="R828" s="2" t="inlineStr"/>
    </row>
    <row r="829" ht="15" customHeight="1">
      <c r="A829" t="inlineStr">
        <is>
          <t>A 875-2023</t>
        </is>
      </c>
      <c r="B829" s="1" t="n">
        <v>44931.65626157408</v>
      </c>
      <c r="C829" s="1" t="n">
        <v>45917</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24575-2024</t>
        </is>
      </c>
      <c r="B830" s="1" t="n">
        <v>45460.45523148148</v>
      </c>
      <c r="C830" s="1" t="n">
        <v>45917</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19-2024</t>
        </is>
      </c>
      <c r="B831" s="1" t="n">
        <v>45293</v>
      </c>
      <c r="C831" s="1" t="n">
        <v>45917</v>
      </c>
      <c r="D831" t="inlineStr">
        <is>
          <t>STOCKHOLMS LÄN</t>
        </is>
      </c>
      <c r="E831" t="inlineStr">
        <is>
          <t>NORRTÄLJE</t>
        </is>
      </c>
      <c r="G831" t="n">
        <v>0.3</v>
      </c>
      <c r="H831" t="n">
        <v>0</v>
      </c>
      <c r="I831" t="n">
        <v>0</v>
      </c>
      <c r="J831" t="n">
        <v>0</v>
      </c>
      <c r="K831" t="n">
        <v>0</v>
      </c>
      <c r="L831" t="n">
        <v>0</v>
      </c>
      <c r="M831" t="n">
        <v>0</v>
      </c>
      <c r="N831" t="n">
        <v>0</v>
      </c>
      <c r="O831" t="n">
        <v>0</v>
      </c>
      <c r="P831" t="n">
        <v>0</v>
      </c>
      <c r="Q831" t="n">
        <v>0</v>
      </c>
      <c r="R831" s="2" t="inlineStr"/>
    </row>
    <row r="832" ht="15" customHeight="1">
      <c r="A832" t="inlineStr">
        <is>
          <t>A 11333-2025</t>
        </is>
      </c>
      <c r="B832" s="1" t="n">
        <v>45726.48377314815</v>
      </c>
      <c r="C832" s="1" t="n">
        <v>45917</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21529-2021</t>
        </is>
      </c>
      <c r="B833" s="1" t="n">
        <v>44321</v>
      </c>
      <c r="C833" s="1" t="n">
        <v>45917</v>
      </c>
      <c r="D833" t="inlineStr">
        <is>
          <t>STOCKHOLMS LÄN</t>
        </is>
      </c>
      <c r="E833" t="inlineStr">
        <is>
          <t>NORRTÄLJE</t>
        </is>
      </c>
      <c r="G833" t="n">
        <v>2.7</v>
      </c>
      <c r="H833" t="n">
        <v>0</v>
      </c>
      <c r="I833" t="n">
        <v>0</v>
      </c>
      <c r="J833" t="n">
        <v>0</v>
      </c>
      <c r="K833" t="n">
        <v>0</v>
      </c>
      <c r="L833" t="n">
        <v>0</v>
      </c>
      <c r="M833" t="n">
        <v>0</v>
      </c>
      <c r="N833" t="n">
        <v>0</v>
      </c>
      <c r="O833" t="n">
        <v>0</v>
      </c>
      <c r="P833" t="n">
        <v>0</v>
      </c>
      <c r="Q833" t="n">
        <v>0</v>
      </c>
      <c r="R833" s="2" t="inlineStr"/>
    </row>
    <row r="834" ht="15" customHeight="1">
      <c r="A834" t="inlineStr">
        <is>
          <t>A 30283-2022</t>
        </is>
      </c>
      <c r="B834" s="1" t="n">
        <v>44760</v>
      </c>
      <c r="C834" s="1" t="n">
        <v>45917</v>
      </c>
      <c r="D834" t="inlineStr">
        <is>
          <t>STOCKHOLMS LÄN</t>
        </is>
      </c>
      <c r="E834" t="inlineStr">
        <is>
          <t>NORRTÄLJE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30290-2022</t>
        </is>
      </c>
      <c r="B835" s="1" t="n">
        <v>44760</v>
      </c>
      <c r="C835" s="1" t="n">
        <v>45917</v>
      </c>
      <c r="D835" t="inlineStr">
        <is>
          <t>STOCKHOLMS LÄN</t>
        </is>
      </c>
      <c r="E835" t="inlineStr">
        <is>
          <t>NORRTÄLJE</t>
        </is>
      </c>
      <c r="G835" t="n">
        <v>4.8</v>
      </c>
      <c r="H835" t="n">
        <v>0</v>
      </c>
      <c r="I835" t="n">
        <v>0</v>
      </c>
      <c r="J835" t="n">
        <v>0</v>
      </c>
      <c r="K835" t="n">
        <v>0</v>
      </c>
      <c r="L835" t="n">
        <v>0</v>
      </c>
      <c r="M835" t="n">
        <v>0</v>
      </c>
      <c r="N835" t="n">
        <v>0</v>
      </c>
      <c r="O835" t="n">
        <v>0</v>
      </c>
      <c r="P835" t="n">
        <v>0</v>
      </c>
      <c r="Q835" t="n">
        <v>0</v>
      </c>
      <c r="R835" s="2" t="inlineStr"/>
    </row>
    <row r="836" ht="15" customHeight="1">
      <c r="A836" t="inlineStr">
        <is>
          <t>A 38985-2022</t>
        </is>
      </c>
      <c r="B836" s="1" t="n">
        <v>44816</v>
      </c>
      <c r="C836" s="1" t="n">
        <v>45917</v>
      </c>
      <c r="D836" t="inlineStr">
        <is>
          <t>STOCKHOLMS LÄN</t>
        </is>
      </c>
      <c r="E836" t="inlineStr">
        <is>
          <t>NORRTÄLJE</t>
        </is>
      </c>
      <c r="G836" t="n">
        <v>10.1</v>
      </c>
      <c r="H836" t="n">
        <v>0</v>
      </c>
      <c r="I836" t="n">
        <v>0</v>
      </c>
      <c r="J836" t="n">
        <v>0</v>
      </c>
      <c r="K836" t="n">
        <v>0</v>
      </c>
      <c r="L836" t="n">
        <v>0</v>
      </c>
      <c r="M836" t="n">
        <v>0</v>
      </c>
      <c r="N836" t="n">
        <v>0</v>
      </c>
      <c r="O836" t="n">
        <v>0</v>
      </c>
      <c r="P836" t="n">
        <v>0</v>
      </c>
      <c r="Q836" t="n">
        <v>0</v>
      </c>
      <c r="R836" s="2" t="inlineStr"/>
    </row>
    <row r="837" ht="15" customHeight="1">
      <c r="A837" t="inlineStr">
        <is>
          <t>A 31827-2023</t>
        </is>
      </c>
      <c r="B837" s="1" t="n">
        <v>45118</v>
      </c>
      <c r="C837" s="1" t="n">
        <v>45917</v>
      </c>
      <c r="D837" t="inlineStr">
        <is>
          <t>STOCKHOLMS LÄN</t>
        </is>
      </c>
      <c r="E837" t="inlineStr">
        <is>
          <t>NORRTÄLJE</t>
        </is>
      </c>
      <c r="F837" t="inlineStr">
        <is>
          <t>Kyrkan</t>
        </is>
      </c>
      <c r="G837" t="n">
        <v>4.9</v>
      </c>
      <c r="H837" t="n">
        <v>0</v>
      </c>
      <c r="I837" t="n">
        <v>0</v>
      </c>
      <c r="J837" t="n">
        <v>0</v>
      </c>
      <c r="K837" t="n">
        <v>0</v>
      </c>
      <c r="L837" t="n">
        <v>0</v>
      </c>
      <c r="M837" t="n">
        <v>0</v>
      </c>
      <c r="N837" t="n">
        <v>0</v>
      </c>
      <c r="O837" t="n">
        <v>0</v>
      </c>
      <c r="P837" t="n">
        <v>0</v>
      </c>
      <c r="Q837" t="n">
        <v>0</v>
      </c>
      <c r="R837" s="2" t="inlineStr"/>
    </row>
    <row r="838" ht="15" customHeight="1">
      <c r="A838" t="inlineStr">
        <is>
          <t>A 25625-2023</t>
        </is>
      </c>
      <c r="B838" s="1" t="n">
        <v>45089</v>
      </c>
      <c r="C838" s="1" t="n">
        <v>45917</v>
      </c>
      <c r="D838" t="inlineStr">
        <is>
          <t>STOCKHOLMS LÄN</t>
        </is>
      </c>
      <c r="E838" t="inlineStr">
        <is>
          <t>NORRTÄLJE</t>
        </is>
      </c>
      <c r="G838" t="n">
        <v>5.5</v>
      </c>
      <c r="H838" t="n">
        <v>0</v>
      </c>
      <c r="I838" t="n">
        <v>0</v>
      </c>
      <c r="J838" t="n">
        <v>0</v>
      </c>
      <c r="K838" t="n">
        <v>0</v>
      </c>
      <c r="L838" t="n">
        <v>0</v>
      </c>
      <c r="M838" t="n">
        <v>0</v>
      </c>
      <c r="N838" t="n">
        <v>0</v>
      </c>
      <c r="O838" t="n">
        <v>0</v>
      </c>
      <c r="P838" t="n">
        <v>0</v>
      </c>
      <c r="Q838" t="n">
        <v>0</v>
      </c>
      <c r="R838" s="2" t="inlineStr"/>
    </row>
    <row r="839" ht="15" customHeight="1">
      <c r="A839" t="inlineStr">
        <is>
          <t>A 10973-2025</t>
        </is>
      </c>
      <c r="B839" s="1" t="n">
        <v>45723</v>
      </c>
      <c r="C839" s="1" t="n">
        <v>45917</v>
      </c>
      <c r="D839" t="inlineStr">
        <is>
          <t>STOCKHOLMS LÄN</t>
        </is>
      </c>
      <c r="E839" t="inlineStr">
        <is>
          <t>NORRTÄLJE</t>
        </is>
      </c>
      <c r="F839" t="inlineStr">
        <is>
          <t>Övriga Aktiebolag</t>
        </is>
      </c>
      <c r="G839" t="n">
        <v>2.7</v>
      </c>
      <c r="H839" t="n">
        <v>0</v>
      </c>
      <c r="I839" t="n">
        <v>0</v>
      </c>
      <c r="J839" t="n">
        <v>0</v>
      </c>
      <c r="K839" t="n">
        <v>0</v>
      </c>
      <c r="L839" t="n">
        <v>0</v>
      </c>
      <c r="M839" t="n">
        <v>0</v>
      </c>
      <c r="N839" t="n">
        <v>0</v>
      </c>
      <c r="O839" t="n">
        <v>0</v>
      </c>
      <c r="P839" t="n">
        <v>0</v>
      </c>
      <c r="Q839" t="n">
        <v>0</v>
      </c>
      <c r="R839" s="2" t="inlineStr"/>
    </row>
    <row r="840" ht="15" customHeight="1">
      <c r="A840" t="inlineStr">
        <is>
          <t>A 54496-2024</t>
        </is>
      </c>
      <c r="B840" s="1" t="n">
        <v>45617.57439814815</v>
      </c>
      <c r="C840" s="1" t="n">
        <v>45917</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14132-2025</t>
        </is>
      </c>
      <c r="B841" s="1" t="n">
        <v>45740.47550925926</v>
      </c>
      <c r="C841" s="1" t="n">
        <v>45917</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14133-2025</t>
        </is>
      </c>
      <c r="B842" s="1" t="n">
        <v>45740.47724537037</v>
      </c>
      <c r="C842" s="1" t="n">
        <v>45917</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7186-2024</t>
        </is>
      </c>
      <c r="B843" s="1" t="n">
        <v>45344</v>
      </c>
      <c r="C843" s="1" t="n">
        <v>45917</v>
      </c>
      <c r="D843" t="inlineStr">
        <is>
          <t>STOCKHOLMS LÄN</t>
        </is>
      </c>
      <c r="E843" t="inlineStr">
        <is>
          <t>NORRTÄLJE</t>
        </is>
      </c>
      <c r="G843" t="n">
        <v>4.9</v>
      </c>
      <c r="H843" t="n">
        <v>0</v>
      </c>
      <c r="I843" t="n">
        <v>0</v>
      </c>
      <c r="J843" t="n">
        <v>0</v>
      </c>
      <c r="K843" t="n">
        <v>0</v>
      </c>
      <c r="L843" t="n">
        <v>0</v>
      </c>
      <c r="M843" t="n">
        <v>0</v>
      </c>
      <c r="N843" t="n">
        <v>0</v>
      </c>
      <c r="O843" t="n">
        <v>0</v>
      </c>
      <c r="P843" t="n">
        <v>0</v>
      </c>
      <c r="Q843" t="n">
        <v>0</v>
      </c>
      <c r="R843" s="2" t="inlineStr"/>
    </row>
    <row r="844" ht="15" customHeight="1">
      <c r="A844" t="inlineStr">
        <is>
          <t>A 7796-2025</t>
        </is>
      </c>
      <c r="B844" s="1" t="n">
        <v>45706.60130787037</v>
      </c>
      <c r="C844" s="1" t="n">
        <v>45917</v>
      </c>
      <c r="D844" t="inlineStr">
        <is>
          <t>STOCKHOLMS LÄN</t>
        </is>
      </c>
      <c r="E844" t="inlineStr">
        <is>
          <t>NORRTÄLJE</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59767-2022</t>
        </is>
      </c>
      <c r="B845" s="1" t="n">
        <v>44900</v>
      </c>
      <c r="C845" s="1" t="n">
        <v>45917</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39202-2024</t>
        </is>
      </c>
      <c r="B846" s="1" t="n">
        <v>45548.72306712963</v>
      </c>
      <c r="C846" s="1" t="n">
        <v>45917</v>
      </c>
      <c r="D846" t="inlineStr">
        <is>
          <t>STOCKHOLMS LÄN</t>
        </is>
      </c>
      <c r="E846" t="inlineStr">
        <is>
          <t>NORRTÄLJE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53792-2023</t>
        </is>
      </c>
      <c r="B847" s="1" t="n">
        <v>45231.34144675926</v>
      </c>
      <c r="C847" s="1" t="n">
        <v>45917</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28816-2023</t>
        </is>
      </c>
      <c r="B848" s="1" t="n">
        <v>45104</v>
      </c>
      <c r="C848" s="1" t="n">
        <v>45917</v>
      </c>
      <c r="D848" t="inlineStr">
        <is>
          <t>STOCKHOLMS LÄN</t>
        </is>
      </c>
      <c r="E848" t="inlineStr">
        <is>
          <t>NORRTÄLJE</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11280-2023</t>
        </is>
      </c>
      <c r="B849" s="1" t="n">
        <v>44992</v>
      </c>
      <c r="C849" s="1" t="n">
        <v>45917</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44714.92253472222</v>
      </c>
      <c r="C850" s="1" t="n">
        <v>45917</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57442-2021</t>
        </is>
      </c>
      <c r="B851" s="1" t="n">
        <v>44483</v>
      </c>
      <c r="C851" s="1" t="n">
        <v>45917</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19952-2023</t>
        </is>
      </c>
      <c r="B852" s="1" t="n">
        <v>45054.54091435186</v>
      </c>
      <c r="C852" s="1" t="n">
        <v>45917</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19994-2023</t>
        </is>
      </c>
      <c r="B853" s="1" t="n">
        <v>45054</v>
      </c>
      <c r="C853" s="1" t="n">
        <v>45917</v>
      </c>
      <c r="D853" t="inlineStr">
        <is>
          <t>STOCKHOLMS LÄN</t>
        </is>
      </c>
      <c r="E853" t="inlineStr">
        <is>
          <t>NORRTÄLJE</t>
        </is>
      </c>
      <c r="G853" t="n">
        <v>4.3</v>
      </c>
      <c r="H853" t="n">
        <v>0</v>
      </c>
      <c r="I853" t="n">
        <v>0</v>
      </c>
      <c r="J853" t="n">
        <v>0</v>
      </c>
      <c r="K853" t="n">
        <v>0</v>
      </c>
      <c r="L853" t="n">
        <v>0</v>
      </c>
      <c r="M853" t="n">
        <v>0</v>
      </c>
      <c r="N853" t="n">
        <v>0</v>
      </c>
      <c r="O853" t="n">
        <v>0</v>
      </c>
      <c r="P853" t="n">
        <v>0</v>
      </c>
      <c r="Q853" t="n">
        <v>0</v>
      </c>
      <c r="R853" s="2" t="inlineStr"/>
    </row>
    <row r="854" ht="15" customHeight="1">
      <c r="A854" t="inlineStr">
        <is>
          <t>A 29003-2023</t>
        </is>
      </c>
      <c r="B854" s="1" t="n">
        <v>45104</v>
      </c>
      <c r="C854" s="1" t="n">
        <v>45917</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58311-2023</t>
        </is>
      </c>
      <c r="B855" s="1" t="n">
        <v>45245</v>
      </c>
      <c r="C855" s="1" t="n">
        <v>45917</v>
      </c>
      <c r="D855" t="inlineStr">
        <is>
          <t>STOCKHOLMS LÄN</t>
        </is>
      </c>
      <c r="E855" t="inlineStr">
        <is>
          <t>NORRTÄLJE</t>
        </is>
      </c>
      <c r="G855" t="n">
        <v>2.3</v>
      </c>
      <c r="H855" t="n">
        <v>0</v>
      </c>
      <c r="I855" t="n">
        <v>0</v>
      </c>
      <c r="J855" t="n">
        <v>0</v>
      </c>
      <c r="K855" t="n">
        <v>0</v>
      </c>
      <c r="L855" t="n">
        <v>0</v>
      </c>
      <c r="M855" t="n">
        <v>0</v>
      </c>
      <c r="N855" t="n">
        <v>0</v>
      </c>
      <c r="O855" t="n">
        <v>0</v>
      </c>
      <c r="P855" t="n">
        <v>0</v>
      </c>
      <c r="Q855" t="n">
        <v>0</v>
      </c>
      <c r="R855" s="2" t="inlineStr"/>
    </row>
    <row r="856" ht="15" customHeight="1">
      <c r="A856" t="inlineStr">
        <is>
          <t>A 8739-2024</t>
        </is>
      </c>
      <c r="B856" s="1" t="n">
        <v>45356.47784722222</v>
      </c>
      <c r="C856" s="1" t="n">
        <v>45917</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15956-2023</t>
        </is>
      </c>
      <c r="B857" s="1" t="n">
        <v>45022.61003472222</v>
      </c>
      <c r="C857" s="1" t="n">
        <v>45917</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26640-2023</t>
        </is>
      </c>
      <c r="B858" s="1" t="n">
        <v>45092</v>
      </c>
      <c r="C858" s="1" t="n">
        <v>45917</v>
      </c>
      <c r="D858" t="inlineStr">
        <is>
          <t>STOCKHOLMS LÄN</t>
        </is>
      </c>
      <c r="E858" t="inlineStr">
        <is>
          <t>NORRTÄLJE</t>
        </is>
      </c>
      <c r="G858" t="n">
        <v>5.7</v>
      </c>
      <c r="H858" t="n">
        <v>0</v>
      </c>
      <c r="I858" t="n">
        <v>0</v>
      </c>
      <c r="J858" t="n">
        <v>0</v>
      </c>
      <c r="K858" t="n">
        <v>0</v>
      </c>
      <c r="L858" t="n">
        <v>0</v>
      </c>
      <c r="M858" t="n">
        <v>0</v>
      </c>
      <c r="N858" t="n">
        <v>0</v>
      </c>
      <c r="O858" t="n">
        <v>0</v>
      </c>
      <c r="P858" t="n">
        <v>0</v>
      </c>
      <c r="Q858" t="n">
        <v>0</v>
      </c>
      <c r="R858" s="2" t="inlineStr"/>
    </row>
    <row r="859" ht="15" customHeight="1">
      <c r="A859" t="inlineStr">
        <is>
          <t>A 62765-2022</t>
        </is>
      </c>
      <c r="B859" s="1" t="n">
        <v>44637</v>
      </c>
      <c r="C859" s="1" t="n">
        <v>45917</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5950-2021</t>
        </is>
      </c>
      <c r="B860" s="1" t="n">
        <v>44231</v>
      </c>
      <c r="C860" s="1" t="n">
        <v>45917</v>
      </c>
      <c r="D860" t="inlineStr">
        <is>
          <t>STOCKHOLMS LÄN</t>
        </is>
      </c>
      <c r="E860" t="inlineStr">
        <is>
          <t>NORRTÄLJE</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3444-2023</t>
        </is>
      </c>
      <c r="B861" s="1" t="n">
        <v>44949</v>
      </c>
      <c r="C861" s="1" t="n">
        <v>45917</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38990-2022</t>
        </is>
      </c>
      <c r="B862" s="1" t="n">
        <v>44816</v>
      </c>
      <c r="C862" s="1" t="n">
        <v>45917</v>
      </c>
      <c r="D862" t="inlineStr">
        <is>
          <t>STOCKHOLMS LÄN</t>
        </is>
      </c>
      <c r="E862" t="inlineStr">
        <is>
          <t>NORRTÄLJE</t>
        </is>
      </c>
      <c r="G862" t="n">
        <v>5.7</v>
      </c>
      <c r="H862" t="n">
        <v>0</v>
      </c>
      <c r="I862" t="n">
        <v>0</v>
      </c>
      <c r="J862" t="n">
        <v>0</v>
      </c>
      <c r="K862" t="n">
        <v>0</v>
      </c>
      <c r="L862" t="n">
        <v>0</v>
      </c>
      <c r="M862" t="n">
        <v>0</v>
      </c>
      <c r="N862" t="n">
        <v>0</v>
      </c>
      <c r="O862" t="n">
        <v>0</v>
      </c>
      <c r="P862" t="n">
        <v>0</v>
      </c>
      <c r="Q862" t="n">
        <v>0</v>
      </c>
      <c r="R862" s="2" t="inlineStr"/>
    </row>
    <row r="863" ht="15" customHeight="1">
      <c r="A863" t="inlineStr">
        <is>
          <t>A 13053-2022</t>
        </is>
      </c>
      <c r="B863" s="1" t="n">
        <v>44643</v>
      </c>
      <c r="C863" s="1" t="n">
        <v>45917</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17545-2025</t>
        </is>
      </c>
      <c r="B864" s="1" t="n">
        <v>45757.60658564815</v>
      </c>
      <c r="C864" s="1" t="n">
        <v>45917</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3383-2023</t>
        </is>
      </c>
      <c r="B865" s="1" t="n">
        <v>44949</v>
      </c>
      <c r="C865" s="1" t="n">
        <v>45917</v>
      </c>
      <c r="D865" t="inlineStr">
        <is>
          <t>STOCKHOLMS LÄN</t>
        </is>
      </c>
      <c r="E865" t="inlineStr">
        <is>
          <t>NORRTÄLJE</t>
        </is>
      </c>
      <c r="G865" t="n">
        <v>14.6</v>
      </c>
      <c r="H865" t="n">
        <v>0</v>
      </c>
      <c r="I865" t="n">
        <v>0</v>
      </c>
      <c r="J865" t="n">
        <v>0</v>
      </c>
      <c r="K865" t="n">
        <v>0</v>
      </c>
      <c r="L865" t="n">
        <v>0</v>
      </c>
      <c r="M865" t="n">
        <v>0</v>
      </c>
      <c r="N865" t="n">
        <v>0</v>
      </c>
      <c r="O865" t="n">
        <v>0</v>
      </c>
      <c r="P865" t="n">
        <v>0</v>
      </c>
      <c r="Q865" t="n">
        <v>0</v>
      </c>
      <c r="R865" s="2" t="inlineStr"/>
    </row>
    <row r="866" ht="15" customHeight="1">
      <c r="A866" t="inlineStr">
        <is>
          <t>A 4316-2023</t>
        </is>
      </c>
      <c r="B866" s="1" t="n">
        <v>44953.67443287037</v>
      </c>
      <c r="C866" s="1" t="n">
        <v>45917</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5839-2023</t>
        </is>
      </c>
      <c r="B867" s="1" t="n">
        <v>44963</v>
      </c>
      <c r="C867" s="1" t="n">
        <v>45917</v>
      </c>
      <c r="D867" t="inlineStr">
        <is>
          <t>STOCKHOLMS LÄN</t>
        </is>
      </c>
      <c r="E867" t="inlineStr">
        <is>
          <t>NORRTÄLJE</t>
        </is>
      </c>
      <c r="G867" t="n">
        <v>3.6</v>
      </c>
      <c r="H867" t="n">
        <v>0</v>
      </c>
      <c r="I867" t="n">
        <v>0</v>
      </c>
      <c r="J867" t="n">
        <v>0</v>
      </c>
      <c r="K867" t="n">
        <v>0</v>
      </c>
      <c r="L867" t="n">
        <v>0</v>
      </c>
      <c r="M867" t="n">
        <v>0</v>
      </c>
      <c r="N867" t="n">
        <v>0</v>
      </c>
      <c r="O867" t="n">
        <v>0</v>
      </c>
      <c r="P867" t="n">
        <v>0</v>
      </c>
      <c r="Q867" t="n">
        <v>0</v>
      </c>
      <c r="R867" s="2" t="inlineStr"/>
    </row>
    <row r="868" ht="15" customHeight="1">
      <c r="A868" t="inlineStr">
        <is>
          <t>A 17956-2025</t>
        </is>
      </c>
      <c r="B868" s="1" t="n">
        <v>45760.91174768518</v>
      </c>
      <c r="C868" s="1" t="n">
        <v>45917</v>
      </c>
      <c r="D868" t="inlineStr">
        <is>
          <t>STOCKHOLMS LÄN</t>
        </is>
      </c>
      <c r="E868" t="inlineStr">
        <is>
          <t>NORRTÄLJE</t>
        </is>
      </c>
      <c r="G868" t="n">
        <v>4.3</v>
      </c>
      <c r="H868" t="n">
        <v>0</v>
      </c>
      <c r="I868" t="n">
        <v>0</v>
      </c>
      <c r="J868" t="n">
        <v>0</v>
      </c>
      <c r="K868" t="n">
        <v>0</v>
      </c>
      <c r="L868" t="n">
        <v>0</v>
      </c>
      <c r="M868" t="n">
        <v>0</v>
      </c>
      <c r="N868" t="n">
        <v>0</v>
      </c>
      <c r="O868" t="n">
        <v>0</v>
      </c>
      <c r="P868" t="n">
        <v>0</v>
      </c>
      <c r="Q868" t="n">
        <v>0</v>
      </c>
      <c r="R868" s="2" t="inlineStr"/>
    </row>
    <row r="869" ht="15" customHeight="1">
      <c r="A869" t="inlineStr">
        <is>
          <t>A 5804-2025</t>
        </is>
      </c>
      <c r="B869" s="1" t="n">
        <v>45694.68207175926</v>
      </c>
      <c r="C869" s="1" t="n">
        <v>45917</v>
      </c>
      <c r="D869" t="inlineStr">
        <is>
          <t>STOCKHOLMS LÄN</t>
        </is>
      </c>
      <c r="E869" t="inlineStr">
        <is>
          <t>NORRTÄLJE</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23265-2023</t>
        </is>
      </c>
      <c r="B870" s="1" t="n">
        <v>45075.90703703704</v>
      </c>
      <c r="C870" s="1" t="n">
        <v>45917</v>
      </c>
      <c r="D870" t="inlineStr">
        <is>
          <t>STOCKHOLMS LÄN</t>
        </is>
      </c>
      <c r="E870" t="inlineStr">
        <is>
          <t>NORRTÄLJE</t>
        </is>
      </c>
      <c r="G870" t="n">
        <v>2.6</v>
      </c>
      <c r="H870" t="n">
        <v>0</v>
      </c>
      <c r="I870" t="n">
        <v>0</v>
      </c>
      <c r="J870" t="n">
        <v>0</v>
      </c>
      <c r="K870" t="n">
        <v>0</v>
      </c>
      <c r="L870" t="n">
        <v>0</v>
      </c>
      <c r="M870" t="n">
        <v>0</v>
      </c>
      <c r="N870" t="n">
        <v>0</v>
      </c>
      <c r="O870" t="n">
        <v>0</v>
      </c>
      <c r="P870" t="n">
        <v>0</v>
      </c>
      <c r="Q870" t="n">
        <v>0</v>
      </c>
      <c r="R870" s="2" t="inlineStr"/>
    </row>
    <row r="871" ht="15" customHeight="1">
      <c r="A871" t="inlineStr">
        <is>
          <t>A 30268-2024</t>
        </is>
      </c>
      <c r="B871" s="1" t="n">
        <v>45490.60572916667</v>
      </c>
      <c r="C871" s="1" t="n">
        <v>45917</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24705-2023</t>
        </is>
      </c>
      <c r="B872" s="1" t="n">
        <v>45084.54459490741</v>
      </c>
      <c r="C872" s="1" t="n">
        <v>45917</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59535-2024</t>
        </is>
      </c>
      <c r="B873" s="1" t="n">
        <v>45638.59979166667</v>
      </c>
      <c r="C873" s="1" t="n">
        <v>45917</v>
      </c>
      <c r="D873" t="inlineStr">
        <is>
          <t>STOCKHOLMS LÄN</t>
        </is>
      </c>
      <c r="E873" t="inlineStr">
        <is>
          <t>NORRTÄLJE</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9246-2024</t>
        </is>
      </c>
      <c r="B874" s="1" t="n">
        <v>45357</v>
      </c>
      <c r="C874" s="1" t="n">
        <v>45917</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54358-2022</t>
        </is>
      </c>
      <c r="B875" s="1" t="n">
        <v>44882</v>
      </c>
      <c r="C875" s="1" t="n">
        <v>45917</v>
      </c>
      <c r="D875" t="inlineStr">
        <is>
          <t>STOCKHOLMS LÄN</t>
        </is>
      </c>
      <c r="E875" t="inlineStr">
        <is>
          <t>NORRTÄLJE</t>
        </is>
      </c>
      <c r="G875" t="n">
        <v>3.3</v>
      </c>
      <c r="H875" t="n">
        <v>0</v>
      </c>
      <c r="I875" t="n">
        <v>0</v>
      </c>
      <c r="J875" t="n">
        <v>0</v>
      </c>
      <c r="K875" t="n">
        <v>0</v>
      </c>
      <c r="L875" t="n">
        <v>0</v>
      </c>
      <c r="M875" t="n">
        <v>0</v>
      </c>
      <c r="N875" t="n">
        <v>0</v>
      </c>
      <c r="O875" t="n">
        <v>0</v>
      </c>
      <c r="P875" t="n">
        <v>0</v>
      </c>
      <c r="Q875" t="n">
        <v>0</v>
      </c>
      <c r="R875" s="2" t="inlineStr"/>
    </row>
    <row r="876" ht="15" customHeight="1">
      <c r="A876" t="inlineStr">
        <is>
          <t>A 23749-2024</t>
        </is>
      </c>
      <c r="B876" s="1" t="n">
        <v>45455.33037037037</v>
      </c>
      <c r="C876" s="1" t="n">
        <v>45917</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35691-2023</t>
        </is>
      </c>
      <c r="B877" s="1" t="n">
        <v>45147.65222222222</v>
      </c>
      <c r="C877" s="1" t="n">
        <v>45917</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35693-2023</t>
        </is>
      </c>
      <c r="B878" s="1" t="n">
        <v>45147.65311342593</v>
      </c>
      <c r="C878" s="1" t="n">
        <v>45917</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35698-2023</t>
        </is>
      </c>
      <c r="B879" s="1" t="n">
        <v>45147</v>
      </c>
      <c r="C879" s="1" t="n">
        <v>45917</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20852-2023</t>
        </is>
      </c>
      <c r="B880" s="1" t="n">
        <v>45058.78607638889</v>
      </c>
      <c r="C880" s="1" t="n">
        <v>45917</v>
      </c>
      <c r="D880" t="inlineStr">
        <is>
          <t>STOCKHOLMS LÄN</t>
        </is>
      </c>
      <c r="E880" t="inlineStr">
        <is>
          <t>NORRTÄLJE</t>
        </is>
      </c>
      <c r="G880" t="n">
        <v>3.5</v>
      </c>
      <c r="H880" t="n">
        <v>0</v>
      </c>
      <c r="I880" t="n">
        <v>0</v>
      </c>
      <c r="J880" t="n">
        <v>0</v>
      </c>
      <c r="K880" t="n">
        <v>0</v>
      </c>
      <c r="L880" t="n">
        <v>0</v>
      </c>
      <c r="M880" t="n">
        <v>0</v>
      </c>
      <c r="N880" t="n">
        <v>0</v>
      </c>
      <c r="O880" t="n">
        <v>0</v>
      </c>
      <c r="P880" t="n">
        <v>0</v>
      </c>
      <c r="Q880" t="n">
        <v>0</v>
      </c>
      <c r="R880" s="2" t="inlineStr"/>
    </row>
    <row r="881" ht="15" customHeight="1">
      <c r="A881" t="inlineStr">
        <is>
          <t>A 50355-2024</t>
        </is>
      </c>
      <c r="B881" s="1" t="n">
        <v>45600.86128472222</v>
      </c>
      <c r="C881" s="1" t="n">
        <v>45917</v>
      </c>
      <c r="D881" t="inlineStr">
        <is>
          <t>STOCKHOLMS LÄN</t>
        </is>
      </c>
      <c r="E881" t="inlineStr">
        <is>
          <t>NORRTÄLJE</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60694-2024</t>
        </is>
      </c>
      <c r="B882" s="1" t="n">
        <v>45644.47878472223</v>
      </c>
      <c r="C882" s="1" t="n">
        <v>45917</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73992-2021</t>
        </is>
      </c>
      <c r="B883" s="1" t="n">
        <v>44556</v>
      </c>
      <c r="C883" s="1" t="n">
        <v>45917</v>
      </c>
      <c r="D883" t="inlineStr">
        <is>
          <t>STOCKHOLMS LÄN</t>
        </is>
      </c>
      <c r="E883" t="inlineStr">
        <is>
          <t>NORRTÄLJE</t>
        </is>
      </c>
      <c r="G883" t="n">
        <v>12.5</v>
      </c>
      <c r="H883" t="n">
        <v>0</v>
      </c>
      <c r="I883" t="n">
        <v>0</v>
      </c>
      <c r="J883" t="n">
        <v>0</v>
      </c>
      <c r="K883" t="n">
        <v>0</v>
      </c>
      <c r="L883" t="n">
        <v>0</v>
      </c>
      <c r="M883" t="n">
        <v>0</v>
      </c>
      <c r="N883" t="n">
        <v>0</v>
      </c>
      <c r="O883" t="n">
        <v>0</v>
      </c>
      <c r="P883" t="n">
        <v>0</v>
      </c>
      <c r="Q883" t="n">
        <v>0</v>
      </c>
      <c r="R883" s="2" t="inlineStr"/>
    </row>
    <row r="884" ht="15" customHeight="1">
      <c r="A884" t="inlineStr">
        <is>
          <t>A 25094-2023</t>
        </is>
      </c>
      <c r="B884" s="1" t="n">
        <v>45086.3629050926</v>
      </c>
      <c r="C884" s="1" t="n">
        <v>45917</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59276-2023</t>
        </is>
      </c>
      <c r="B885" s="1" t="n">
        <v>45253.55641203704</v>
      </c>
      <c r="C885" s="1" t="n">
        <v>45917</v>
      </c>
      <c r="D885" t="inlineStr">
        <is>
          <t>STOCKHOLMS LÄN</t>
        </is>
      </c>
      <c r="E885" t="inlineStr">
        <is>
          <t>NORRTÄLJE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13767-2025</t>
        </is>
      </c>
      <c r="B886" s="1" t="n">
        <v>45737.43347222222</v>
      </c>
      <c r="C886" s="1" t="n">
        <v>45917</v>
      </c>
      <c r="D886" t="inlineStr">
        <is>
          <t>STOCKHOLMS LÄN</t>
        </is>
      </c>
      <c r="E886" t="inlineStr">
        <is>
          <t>NORRTÄLJE</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21329-2022</t>
        </is>
      </c>
      <c r="B887" s="1" t="n">
        <v>44705.60626157407</v>
      </c>
      <c r="C887" s="1" t="n">
        <v>45917</v>
      </c>
      <c r="D887" t="inlineStr">
        <is>
          <t>STOCKHOLMS LÄN</t>
        </is>
      </c>
      <c r="E887" t="inlineStr">
        <is>
          <t>NORRTÄLJE</t>
        </is>
      </c>
      <c r="G887" t="n">
        <v>4.1</v>
      </c>
      <c r="H887" t="n">
        <v>0</v>
      </c>
      <c r="I887" t="n">
        <v>0</v>
      </c>
      <c r="J887" t="n">
        <v>0</v>
      </c>
      <c r="K887" t="n">
        <v>0</v>
      </c>
      <c r="L887" t="n">
        <v>0</v>
      </c>
      <c r="M887" t="n">
        <v>0</v>
      </c>
      <c r="N887" t="n">
        <v>0</v>
      </c>
      <c r="O887" t="n">
        <v>0</v>
      </c>
      <c r="P887" t="n">
        <v>0</v>
      </c>
      <c r="Q887" t="n">
        <v>0</v>
      </c>
      <c r="R887" s="2" t="inlineStr"/>
    </row>
    <row r="888" ht="15" customHeight="1">
      <c r="A888" t="inlineStr">
        <is>
          <t>A 41587-2023</t>
        </is>
      </c>
      <c r="B888" s="1" t="n">
        <v>45175</v>
      </c>
      <c r="C888" s="1" t="n">
        <v>45917</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54276-2021</t>
        </is>
      </c>
      <c r="B889" s="1" t="n">
        <v>44470</v>
      </c>
      <c r="C889" s="1" t="n">
        <v>45917</v>
      </c>
      <c r="D889" t="inlineStr">
        <is>
          <t>STOCKHOLMS LÄN</t>
        </is>
      </c>
      <c r="E889" t="inlineStr">
        <is>
          <t>NORRTÄLJE</t>
        </is>
      </c>
      <c r="G889" t="n">
        <v>7.3</v>
      </c>
      <c r="H889" t="n">
        <v>0</v>
      </c>
      <c r="I889" t="n">
        <v>0</v>
      </c>
      <c r="J889" t="n">
        <v>0</v>
      </c>
      <c r="K889" t="n">
        <v>0</v>
      </c>
      <c r="L889" t="n">
        <v>0</v>
      </c>
      <c r="M889" t="n">
        <v>0</v>
      </c>
      <c r="N889" t="n">
        <v>0</v>
      </c>
      <c r="O889" t="n">
        <v>0</v>
      </c>
      <c r="P889" t="n">
        <v>0</v>
      </c>
      <c r="Q889" t="n">
        <v>0</v>
      </c>
      <c r="R889" s="2" t="inlineStr"/>
    </row>
    <row r="890" ht="15" customHeight="1">
      <c r="A890" t="inlineStr">
        <is>
          <t>A 10090-2022</t>
        </is>
      </c>
      <c r="B890" s="1" t="n">
        <v>44621</v>
      </c>
      <c r="C890" s="1" t="n">
        <v>45917</v>
      </c>
      <c r="D890" t="inlineStr">
        <is>
          <t>STOCKHOLMS LÄN</t>
        </is>
      </c>
      <c r="E890" t="inlineStr">
        <is>
          <t>NORRTÄLJE</t>
        </is>
      </c>
      <c r="G890" t="n">
        <v>5.2</v>
      </c>
      <c r="H890" t="n">
        <v>0</v>
      </c>
      <c r="I890" t="n">
        <v>0</v>
      </c>
      <c r="J890" t="n">
        <v>0</v>
      </c>
      <c r="K890" t="n">
        <v>0</v>
      </c>
      <c r="L890" t="n">
        <v>0</v>
      </c>
      <c r="M890" t="n">
        <v>0</v>
      </c>
      <c r="N890" t="n">
        <v>0</v>
      </c>
      <c r="O890" t="n">
        <v>0</v>
      </c>
      <c r="P890" t="n">
        <v>0</v>
      </c>
      <c r="Q890" t="n">
        <v>0</v>
      </c>
      <c r="R890" s="2" t="inlineStr"/>
    </row>
    <row r="891" ht="15" customHeight="1">
      <c r="A891" t="inlineStr">
        <is>
          <t>A 13785-2024</t>
        </is>
      </c>
      <c r="B891" s="1" t="n">
        <v>45391.3395949074</v>
      </c>
      <c r="C891" s="1" t="n">
        <v>45917</v>
      </c>
      <c r="D891" t="inlineStr">
        <is>
          <t>STOCKHOLMS LÄN</t>
        </is>
      </c>
      <c r="E891" t="inlineStr">
        <is>
          <t>NORRTÄLJE</t>
        </is>
      </c>
      <c r="G891" t="n">
        <v>5</v>
      </c>
      <c r="H891" t="n">
        <v>0</v>
      </c>
      <c r="I891" t="n">
        <v>0</v>
      </c>
      <c r="J891" t="n">
        <v>0</v>
      </c>
      <c r="K891" t="n">
        <v>0</v>
      </c>
      <c r="L891" t="n">
        <v>0</v>
      </c>
      <c r="M891" t="n">
        <v>0</v>
      </c>
      <c r="N891" t="n">
        <v>0</v>
      </c>
      <c r="O891" t="n">
        <v>0</v>
      </c>
      <c r="P891" t="n">
        <v>0</v>
      </c>
      <c r="Q891" t="n">
        <v>0</v>
      </c>
      <c r="R891" s="2" t="inlineStr"/>
    </row>
    <row r="892" ht="15" customHeight="1">
      <c r="A892" t="inlineStr">
        <is>
          <t>A 51116-2022</t>
        </is>
      </c>
      <c r="B892" s="1" t="n">
        <v>44868.45741898148</v>
      </c>
      <c r="C892" s="1" t="n">
        <v>45917</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29972-2024</t>
        </is>
      </c>
      <c r="B893" s="1" t="n">
        <v>45485</v>
      </c>
      <c r="C893" s="1" t="n">
        <v>45917</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27381-2024</t>
        </is>
      </c>
      <c r="B894" s="1" t="n">
        <v>45473.94501157408</v>
      </c>
      <c r="C894" s="1" t="n">
        <v>45917</v>
      </c>
      <c r="D894" t="inlineStr">
        <is>
          <t>STOCKHOLMS LÄN</t>
        </is>
      </c>
      <c r="E894" t="inlineStr">
        <is>
          <t>NORRTÄLJE</t>
        </is>
      </c>
      <c r="G894" t="n">
        <v>4.5</v>
      </c>
      <c r="H894" t="n">
        <v>0</v>
      </c>
      <c r="I894" t="n">
        <v>0</v>
      </c>
      <c r="J894" t="n">
        <v>0</v>
      </c>
      <c r="K894" t="n">
        <v>0</v>
      </c>
      <c r="L894" t="n">
        <v>0</v>
      </c>
      <c r="M894" t="n">
        <v>0</v>
      </c>
      <c r="N894" t="n">
        <v>0</v>
      </c>
      <c r="O894" t="n">
        <v>0</v>
      </c>
      <c r="P894" t="n">
        <v>0</v>
      </c>
      <c r="Q894" t="n">
        <v>0</v>
      </c>
      <c r="R894" s="2" t="inlineStr"/>
    </row>
    <row r="895" ht="15" customHeight="1">
      <c r="A895" t="inlineStr">
        <is>
          <t>A 60529-2023</t>
        </is>
      </c>
      <c r="B895" s="1" t="n">
        <v>45259</v>
      </c>
      <c r="C895" s="1" t="n">
        <v>45917</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28809-2023</t>
        </is>
      </c>
      <c r="B896" s="1" t="n">
        <v>45104</v>
      </c>
      <c r="C896" s="1" t="n">
        <v>45917</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28813-2023</t>
        </is>
      </c>
      <c r="B897" s="1" t="n">
        <v>45104</v>
      </c>
      <c r="C897" s="1" t="n">
        <v>45917</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19131-2025</t>
        </is>
      </c>
      <c r="B898" s="1" t="n">
        <v>45769</v>
      </c>
      <c r="C898" s="1" t="n">
        <v>45917</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59326-2023</t>
        </is>
      </c>
      <c r="B899" s="1" t="n">
        <v>45253.63089120371</v>
      </c>
      <c r="C899" s="1" t="n">
        <v>45917</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20790-2025</t>
        </is>
      </c>
      <c r="B900" s="1" t="n">
        <v>45776.62563657408</v>
      </c>
      <c r="C900" s="1" t="n">
        <v>45917</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11929-2024</t>
        </is>
      </c>
      <c r="B901" s="1" t="n">
        <v>45376.64532407407</v>
      </c>
      <c r="C901" s="1" t="n">
        <v>45917</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3152-2024</t>
        </is>
      </c>
      <c r="B902" s="1" t="n">
        <v>45316.60306712963</v>
      </c>
      <c r="C902" s="1" t="n">
        <v>45917</v>
      </c>
      <c r="D902" t="inlineStr">
        <is>
          <t>STOCKHOLMS LÄN</t>
        </is>
      </c>
      <c r="E902" t="inlineStr">
        <is>
          <t>NORRTÄLJE</t>
        </is>
      </c>
      <c r="G902" t="n">
        <v>7.9</v>
      </c>
      <c r="H902" t="n">
        <v>0</v>
      </c>
      <c r="I902" t="n">
        <v>0</v>
      </c>
      <c r="J902" t="n">
        <v>0</v>
      </c>
      <c r="K902" t="n">
        <v>0</v>
      </c>
      <c r="L902" t="n">
        <v>0</v>
      </c>
      <c r="M902" t="n">
        <v>0</v>
      </c>
      <c r="N902" t="n">
        <v>0</v>
      </c>
      <c r="O902" t="n">
        <v>0</v>
      </c>
      <c r="P902" t="n">
        <v>0</v>
      </c>
      <c r="Q902" t="n">
        <v>0</v>
      </c>
      <c r="R902" s="2" t="inlineStr"/>
    </row>
    <row r="903" ht="15" customHeight="1">
      <c r="A903" t="inlineStr">
        <is>
          <t>A 20699-2025</t>
        </is>
      </c>
      <c r="B903" s="1" t="n">
        <v>45776.47346064815</v>
      </c>
      <c r="C903" s="1" t="n">
        <v>45917</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20692-2025</t>
        </is>
      </c>
      <c r="B904" s="1" t="n">
        <v>45776.46369212963</v>
      </c>
      <c r="C904" s="1" t="n">
        <v>45917</v>
      </c>
      <c r="D904" t="inlineStr">
        <is>
          <t>STOCKHOLMS LÄN</t>
        </is>
      </c>
      <c r="E904" t="inlineStr">
        <is>
          <t>NORRTÄLJE</t>
        </is>
      </c>
      <c r="G904" t="n">
        <v>2.1</v>
      </c>
      <c r="H904" t="n">
        <v>0</v>
      </c>
      <c r="I904" t="n">
        <v>0</v>
      </c>
      <c r="J904" t="n">
        <v>0</v>
      </c>
      <c r="K904" t="n">
        <v>0</v>
      </c>
      <c r="L904" t="n">
        <v>0</v>
      </c>
      <c r="M904" t="n">
        <v>0</v>
      </c>
      <c r="N904" t="n">
        <v>0</v>
      </c>
      <c r="O904" t="n">
        <v>0</v>
      </c>
      <c r="P904" t="n">
        <v>0</v>
      </c>
      <c r="Q904" t="n">
        <v>0</v>
      </c>
      <c r="R904" s="2" t="inlineStr"/>
    </row>
    <row r="905" ht="15" customHeight="1">
      <c r="A905" t="inlineStr">
        <is>
          <t>A 64145-2021</t>
        </is>
      </c>
      <c r="B905" s="1" t="n">
        <v>44510</v>
      </c>
      <c r="C905" s="1" t="n">
        <v>45917</v>
      </c>
      <c r="D905" t="inlineStr">
        <is>
          <t>STOCKHOLMS LÄN</t>
        </is>
      </c>
      <c r="E905" t="inlineStr">
        <is>
          <t>NORRTÄLJE</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20779-2025</t>
        </is>
      </c>
      <c r="B906" s="1" t="n">
        <v>45776.59871527777</v>
      </c>
      <c r="C906" s="1" t="n">
        <v>45917</v>
      </c>
      <c r="D906" t="inlineStr">
        <is>
          <t>STOCKHOLMS LÄN</t>
        </is>
      </c>
      <c r="E906" t="inlineStr">
        <is>
          <t>NORRTÄLJE</t>
        </is>
      </c>
      <c r="G906" t="n">
        <v>6.9</v>
      </c>
      <c r="H906" t="n">
        <v>0</v>
      </c>
      <c r="I906" t="n">
        <v>0</v>
      </c>
      <c r="J906" t="n">
        <v>0</v>
      </c>
      <c r="K906" t="n">
        <v>0</v>
      </c>
      <c r="L906" t="n">
        <v>0</v>
      </c>
      <c r="M906" t="n">
        <v>0</v>
      </c>
      <c r="N906" t="n">
        <v>0</v>
      </c>
      <c r="O906" t="n">
        <v>0</v>
      </c>
      <c r="P906" t="n">
        <v>0</v>
      </c>
      <c r="Q906" t="n">
        <v>0</v>
      </c>
      <c r="R906" s="2" t="inlineStr"/>
    </row>
    <row r="907" ht="15" customHeight="1">
      <c r="A907" t="inlineStr">
        <is>
          <t>A 45451-2024</t>
        </is>
      </c>
      <c r="B907" s="1" t="n">
        <v>45576</v>
      </c>
      <c r="C907" s="1" t="n">
        <v>45917</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44836-2023</t>
        </is>
      </c>
      <c r="B908" s="1" t="n">
        <v>45190.55609953704</v>
      </c>
      <c r="C908" s="1" t="n">
        <v>45917</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49327-2020</t>
        </is>
      </c>
      <c r="B909" s="1" t="n">
        <v>44105</v>
      </c>
      <c r="C909" s="1" t="n">
        <v>45917</v>
      </c>
      <c r="D909" t="inlineStr">
        <is>
          <t>STOCKHOLMS LÄN</t>
        </is>
      </c>
      <c r="E909" t="inlineStr">
        <is>
          <t>NORRTÄLJE</t>
        </is>
      </c>
      <c r="G909" t="n">
        <v>0.8</v>
      </c>
      <c r="H909" t="n">
        <v>0</v>
      </c>
      <c r="I909" t="n">
        <v>0</v>
      </c>
      <c r="J909" t="n">
        <v>0</v>
      </c>
      <c r="K909" t="n">
        <v>0</v>
      </c>
      <c r="L909" t="n">
        <v>0</v>
      </c>
      <c r="M909" t="n">
        <v>0</v>
      </c>
      <c r="N909" t="n">
        <v>0</v>
      </c>
      <c r="O909" t="n">
        <v>0</v>
      </c>
      <c r="P909" t="n">
        <v>0</v>
      </c>
      <c r="Q909" t="n">
        <v>0</v>
      </c>
      <c r="R909" s="2" t="inlineStr"/>
    </row>
    <row r="910" ht="15" customHeight="1">
      <c r="A910" t="inlineStr">
        <is>
          <t>A 17843-2024</t>
        </is>
      </c>
      <c r="B910" s="1" t="n">
        <v>45418</v>
      </c>
      <c r="C910" s="1" t="n">
        <v>45917</v>
      </c>
      <c r="D910" t="inlineStr">
        <is>
          <t>STOCKHOLMS LÄN</t>
        </is>
      </c>
      <c r="E910" t="inlineStr">
        <is>
          <t>NORRTÄLJE</t>
        </is>
      </c>
      <c r="G910" t="n">
        <v>5.4</v>
      </c>
      <c r="H910" t="n">
        <v>0</v>
      </c>
      <c r="I910" t="n">
        <v>0</v>
      </c>
      <c r="J910" t="n">
        <v>0</v>
      </c>
      <c r="K910" t="n">
        <v>0</v>
      </c>
      <c r="L910" t="n">
        <v>0</v>
      </c>
      <c r="M910" t="n">
        <v>0</v>
      </c>
      <c r="N910" t="n">
        <v>0</v>
      </c>
      <c r="O910" t="n">
        <v>0</v>
      </c>
      <c r="P910" t="n">
        <v>0</v>
      </c>
      <c r="Q910" t="n">
        <v>0</v>
      </c>
      <c r="R910" s="2" t="inlineStr"/>
    </row>
    <row r="911" ht="15" customHeight="1">
      <c r="A911" t="inlineStr">
        <is>
          <t>A 12890-2024</t>
        </is>
      </c>
      <c r="B911" s="1" t="n">
        <v>45385.36243055556</v>
      </c>
      <c r="C911" s="1" t="n">
        <v>45917</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29841-2024</t>
        </is>
      </c>
      <c r="B912" s="1" t="n">
        <v>45485.60261574074</v>
      </c>
      <c r="C912" s="1" t="n">
        <v>45917</v>
      </c>
      <c r="D912" t="inlineStr">
        <is>
          <t>STOCKHOLMS LÄN</t>
        </is>
      </c>
      <c r="E912" t="inlineStr">
        <is>
          <t>NORRTÄLJE</t>
        </is>
      </c>
      <c r="G912" t="n">
        <v>15.9</v>
      </c>
      <c r="H912" t="n">
        <v>0</v>
      </c>
      <c r="I912" t="n">
        <v>0</v>
      </c>
      <c r="J912" t="n">
        <v>0</v>
      </c>
      <c r="K912" t="n">
        <v>0</v>
      </c>
      <c r="L912" t="n">
        <v>0</v>
      </c>
      <c r="M912" t="n">
        <v>0</v>
      </c>
      <c r="N912" t="n">
        <v>0</v>
      </c>
      <c r="O912" t="n">
        <v>0</v>
      </c>
      <c r="P912" t="n">
        <v>0</v>
      </c>
      <c r="Q912" t="n">
        <v>0</v>
      </c>
      <c r="R912" s="2" t="inlineStr"/>
    </row>
    <row r="913" ht="15" customHeight="1">
      <c r="A913" t="inlineStr">
        <is>
          <t>A 36430-2024</t>
        </is>
      </c>
      <c r="B913" s="1" t="n">
        <v>45536</v>
      </c>
      <c r="C913" s="1" t="n">
        <v>45917</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41172-2023</t>
        </is>
      </c>
      <c r="B914" s="1" t="n">
        <v>45170</v>
      </c>
      <c r="C914" s="1" t="n">
        <v>45917</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21771-2025</t>
        </is>
      </c>
      <c r="B915" s="1" t="n">
        <v>45783</v>
      </c>
      <c r="C915" s="1" t="n">
        <v>45917</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67921-2021</t>
        </is>
      </c>
      <c r="B916" s="1" t="n">
        <v>44525</v>
      </c>
      <c r="C916" s="1" t="n">
        <v>45917</v>
      </c>
      <c r="D916" t="inlineStr">
        <is>
          <t>STOCKHOLMS LÄN</t>
        </is>
      </c>
      <c r="E916" t="inlineStr">
        <is>
          <t>NORRTÄLJE</t>
        </is>
      </c>
      <c r="G916" t="n">
        <v>6.3</v>
      </c>
      <c r="H916" t="n">
        <v>0</v>
      </c>
      <c r="I916" t="n">
        <v>0</v>
      </c>
      <c r="J916" t="n">
        <v>0</v>
      </c>
      <c r="K916" t="n">
        <v>0</v>
      </c>
      <c r="L916" t="n">
        <v>0</v>
      </c>
      <c r="M916" t="n">
        <v>0</v>
      </c>
      <c r="N916" t="n">
        <v>0</v>
      </c>
      <c r="O916" t="n">
        <v>0</v>
      </c>
      <c r="P916" t="n">
        <v>0</v>
      </c>
      <c r="Q916" t="n">
        <v>0</v>
      </c>
      <c r="R916" s="2" t="inlineStr"/>
    </row>
    <row r="917" ht="15" customHeight="1">
      <c r="A917" t="inlineStr">
        <is>
          <t>A 72704-2021</t>
        </is>
      </c>
      <c r="B917" s="1" t="n">
        <v>44546</v>
      </c>
      <c r="C917" s="1" t="n">
        <v>45917</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65499-2021</t>
        </is>
      </c>
      <c r="B918" s="1" t="n">
        <v>44516</v>
      </c>
      <c r="C918" s="1" t="n">
        <v>45917</v>
      </c>
      <c r="D918" t="inlineStr">
        <is>
          <t>STOCKHOLMS LÄN</t>
        </is>
      </c>
      <c r="E918" t="inlineStr">
        <is>
          <t>NORRTÄLJE</t>
        </is>
      </c>
      <c r="F918" t="inlineStr">
        <is>
          <t>Kommuner</t>
        </is>
      </c>
      <c r="G918" t="n">
        <v>5.2</v>
      </c>
      <c r="H918" t="n">
        <v>0</v>
      </c>
      <c r="I918" t="n">
        <v>0</v>
      </c>
      <c r="J918" t="n">
        <v>0</v>
      </c>
      <c r="K918" t="n">
        <v>0</v>
      </c>
      <c r="L918" t="n">
        <v>0</v>
      </c>
      <c r="M918" t="n">
        <v>0</v>
      </c>
      <c r="N918" t="n">
        <v>0</v>
      </c>
      <c r="O918" t="n">
        <v>0</v>
      </c>
      <c r="P918" t="n">
        <v>0</v>
      </c>
      <c r="Q918" t="n">
        <v>0</v>
      </c>
      <c r="R918" s="2" t="inlineStr"/>
    </row>
    <row r="919" ht="15" customHeight="1">
      <c r="A919" t="inlineStr">
        <is>
          <t>A 65511-2021</t>
        </is>
      </c>
      <c r="B919" s="1" t="n">
        <v>44516.40674768519</v>
      </c>
      <c r="C919" s="1" t="n">
        <v>45917</v>
      </c>
      <c r="D919" t="inlineStr">
        <is>
          <t>STOCKHOLMS LÄN</t>
        </is>
      </c>
      <c r="E919" t="inlineStr">
        <is>
          <t>NORRTÄLJE</t>
        </is>
      </c>
      <c r="F919" t="inlineStr">
        <is>
          <t>Kommuner</t>
        </is>
      </c>
      <c r="G919" t="n">
        <v>2.8</v>
      </c>
      <c r="H919" t="n">
        <v>0</v>
      </c>
      <c r="I919" t="n">
        <v>0</v>
      </c>
      <c r="J919" t="n">
        <v>0</v>
      </c>
      <c r="K919" t="n">
        <v>0</v>
      </c>
      <c r="L919" t="n">
        <v>0</v>
      </c>
      <c r="M919" t="n">
        <v>0</v>
      </c>
      <c r="N919" t="n">
        <v>0</v>
      </c>
      <c r="O919" t="n">
        <v>0</v>
      </c>
      <c r="P919" t="n">
        <v>0</v>
      </c>
      <c r="Q919" t="n">
        <v>0</v>
      </c>
      <c r="R919" s="2" t="inlineStr"/>
    </row>
    <row r="920" ht="15" customHeight="1">
      <c r="A920" t="inlineStr">
        <is>
          <t>A 26113-2024</t>
        </is>
      </c>
      <c r="B920" s="1" t="n">
        <v>45468.45541666666</v>
      </c>
      <c r="C920" s="1" t="n">
        <v>45917</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26116-2024</t>
        </is>
      </c>
      <c r="B921" s="1" t="n">
        <v>45468.45747685185</v>
      </c>
      <c r="C921" s="1" t="n">
        <v>45917</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52686-2024</t>
        </is>
      </c>
      <c r="B922" s="1" t="n">
        <v>45610.39271990741</v>
      </c>
      <c r="C922" s="1" t="n">
        <v>45917</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21778-2025</t>
        </is>
      </c>
      <c r="B923" s="1" t="n">
        <v>45783.66429398148</v>
      </c>
      <c r="C923" s="1" t="n">
        <v>45917</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31105-2022</t>
        </is>
      </c>
      <c r="B924" s="1" t="n">
        <v>44769.66039351852</v>
      </c>
      <c r="C924" s="1" t="n">
        <v>45917</v>
      </c>
      <c r="D924" t="inlineStr">
        <is>
          <t>STOCKHOLMS LÄN</t>
        </is>
      </c>
      <c r="E924" t="inlineStr">
        <is>
          <t>NORRTÄLJE</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12902-2024</t>
        </is>
      </c>
      <c r="B925" s="1" t="n">
        <v>45385.38146990741</v>
      </c>
      <c r="C925" s="1" t="n">
        <v>45917</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39237-2024</t>
        </is>
      </c>
      <c r="B926" s="1" t="n">
        <v>45549</v>
      </c>
      <c r="C926" s="1" t="n">
        <v>45917</v>
      </c>
      <c r="D926" t="inlineStr">
        <is>
          <t>STOCKHOLMS LÄN</t>
        </is>
      </c>
      <c r="E926" t="inlineStr">
        <is>
          <t>NORRTÄLJE</t>
        </is>
      </c>
      <c r="G926" t="n">
        <v>13.3</v>
      </c>
      <c r="H926" t="n">
        <v>0</v>
      </c>
      <c r="I926" t="n">
        <v>0</v>
      </c>
      <c r="J926" t="n">
        <v>0</v>
      </c>
      <c r="K926" t="n">
        <v>0</v>
      </c>
      <c r="L926" t="n">
        <v>0</v>
      </c>
      <c r="M926" t="n">
        <v>0</v>
      </c>
      <c r="N926" t="n">
        <v>0</v>
      </c>
      <c r="O926" t="n">
        <v>0</v>
      </c>
      <c r="P926" t="n">
        <v>0</v>
      </c>
      <c r="Q926" t="n">
        <v>0</v>
      </c>
      <c r="R926" s="2" t="inlineStr"/>
    </row>
    <row r="927" ht="15" customHeight="1">
      <c r="A927" t="inlineStr">
        <is>
          <t>A 62644-2023</t>
        </is>
      </c>
      <c r="B927" s="1" t="n">
        <v>45271</v>
      </c>
      <c r="C927" s="1" t="n">
        <v>45917</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44891-2023</t>
        </is>
      </c>
      <c r="B928" s="1" t="n">
        <v>45187</v>
      </c>
      <c r="C928" s="1" t="n">
        <v>45917</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60185-2024</t>
        </is>
      </c>
      <c r="B929" s="1" t="n">
        <v>45642.64634259259</v>
      </c>
      <c r="C929" s="1" t="n">
        <v>45917</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13268-2025</t>
        </is>
      </c>
      <c r="B930" s="1" t="n">
        <v>45735</v>
      </c>
      <c r="C930" s="1" t="n">
        <v>45917</v>
      </c>
      <c r="D930" t="inlineStr">
        <is>
          <t>STOCKHOLMS LÄN</t>
        </is>
      </c>
      <c r="E930" t="inlineStr">
        <is>
          <t>NORRTÄLJE</t>
        </is>
      </c>
      <c r="G930" t="n">
        <v>11.4</v>
      </c>
      <c r="H930" t="n">
        <v>0</v>
      </c>
      <c r="I930" t="n">
        <v>0</v>
      </c>
      <c r="J930" t="n">
        <v>0</v>
      </c>
      <c r="K930" t="n">
        <v>0</v>
      </c>
      <c r="L930" t="n">
        <v>0</v>
      </c>
      <c r="M930" t="n">
        <v>0</v>
      </c>
      <c r="N930" t="n">
        <v>0</v>
      </c>
      <c r="O930" t="n">
        <v>0</v>
      </c>
      <c r="P930" t="n">
        <v>0</v>
      </c>
      <c r="Q930" t="n">
        <v>0</v>
      </c>
      <c r="R930" s="2" t="inlineStr"/>
    </row>
    <row r="931" ht="15" customHeight="1">
      <c r="A931" t="inlineStr">
        <is>
          <t>A 60765-2023</t>
        </is>
      </c>
      <c r="B931" s="1" t="n">
        <v>45260</v>
      </c>
      <c r="C931" s="1" t="n">
        <v>45917</v>
      </c>
      <c r="D931" t="inlineStr">
        <is>
          <t>STOCKHOLMS LÄN</t>
        </is>
      </c>
      <c r="E931" t="inlineStr">
        <is>
          <t>NORRTÄLJE</t>
        </is>
      </c>
      <c r="G931" t="n">
        <v>3.7</v>
      </c>
      <c r="H931" t="n">
        <v>0</v>
      </c>
      <c r="I931" t="n">
        <v>0</v>
      </c>
      <c r="J931" t="n">
        <v>0</v>
      </c>
      <c r="K931" t="n">
        <v>0</v>
      </c>
      <c r="L931" t="n">
        <v>0</v>
      </c>
      <c r="M931" t="n">
        <v>0</v>
      </c>
      <c r="N931" t="n">
        <v>0</v>
      </c>
      <c r="O931" t="n">
        <v>0</v>
      </c>
      <c r="P931" t="n">
        <v>0</v>
      </c>
      <c r="Q931" t="n">
        <v>0</v>
      </c>
      <c r="R931" s="2" t="inlineStr"/>
    </row>
    <row r="932" ht="15" customHeight="1">
      <c r="A932" t="inlineStr">
        <is>
          <t>A 8414-2025</t>
        </is>
      </c>
      <c r="B932" s="1" t="n">
        <v>45709.39361111111</v>
      </c>
      <c r="C932" s="1" t="n">
        <v>45917</v>
      </c>
      <c r="D932" t="inlineStr">
        <is>
          <t>STOCKHOLMS LÄN</t>
        </is>
      </c>
      <c r="E932" t="inlineStr">
        <is>
          <t>NORRTÄLJE</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12268-2022</t>
        </is>
      </c>
      <c r="B933" s="1" t="n">
        <v>44637</v>
      </c>
      <c r="C933" s="1" t="n">
        <v>45917</v>
      </c>
      <c r="D933" t="inlineStr">
        <is>
          <t>STOCKHOLMS LÄN</t>
        </is>
      </c>
      <c r="E933" t="inlineStr">
        <is>
          <t>NORRTÄLJE</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22832-2021</t>
        </is>
      </c>
      <c r="B934" s="1" t="n">
        <v>44325</v>
      </c>
      <c r="C934" s="1" t="n">
        <v>45917</v>
      </c>
      <c r="D934" t="inlineStr">
        <is>
          <t>STOCKHOLMS LÄN</t>
        </is>
      </c>
      <c r="E934" t="inlineStr">
        <is>
          <t>NORRTÄLJE</t>
        </is>
      </c>
      <c r="G934" t="n">
        <v>6.8</v>
      </c>
      <c r="H934" t="n">
        <v>0</v>
      </c>
      <c r="I934" t="n">
        <v>0</v>
      </c>
      <c r="J934" t="n">
        <v>0</v>
      </c>
      <c r="K934" t="n">
        <v>0</v>
      </c>
      <c r="L934" t="n">
        <v>0</v>
      </c>
      <c r="M934" t="n">
        <v>0</v>
      </c>
      <c r="N934" t="n">
        <v>0</v>
      </c>
      <c r="O934" t="n">
        <v>0</v>
      </c>
      <c r="P934" t="n">
        <v>0</v>
      </c>
      <c r="Q934" t="n">
        <v>0</v>
      </c>
      <c r="R934" s="2" t="inlineStr"/>
    </row>
    <row r="935" ht="15" customHeight="1">
      <c r="A935" t="inlineStr">
        <is>
          <t>A 51315-2021</t>
        </is>
      </c>
      <c r="B935" s="1" t="n">
        <v>44461</v>
      </c>
      <c r="C935" s="1" t="n">
        <v>45917</v>
      </c>
      <c r="D935" t="inlineStr">
        <is>
          <t>STOCKHOLMS LÄN</t>
        </is>
      </c>
      <c r="E935" t="inlineStr">
        <is>
          <t>NORRTÄLJE</t>
        </is>
      </c>
      <c r="F935" t="inlineStr">
        <is>
          <t>Holmen skog AB</t>
        </is>
      </c>
      <c r="G935" t="n">
        <v>2.2</v>
      </c>
      <c r="H935" t="n">
        <v>0</v>
      </c>
      <c r="I935" t="n">
        <v>0</v>
      </c>
      <c r="J935" t="n">
        <v>0</v>
      </c>
      <c r="K935" t="n">
        <v>0</v>
      </c>
      <c r="L935" t="n">
        <v>0</v>
      </c>
      <c r="M935" t="n">
        <v>0</v>
      </c>
      <c r="N935" t="n">
        <v>0</v>
      </c>
      <c r="O935" t="n">
        <v>0</v>
      </c>
      <c r="P935" t="n">
        <v>0</v>
      </c>
      <c r="Q935" t="n">
        <v>0</v>
      </c>
      <c r="R935" s="2" t="inlineStr"/>
    </row>
    <row r="936" ht="15" customHeight="1">
      <c r="A936" t="inlineStr">
        <is>
          <t>A 44032-2024</t>
        </is>
      </c>
      <c r="B936" s="1" t="n">
        <v>45572.57828703704</v>
      </c>
      <c r="C936" s="1" t="n">
        <v>45917</v>
      </c>
      <c r="D936" t="inlineStr">
        <is>
          <t>STOCKHOLMS LÄN</t>
        </is>
      </c>
      <c r="E936" t="inlineStr">
        <is>
          <t>NORRTÄLJE</t>
        </is>
      </c>
      <c r="G936" t="n">
        <v>8.6</v>
      </c>
      <c r="H936" t="n">
        <v>0</v>
      </c>
      <c r="I936" t="n">
        <v>0</v>
      </c>
      <c r="J936" t="n">
        <v>0</v>
      </c>
      <c r="K936" t="n">
        <v>0</v>
      </c>
      <c r="L936" t="n">
        <v>0</v>
      </c>
      <c r="M936" t="n">
        <v>0</v>
      </c>
      <c r="N936" t="n">
        <v>0</v>
      </c>
      <c r="O936" t="n">
        <v>0</v>
      </c>
      <c r="P936" t="n">
        <v>0</v>
      </c>
      <c r="Q936" t="n">
        <v>0</v>
      </c>
      <c r="R936" s="2" t="inlineStr"/>
    </row>
    <row r="937" ht="15" customHeight="1">
      <c r="A937" t="inlineStr">
        <is>
          <t>A 24563-2024</t>
        </is>
      </c>
      <c r="B937" s="1" t="n">
        <v>45460.44347222222</v>
      </c>
      <c r="C937" s="1" t="n">
        <v>45917</v>
      </c>
      <c r="D937" t="inlineStr">
        <is>
          <t>STOCKHOLMS LÄN</t>
        </is>
      </c>
      <c r="E937" t="inlineStr">
        <is>
          <t>NORRTÄLJE</t>
        </is>
      </c>
      <c r="G937" t="n">
        <v>1.9</v>
      </c>
      <c r="H937" t="n">
        <v>0</v>
      </c>
      <c r="I937" t="n">
        <v>0</v>
      </c>
      <c r="J937" t="n">
        <v>0</v>
      </c>
      <c r="K937" t="n">
        <v>0</v>
      </c>
      <c r="L937" t="n">
        <v>0</v>
      </c>
      <c r="M937" t="n">
        <v>0</v>
      </c>
      <c r="N937" t="n">
        <v>0</v>
      </c>
      <c r="O937" t="n">
        <v>0</v>
      </c>
      <c r="P937" t="n">
        <v>0</v>
      </c>
      <c r="Q937" t="n">
        <v>0</v>
      </c>
      <c r="R937" s="2" t="inlineStr"/>
    </row>
    <row r="938" ht="15" customHeight="1">
      <c r="A938" t="inlineStr">
        <is>
          <t>A 22202-2025</t>
        </is>
      </c>
      <c r="B938" s="1" t="n">
        <v>45785.65300925926</v>
      </c>
      <c r="C938" s="1" t="n">
        <v>45917</v>
      </c>
      <c r="D938" t="inlineStr">
        <is>
          <t>STOCKHOLMS LÄN</t>
        </is>
      </c>
      <c r="E938" t="inlineStr">
        <is>
          <t>NORRTÄLJE</t>
        </is>
      </c>
      <c r="G938" t="n">
        <v>10.2</v>
      </c>
      <c r="H938" t="n">
        <v>0</v>
      </c>
      <c r="I938" t="n">
        <v>0</v>
      </c>
      <c r="J938" t="n">
        <v>0</v>
      </c>
      <c r="K938" t="n">
        <v>0</v>
      </c>
      <c r="L938" t="n">
        <v>0</v>
      </c>
      <c r="M938" t="n">
        <v>0</v>
      </c>
      <c r="N938" t="n">
        <v>0</v>
      </c>
      <c r="O938" t="n">
        <v>0</v>
      </c>
      <c r="P938" t="n">
        <v>0</v>
      </c>
      <c r="Q938" t="n">
        <v>0</v>
      </c>
      <c r="R938" s="2" t="inlineStr"/>
    </row>
    <row r="939" ht="15" customHeight="1">
      <c r="A939" t="inlineStr">
        <is>
          <t>A 36625-2024</t>
        </is>
      </c>
      <c r="B939" s="1" t="n">
        <v>45537</v>
      </c>
      <c r="C939" s="1" t="n">
        <v>45917</v>
      </c>
      <c r="D939" t="inlineStr">
        <is>
          <t>STOCKHOLMS LÄN</t>
        </is>
      </c>
      <c r="E939" t="inlineStr">
        <is>
          <t>NORRTÄLJE</t>
        </is>
      </c>
      <c r="G939" t="n">
        <v>3.8</v>
      </c>
      <c r="H939" t="n">
        <v>0</v>
      </c>
      <c r="I939" t="n">
        <v>0</v>
      </c>
      <c r="J939" t="n">
        <v>0</v>
      </c>
      <c r="K939" t="n">
        <v>0</v>
      </c>
      <c r="L939" t="n">
        <v>0</v>
      </c>
      <c r="M939" t="n">
        <v>0</v>
      </c>
      <c r="N939" t="n">
        <v>0</v>
      </c>
      <c r="O939" t="n">
        <v>0</v>
      </c>
      <c r="P939" t="n">
        <v>0</v>
      </c>
      <c r="Q939" t="n">
        <v>0</v>
      </c>
      <c r="R939" s="2" t="inlineStr"/>
    </row>
    <row r="940" ht="15" customHeight="1">
      <c r="A940" t="inlineStr">
        <is>
          <t>A 45746-2024</t>
        </is>
      </c>
      <c r="B940" s="1" t="n">
        <v>45579</v>
      </c>
      <c r="C940" s="1" t="n">
        <v>45917</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30719-2025</t>
        </is>
      </c>
      <c r="B941" s="1" t="n">
        <v>45831.56521990741</v>
      </c>
      <c r="C941" s="1" t="n">
        <v>45917</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8400-2024</t>
        </is>
      </c>
      <c r="B942" s="1" t="n">
        <v>45352.74090277778</v>
      </c>
      <c r="C942" s="1" t="n">
        <v>45917</v>
      </c>
      <c r="D942" t="inlineStr">
        <is>
          <t>STOCKHOLMS LÄN</t>
        </is>
      </c>
      <c r="E942" t="inlineStr">
        <is>
          <t>NORRTÄLJE</t>
        </is>
      </c>
      <c r="G942" t="n">
        <v>4.7</v>
      </c>
      <c r="H942" t="n">
        <v>0</v>
      </c>
      <c r="I942" t="n">
        <v>0</v>
      </c>
      <c r="J942" t="n">
        <v>0</v>
      </c>
      <c r="K942" t="n">
        <v>0</v>
      </c>
      <c r="L942" t="n">
        <v>0</v>
      </c>
      <c r="M942" t="n">
        <v>0</v>
      </c>
      <c r="N942" t="n">
        <v>0</v>
      </c>
      <c r="O942" t="n">
        <v>0</v>
      </c>
      <c r="P942" t="n">
        <v>0</v>
      </c>
      <c r="Q942" t="n">
        <v>0</v>
      </c>
      <c r="R942" s="2" t="inlineStr"/>
    </row>
    <row r="943" ht="15" customHeight="1">
      <c r="A943" t="inlineStr">
        <is>
          <t>A 2182-2022</t>
        </is>
      </c>
      <c r="B943" s="1" t="n">
        <v>44578</v>
      </c>
      <c r="C943" s="1" t="n">
        <v>45917</v>
      </c>
      <c r="D943" t="inlineStr">
        <is>
          <t>STOCKHOLMS LÄN</t>
        </is>
      </c>
      <c r="E943" t="inlineStr">
        <is>
          <t>NORRTÄLJE</t>
        </is>
      </c>
      <c r="G943" t="n">
        <v>7.2</v>
      </c>
      <c r="H943" t="n">
        <v>0</v>
      </c>
      <c r="I943" t="n">
        <v>0</v>
      </c>
      <c r="J943" t="n">
        <v>0</v>
      </c>
      <c r="K943" t="n">
        <v>0</v>
      </c>
      <c r="L943" t="n">
        <v>0</v>
      </c>
      <c r="M943" t="n">
        <v>0</v>
      </c>
      <c r="N943" t="n">
        <v>0</v>
      </c>
      <c r="O943" t="n">
        <v>0</v>
      </c>
      <c r="P943" t="n">
        <v>0</v>
      </c>
      <c r="Q943" t="n">
        <v>0</v>
      </c>
      <c r="R943" s="2" t="inlineStr"/>
    </row>
    <row r="944" ht="15" customHeight="1">
      <c r="A944" t="inlineStr">
        <is>
          <t>A 16620-2024</t>
        </is>
      </c>
      <c r="B944" s="1" t="n">
        <v>45408.57707175926</v>
      </c>
      <c r="C944" s="1" t="n">
        <v>45917</v>
      </c>
      <c r="D944" t="inlineStr">
        <is>
          <t>STOCKHOLMS LÄN</t>
        </is>
      </c>
      <c r="E944" t="inlineStr">
        <is>
          <t>NORRTÄLJE</t>
        </is>
      </c>
      <c r="G944" t="n">
        <v>2.7</v>
      </c>
      <c r="H944" t="n">
        <v>0</v>
      </c>
      <c r="I944" t="n">
        <v>0</v>
      </c>
      <c r="J944" t="n">
        <v>0</v>
      </c>
      <c r="K944" t="n">
        <v>0</v>
      </c>
      <c r="L944" t="n">
        <v>0</v>
      </c>
      <c r="M944" t="n">
        <v>0</v>
      </c>
      <c r="N944" t="n">
        <v>0</v>
      </c>
      <c r="O944" t="n">
        <v>0</v>
      </c>
      <c r="P944" t="n">
        <v>0</v>
      </c>
      <c r="Q944" t="n">
        <v>0</v>
      </c>
      <c r="R944" s="2" t="inlineStr"/>
    </row>
    <row r="945" ht="15" customHeight="1">
      <c r="A945" t="inlineStr">
        <is>
          <t>A 22008-2024</t>
        </is>
      </c>
      <c r="B945" s="1" t="n">
        <v>45443</v>
      </c>
      <c r="C945" s="1" t="n">
        <v>45917</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22416-2025</t>
        </is>
      </c>
      <c r="B946" s="1" t="n">
        <v>45786.55645833333</v>
      </c>
      <c r="C946" s="1" t="n">
        <v>45917</v>
      </c>
      <c r="D946" t="inlineStr">
        <is>
          <t>STOCKHOLMS LÄN</t>
        </is>
      </c>
      <c r="E946" t="inlineStr">
        <is>
          <t>NORRTÄLJE</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58277-2023</t>
        </is>
      </c>
      <c r="B947" s="1" t="n">
        <v>45245</v>
      </c>
      <c r="C947" s="1" t="n">
        <v>45917</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58785-2024</t>
        </is>
      </c>
      <c r="B948" s="1" t="n">
        <v>45635.88849537037</v>
      </c>
      <c r="C948" s="1" t="n">
        <v>45917</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9480-2025</t>
        </is>
      </c>
      <c r="B949" s="1" t="n">
        <v>45715</v>
      </c>
      <c r="C949" s="1" t="n">
        <v>45917</v>
      </c>
      <c r="D949" t="inlineStr">
        <is>
          <t>STOCKHOLMS LÄN</t>
        </is>
      </c>
      <c r="E949" t="inlineStr">
        <is>
          <t>NORRTÄLJE</t>
        </is>
      </c>
      <c r="F949" t="inlineStr">
        <is>
          <t>Övriga Aktiebolag</t>
        </is>
      </c>
      <c r="G949" t="n">
        <v>3.9</v>
      </c>
      <c r="H949" t="n">
        <v>0</v>
      </c>
      <c r="I949" t="n">
        <v>0</v>
      </c>
      <c r="J949" t="n">
        <v>0</v>
      </c>
      <c r="K949" t="n">
        <v>0</v>
      </c>
      <c r="L949" t="n">
        <v>0</v>
      </c>
      <c r="M949" t="n">
        <v>0</v>
      </c>
      <c r="N949" t="n">
        <v>0</v>
      </c>
      <c r="O949" t="n">
        <v>0</v>
      </c>
      <c r="P949" t="n">
        <v>0</v>
      </c>
      <c r="Q949" t="n">
        <v>0</v>
      </c>
      <c r="R949" s="2" t="inlineStr"/>
    </row>
    <row r="950" ht="15" customHeight="1">
      <c r="A950" t="inlineStr">
        <is>
          <t>A 49898-2020</t>
        </is>
      </c>
      <c r="B950" s="1" t="n">
        <v>44108</v>
      </c>
      <c r="C950" s="1" t="n">
        <v>45917</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4322-2023</t>
        </is>
      </c>
      <c r="B951" s="1" t="n">
        <v>44953.69298611111</v>
      </c>
      <c r="C951" s="1" t="n">
        <v>45917</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35916-2024</t>
        </is>
      </c>
      <c r="B952" s="1" t="n">
        <v>45533</v>
      </c>
      <c r="C952" s="1" t="n">
        <v>45917</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38889-2024</t>
        </is>
      </c>
      <c r="B953" s="1" t="n">
        <v>45547</v>
      </c>
      <c r="C953" s="1" t="n">
        <v>45917</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57216-2020</t>
        </is>
      </c>
      <c r="B954" s="1" t="n">
        <v>44139.54078703704</v>
      </c>
      <c r="C954" s="1" t="n">
        <v>45917</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3299-2022</t>
        </is>
      </c>
      <c r="B955" s="1" t="n">
        <v>44584.91001157407</v>
      </c>
      <c r="C955" s="1" t="n">
        <v>45917</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42075-2023</t>
        </is>
      </c>
      <c r="B956" s="1" t="n">
        <v>45177</v>
      </c>
      <c r="C956" s="1" t="n">
        <v>45917</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10676-2025</t>
        </is>
      </c>
      <c r="B957" s="1" t="n">
        <v>45721.88684027778</v>
      </c>
      <c r="C957" s="1" t="n">
        <v>45917</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62998-2023</t>
        </is>
      </c>
      <c r="B958" s="1" t="n">
        <v>45272.64479166667</v>
      </c>
      <c r="C958" s="1" t="n">
        <v>45917</v>
      </c>
      <c r="D958" t="inlineStr">
        <is>
          <t>STOCKHOLMS LÄN</t>
        </is>
      </c>
      <c r="E958" t="inlineStr">
        <is>
          <t>NORRTÄLJE</t>
        </is>
      </c>
      <c r="G958" t="n">
        <v>16.3</v>
      </c>
      <c r="H958" t="n">
        <v>0</v>
      </c>
      <c r="I958" t="n">
        <v>0</v>
      </c>
      <c r="J958" t="n">
        <v>0</v>
      </c>
      <c r="K958" t="n">
        <v>0</v>
      </c>
      <c r="L958" t="n">
        <v>0</v>
      </c>
      <c r="M958" t="n">
        <v>0</v>
      </c>
      <c r="N958" t="n">
        <v>0</v>
      </c>
      <c r="O958" t="n">
        <v>0</v>
      </c>
      <c r="P958" t="n">
        <v>0</v>
      </c>
      <c r="Q958" t="n">
        <v>0</v>
      </c>
      <c r="R958" s="2" t="inlineStr"/>
    </row>
    <row r="959" ht="15" customHeight="1">
      <c r="A959" t="inlineStr">
        <is>
          <t>A 63015-2023</t>
        </is>
      </c>
      <c r="B959" s="1" t="n">
        <v>45272</v>
      </c>
      <c r="C959" s="1" t="n">
        <v>45917</v>
      </c>
      <c r="D959" t="inlineStr">
        <is>
          <t>STOCKHOLMS LÄN</t>
        </is>
      </c>
      <c r="E959" t="inlineStr">
        <is>
          <t>NORRTÄLJE</t>
        </is>
      </c>
      <c r="G959" t="n">
        <v>13.1</v>
      </c>
      <c r="H959" t="n">
        <v>0</v>
      </c>
      <c r="I959" t="n">
        <v>0</v>
      </c>
      <c r="J959" t="n">
        <v>0</v>
      </c>
      <c r="K959" t="n">
        <v>0</v>
      </c>
      <c r="L959" t="n">
        <v>0</v>
      </c>
      <c r="M959" t="n">
        <v>0</v>
      </c>
      <c r="N959" t="n">
        <v>0</v>
      </c>
      <c r="O959" t="n">
        <v>0</v>
      </c>
      <c r="P959" t="n">
        <v>0</v>
      </c>
      <c r="Q959" t="n">
        <v>0</v>
      </c>
      <c r="R959" s="2" t="inlineStr"/>
    </row>
    <row r="960" ht="15" customHeight="1">
      <c r="A960" t="inlineStr">
        <is>
          <t>A 50154-2024</t>
        </is>
      </c>
      <c r="B960" s="1" t="n">
        <v>45600.4558912037</v>
      </c>
      <c r="C960" s="1" t="n">
        <v>45917</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12901-2024</t>
        </is>
      </c>
      <c r="B961" s="1" t="n">
        <v>45385.37922453704</v>
      </c>
      <c r="C961" s="1" t="n">
        <v>45917</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12301-2025</t>
        </is>
      </c>
      <c r="B962" s="1" t="n">
        <v>45729.7271875</v>
      </c>
      <c r="C962" s="1" t="n">
        <v>45917</v>
      </c>
      <c r="D962" t="inlineStr">
        <is>
          <t>STOCKHOLMS LÄN</t>
        </is>
      </c>
      <c r="E962" t="inlineStr">
        <is>
          <t>NORRTÄLJE</t>
        </is>
      </c>
      <c r="G962" t="n">
        <v>3.2</v>
      </c>
      <c r="H962" t="n">
        <v>0</v>
      </c>
      <c r="I962" t="n">
        <v>0</v>
      </c>
      <c r="J962" t="n">
        <v>0</v>
      </c>
      <c r="K962" t="n">
        <v>0</v>
      </c>
      <c r="L962" t="n">
        <v>0</v>
      </c>
      <c r="M962" t="n">
        <v>0</v>
      </c>
      <c r="N962" t="n">
        <v>0</v>
      </c>
      <c r="O962" t="n">
        <v>0</v>
      </c>
      <c r="P962" t="n">
        <v>0</v>
      </c>
      <c r="Q962" t="n">
        <v>0</v>
      </c>
      <c r="R962" s="2" t="inlineStr"/>
    </row>
    <row r="963" ht="15" customHeight="1">
      <c r="A963" t="inlineStr">
        <is>
          <t>A 8950-2025</t>
        </is>
      </c>
      <c r="B963" s="1" t="n">
        <v>45713</v>
      </c>
      <c r="C963" s="1" t="n">
        <v>45917</v>
      </c>
      <c r="D963" t="inlineStr">
        <is>
          <t>STOCKHOLMS LÄN</t>
        </is>
      </c>
      <c r="E963" t="inlineStr">
        <is>
          <t>NORRTÄLJE</t>
        </is>
      </c>
      <c r="F963" t="inlineStr">
        <is>
          <t>Övriga Aktiebolag</t>
        </is>
      </c>
      <c r="G963" t="n">
        <v>3.6</v>
      </c>
      <c r="H963" t="n">
        <v>0</v>
      </c>
      <c r="I963" t="n">
        <v>0</v>
      </c>
      <c r="J963" t="n">
        <v>0</v>
      </c>
      <c r="K963" t="n">
        <v>0</v>
      </c>
      <c r="L963" t="n">
        <v>0</v>
      </c>
      <c r="M963" t="n">
        <v>0</v>
      </c>
      <c r="N963" t="n">
        <v>0</v>
      </c>
      <c r="O963" t="n">
        <v>0</v>
      </c>
      <c r="P963" t="n">
        <v>0</v>
      </c>
      <c r="Q963" t="n">
        <v>0</v>
      </c>
      <c r="R963" s="2" t="inlineStr"/>
    </row>
    <row r="964" ht="15" customHeight="1">
      <c r="A964" t="inlineStr">
        <is>
          <t>A 37273-2024</t>
        </is>
      </c>
      <c r="B964" s="1" t="n">
        <v>45540</v>
      </c>
      <c r="C964" s="1" t="n">
        <v>45917</v>
      </c>
      <c r="D964" t="inlineStr">
        <is>
          <t>STOCKHOLMS LÄN</t>
        </is>
      </c>
      <c r="E964" t="inlineStr">
        <is>
          <t>NORRTÄLJE</t>
        </is>
      </c>
      <c r="F964" t="inlineStr">
        <is>
          <t>Sveaskog</t>
        </is>
      </c>
      <c r="G964" t="n">
        <v>12.5</v>
      </c>
      <c r="H964" t="n">
        <v>0</v>
      </c>
      <c r="I964" t="n">
        <v>0</v>
      </c>
      <c r="J964" t="n">
        <v>0</v>
      </c>
      <c r="K964" t="n">
        <v>0</v>
      </c>
      <c r="L964" t="n">
        <v>0</v>
      </c>
      <c r="M964" t="n">
        <v>0</v>
      </c>
      <c r="N964" t="n">
        <v>0</v>
      </c>
      <c r="O964" t="n">
        <v>0</v>
      </c>
      <c r="P964" t="n">
        <v>0</v>
      </c>
      <c r="Q964" t="n">
        <v>0</v>
      </c>
      <c r="R964" s="2" t="inlineStr"/>
    </row>
    <row r="965" ht="15" customHeight="1">
      <c r="A965" t="inlineStr">
        <is>
          <t>A 20730-2024</t>
        </is>
      </c>
      <c r="B965" s="1" t="n">
        <v>45436</v>
      </c>
      <c r="C965" s="1" t="n">
        <v>45917</v>
      </c>
      <c r="D965" t="inlineStr">
        <is>
          <t>STOCKHOLMS LÄN</t>
        </is>
      </c>
      <c r="E965" t="inlineStr">
        <is>
          <t>NORRTÄLJE</t>
        </is>
      </c>
      <c r="G965" t="n">
        <v>7.3</v>
      </c>
      <c r="H965" t="n">
        <v>0</v>
      </c>
      <c r="I965" t="n">
        <v>0</v>
      </c>
      <c r="J965" t="n">
        <v>0</v>
      </c>
      <c r="K965" t="n">
        <v>0</v>
      </c>
      <c r="L965" t="n">
        <v>0</v>
      </c>
      <c r="M965" t="n">
        <v>0</v>
      </c>
      <c r="N965" t="n">
        <v>0</v>
      </c>
      <c r="O965" t="n">
        <v>0</v>
      </c>
      <c r="P965" t="n">
        <v>0</v>
      </c>
      <c r="Q965" t="n">
        <v>0</v>
      </c>
      <c r="R965" s="2" t="inlineStr"/>
    </row>
    <row r="966" ht="15" customHeight="1">
      <c r="A966" t="inlineStr">
        <is>
          <t>A 33175-2024</t>
        </is>
      </c>
      <c r="B966" s="1" t="n">
        <v>45518</v>
      </c>
      <c r="C966" s="1" t="n">
        <v>45917</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13283-2025</t>
        </is>
      </c>
      <c r="B967" s="1" t="n">
        <v>45735</v>
      </c>
      <c r="C967" s="1" t="n">
        <v>45917</v>
      </c>
      <c r="D967" t="inlineStr">
        <is>
          <t>STOCKHOLMS LÄN</t>
        </is>
      </c>
      <c r="E967" t="inlineStr">
        <is>
          <t>NORRTÄLJE</t>
        </is>
      </c>
      <c r="G967" t="n">
        <v>4.9</v>
      </c>
      <c r="H967" t="n">
        <v>0</v>
      </c>
      <c r="I967" t="n">
        <v>0</v>
      </c>
      <c r="J967" t="n">
        <v>0</v>
      </c>
      <c r="K967" t="n">
        <v>0</v>
      </c>
      <c r="L967" t="n">
        <v>0</v>
      </c>
      <c r="M967" t="n">
        <v>0</v>
      </c>
      <c r="N967" t="n">
        <v>0</v>
      </c>
      <c r="O967" t="n">
        <v>0</v>
      </c>
      <c r="P967" t="n">
        <v>0</v>
      </c>
      <c r="Q967" t="n">
        <v>0</v>
      </c>
      <c r="R967" s="2" t="inlineStr"/>
    </row>
    <row r="968" ht="15" customHeight="1">
      <c r="A968" t="inlineStr">
        <is>
          <t>A 27831-2024</t>
        </is>
      </c>
      <c r="B968" s="1" t="n">
        <v>45475.61896990741</v>
      </c>
      <c r="C968" s="1" t="n">
        <v>45917</v>
      </c>
      <c r="D968" t="inlineStr">
        <is>
          <t>STOCKHOLMS LÄN</t>
        </is>
      </c>
      <c r="E968" t="inlineStr">
        <is>
          <t>NORRTÄLJE</t>
        </is>
      </c>
      <c r="G968" t="n">
        <v>3.8</v>
      </c>
      <c r="H968" t="n">
        <v>0</v>
      </c>
      <c r="I968" t="n">
        <v>0</v>
      </c>
      <c r="J968" t="n">
        <v>0</v>
      </c>
      <c r="K968" t="n">
        <v>0</v>
      </c>
      <c r="L968" t="n">
        <v>0</v>
      </c>
      <c r="M968" t="n">
        <v>0</v>
      </c>
      <c r="N968" t="n">
        <v>0</v>
      </c>
      <c r="O968" t="n">
        <v>0</v>
      </c>
      <c r="P968" t="n">
        <v>0</v>
      </c>
      <c r="Q968" t="n">
        <v>0</v>
      </c>
      <c r="R968" s="2" t="inlineStr"/>
    </row>
    <row r="969" ht="15" customHeight="1">
      <c r="A969" t="inlineStr">
        <is>
          <t>A 34773-2022</t>
        </is>
      </c>
      <c r="B969" s="1" t="n">
        <v>44795</v>
      </c>
      <c r="C969" s="1" t="n">
        <v>45917</v>
      </c>
      <c r="D969" t="inlineStr">
        <is>
          <t>STOCKHOLMS LÄN</t>
        </is>
      </c>
      <c r="E969" t="inlineStr">
        <is>
          <t>NORRTÄLJE</t>
        </is>
      </c>
      <c r="G969" t="n">
        <v>3.9</v>
      </c>
      <c r="H969" t="n">
        <v>0</v>
      </c>
      <c r="I969" t="n">
        <v>0</v>
      </c>
      <c r="J969" t="n">
        <v>0</v>
      </c>
      <c r="K969" t="n">
        <v>0</v>
      </c>
      <c r="L969" t="n">
        <v>0</v>
      </c>
      <c r="M969" t="n">
        <v>0</v>
      </c>
      <c r="N969" t="n">
        <v>0</v>
      </c>
      <c r="O969" t="n">
        <v>0</v>
      </c>
      <c r="P969" t="n">
        <v>0</v>
      </c>
      <c r="Q969" t="n">
        <v>0</v>
      </c>
      <c r="R969" s="2" t="inlineStr"/>
    </row>
    <row r="970" ht="15" customHeight="1">
      <c r="A970" t="inlineStr">
        <is>
          <t>A 23263-2023</t>
        </is>
      </c>
      <c r="B970" s="1" t="n">
        <v>45075</v>
      </c>
      <c r="C970" s="1" t="n">
        <v>45917</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23264-2023</t>
        </is>
      </c>
      <c r="B971" s="1" t="n">
        <v>45075</v>
      </c>
      <c r="C971" s="1" t="n">
        <v>45917</v>
      </c>
      <c r="D971" t="inlineStr">
        <is>
          <t>STOCKHOLMS LÄN</t>
        </is>
      </c>
      <c r="E971" t="inlineStr">
        <is>
          <t>NORRTÄLJE</t>
        </is>
      </c>
      <c r="G971" t="n">
        <v>2.9</v>
      </c>
      <c r="H971" t="n">
        <v>0</v>
      </c>
      <c r="I971" t="n">
        <v>0</v>
      </c>
      <c r="J971" t="n">
        <v>0</v>
      </c>
      <c r="K971" t="n">
        <v>0</v>
      </c>
      <c r="L971" t="n">
        <v>0</v>
      </c>
      <c r="M971" t="n">
        <v>0</v>
      </c>
      <c r="N971" t="n">
        <v>0</v>
      </c>
      <c r="O971" t="n">
        <v>0</v>
      </c>
      <c r="P971" t="n">
        <v>0</v>
      </c>
      <c r="Q971" t="n">
        <v>0</v>
      </c>
      <c r="R971" s="2" t="inlineStr"/>
    </row>
    <row r="972" ht="15" customHeight="1">
      <c r="A972" t="inlineStr">
        <is>
          <t>A 23267-2023</t>
        </is>
      </c>
      <c r="B972" s="1" t="n">
        <v>45075.90934027778</v>
      </c>
      <c r="C972" s="1" t="n">
        <v>45917</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25654-2023</t>
        </is>
      </c>
      <c r="B973" s="1" t="n">
        <v>45089</v>
      </c>
      <c r="C973" s="1" t="n">
        <v>45917</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47758-2023</t>
        </is>
      </c>
      <c r="B974" s="1" t="n">
        <v>45203.83891203703</v>
      </c>
      <c r="C974" s="1" t="n">
        <v>45917</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48151-2024</t>
        </is>
      </c>
      <c r="B975" s="1" t="n">
        <v>45589.68289351852</v>
      </c>
      <c r="C975" s="1" t="n">
        <v>45917</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21803-2022</t>
        </is>
      </c>
      <c r="B976" s="1" t="n">
        <v>44708.67822916667</v>
      </c>
      <c r="C976" s="1" t="n">
        <v>45917</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33279-2025</t>
        </is>
      </c>
      <c r="B977" s="1" t="n">
        <v>45840.70885416667</v>
      </c>
      <c r="C977" s="1" t="n">
        <v>45917</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24687-2025</t>
        </is>
      </c>
      <c r="B978" s="1" t="n">
        <v>45798.66767361111</v>
      </c>
      <c r="C978" s="1" t="n">
        <v>45917</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5831-2022</t>
        </is>
      </c>
      <c r="B979" s="1" t="n">
        <v>44596</v>
      </c>
      <c r="C979" s="1" t="n">
        <v>45917</v>
      </c>
      <c r="D979" t="inlineStr">
        <is>
          <t>STOCKHOLMS LÄN</t>
        </is>
      </c>
      <c r="E979" t="inlineStr">
        <is>
          <t>NORRTÄLJE</t>
        </is>
      </c>
      <c r="G979" t="n">
        <v>4.8</v>
      </c>
      <c r="H979" t="n">
        <v>0</v>
      </c>
      <c r="I979" t="n">
        <v>0</v>
      </c>
      <c r="J979" t="n">
        <v>0</v>
      </c>
      <c r="K979" t="n">
        <v>0</v>
      </c>
      <c r="L979" t="n">
        <v>0</v>
      </c>
      <c r="M979" t="n">
        <v>0</v>
      </c>
      <c r="N979" t="n">
        <v>0</v>
      </c>
      <c r="O979" t="n">
        <v>0</v>
      </c>
      <c r="P979" t="n">
        <v>0</v>
      </c>
      <c r="Q979" t="n">
        <v>0</v>
      </c>
      <c r="R979" s="2" t="inlineStr"/>
    </row>
    <row r="980" ht="15" customHeight="1">
      <c r="A980" t="inlineStr">
        <is>
          <t>A 24690-2025</t>
        </is>
      </c>
      <c r="B980" s="1" t="n">
        <v>45798.67082175926</v>
      </c>
      <c r="C980" s="1" t="n">
        <v>45917</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24638-2025</t>
        </is>
      </c>
      <c r="B981" s="1" t="n">
        <v>45798</v>
      </c>
      <c r="C981" s="1" t="n">
        <v>45917</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24683-2025</t>
        </is>
      </c>
      <c r="B982" s="1" t="n">
        <v>45798.66104166667</v>
      </c>
      <c r="C982" s="1" t="n">
        <v>45917</v>
      </c>
      <c r="D982" t="inlineStr">
        <is>
          <t>STOCKHOLMS LÄN</t>
        </is>
      </c>
      <c r="E982" t="inlineStr">
        <is>
          <t>NORRTÄLJE</t>
        </is>
      </c>
      <c r="G982" t="n">
        <v>7.9</v>
      </c>
      <c r="H982" t="n">
        <v>0</v>
      </c>
      <c r="I982" t="n">
        <v>0</v>
      </c>
      <c r="J982" t="n">
        <v>0</v>
      </c>
      <c r="K982" t="n">
        <v>0</v>
      </c>
      <c r="L982" t="n">
        <v>0</v>
      </c>
      <c r="M982" t="n">
        <v>0</v>
      </c>
      <c r="N982" t="n">
        <v>0</v>
      </c>
      <c r="O982" t="n">
        <v>0</v>
      </c>
      <c r="P982" t="n">
        <v>0</v>
      </c>
      <c r="Q982" t="n">
        <v>0</v>
      </c>
      <c r="R982" s="2" t="inlineStr"/>
    </row>
    <row r="983" ht="15" customHeight="1">
      <c r="A983" t="inlineStr">
        <is>
          <t>A 24351-2025</t>
        </is>
      </c>
      <c r="B983" s="1" t="n">
        <v>45797.58399305555</v>
      </c>
      <c r="C983" s="1" t="n">
        <v>45917</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58853-2024</t>
        </is>
      </c>
      <c r="B984" s="1" t="n">
        <v>45636.38974537037</v>
      </c>
      <c r="C984" s="1" t="n">
        <v>45917</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24350-2025</t>
        </is>
      </c>
      <c r="B985" s="1" t="n">
        <v>45797.58350694444</v>
      </c>
      <c r="C985" s="1" t="n">
        <v>45917</v>
      </c>
      <c r="D985" t="inlineStr">
        <is>
          <t>STOCKHOLMS LÄN</t>
        </is>
      </c>
      <c r="E985" t="inlineStr">
        <is>
          <t>NORRTÄLJE</t>
        </is>
      </c>
      <c r="G985" t="n">
        <v>4.5</v>
      </c>
      <c r="H985" t="n">
        <v>0</v>
      </c>
      <c r="I985" t="n">
        <v>0</v>
      </c>
      <c r="J985" t="n">
        <v>0</v>
      </c>
      <c r="K985" t="n">
        <v>0</v>
      </c>
      <c r="L985" t="n">
        <v>0</v>
      </c>
      <c r="M985" t="n">
        <v>0</v>
      </c>
      <c r="N985" t="n">
        <v>0</v>
      </c>
      <c r="O985" t="n">
        <v>0</v>
      </c>
      <c r="P985" t="n">
        <v>0</v>
      </c>
      <c r="Q985" t="n">
        <v>0</v>
      </c>
      <c r="R985" s="2" t="inlineStr"/>
    </row>
    <row r="986" ht="15" customHeight="1">
      <c r="A986" t="inlineStr">
        <is>
          <t>A 59712-2024</t>
        </is>
      </c>
      <c r="B986" s="1" t="n">
        <v>45639.45166666667</v>
      </c>
      <c r="C986" s="1" t="n">
        <v>45917</v>
      </c>
      <c r="D986" t="inlineStr">
        <is>
          <t>STOCKHOLMS LÄN</t>
        </is>
      </c>
      <c r="E986" t="inlineStr">
        <is>
          <t>NORRTÄLJE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28603-2024</t>
        </is>
      </c>
      <c r="B987" s="1" t="n">
        <v>45478.42887731481</v>
      </c>
      <c r="C987" s="1" t="n">
        <v>45917</v>
      </c>
      <c r="D987" t="inlineStr">
        <is>
          <t>STOCKHOLMS LÄN</t>
        </is>
      </c>
      <c r="E987" t="inlineStr">
        <is>
          <t>NORRTÄLJE</t>
        </is>
      </c>
      <c r="G987" t="n">
        <v>5.6</v>
      </c>
      <c r="H987" t="n">
        <v>0</v>
      </c>
      <c r="I987" t="n">
        <v>0</v>
      </c>
      <c r="J987" t="n">
        <v>0</v>
      </c>
      <c r="K987" t="n">
        <v>0</v>
      </c>
      <c r="L987" t="n">
        <v>0</v>
      </c>
      <c r="M987" t="n">
        <v>0</v>
      </c>
      <c r="N987" t="n">
        <v>0</v>
      </c>
      <c r="O987" t="n">
        <v>0</v>
      </c>
      <c r="P987" t="n">
        <v>0</v>
      </c>
      <c r="Q987" t="n">
        <v>0</v>
      </c>
      <c r="R987" s="2" t="inlineStr"/>
    </row>
    <row r="988" ht="15" customHeight="1">
      <c r="A988" t="inlineStr">
        <is>
          <t>A 59721-2024</t>
        </is>
      </c>
      <c r="B988" s="1" t="n">
        <v>45639.47385416667</v>
      </c>
      <c r="C988" s="1" t="n">
        <v>45917</v>
      </c>
      <c r="D988" t="inlineStr">
        <is>
          <t>STOCKHOLMS LÄN</t>
        </is>
      </c>
      <c r="E988" t="inlineStr">
        <is>
          <t>NORRTÄLJE</t>
        </is>
      </c>
      <c r="G988" t="n">
        <v>4.6</v>
      </c>
      <c r="H988" t="n">
        <v>0</v>
      </c>
      <c r="I988" t="n">
        <v>0</v>
      </c>
      <c r="J988" t="n">
        <v>0</v>
      </c>
      <c r="K988" t="n">
        <v>0</v>
      </c>
      <c r="L988" t="n">
        <v>0</v>
      </c>
      <c r="M988" t="n">
        <v>0</v>
      </c>
      <c r="N988" t="n">
        <v>0</v>
      </c>
      <c r="O988" t="n">
        <v>0</v>
      </c>
      <c r="P988" t="n">
        <v>0</v>
      </c>
      <c r="Q988" t="n">
        <v>0</v>
      </c>
      <c r="R988" s="2" t="inlineStr"/>
    </row>
    <row r="989" ht="15" customHeight="1">
      <c r="A989" t="inlineStr">
        <is>
          <t>A 25702-2025</t>
        </is>
      </c>
      <c r="B989" s="1" t="n">
        <v>45800</v>
      </c>
      <c r="C989" s="1" t="n">
        <v>45917</v>
      </c>
      <c r="D989" t="inlineStr">
        <is>
          <t>STOCKHOLMS LÄN</t>
        </is>
      </c>
      <c r="E989" t="inlineStr">
        <is>
          <t>NORRTÄLJE</t>
        </is>
      </c>
      <c r="G989" t="n">
        <v>5.3</v>
      </c>
      <c r="H989" t="n">
        <v>0</v>
      </c>
      <c r="I989" t="n">
        <v>0</v>
      </c>
      <c r="J989" t="n">
        <v>0</v>
      </c>
      <c r="K989" t="n">
        <v>0</v>
      </c>
      <c r="L989" t="n">
        <v>0</v>
      </c>
      <c r="M989" t="n">
        <v>0</v>
      </c>
      <c r="N989" t="n">
        <v>0</v>
      </c>
      <c r="O989" t="n">
        <v>0</v>
      </c>
      <c r="P989" t="n">
        <v>0</v>
      </c>
      <c r="Q989" t="n">
        <v>0</v>
      </c>
      <c r="R989" s="2" t="inlineStr"/>
    </row>
    <row r="990" ht="15" customHeight="1">
      <c r="A990" t="inlineStr">
        <is>
          <t>A 25709-2025</t>
        </is>
      </c>
      <c r="B990" s="1" t="n">
        <v>45800</v>
      </c>
      <c r="C990" s="1" t="n">
        <v>45917</v>
      </c>
      <c r="D990" t="inlineStr">
        <is>
          <t>STOCKHOLMS LÄN</t>
        </is>
      </c>
      <c r="E990" t="inlineStr">
        <is>
          <t>NORRTÄLJE</t>
        </is>
      </c>
      <c r="G990" t="n">
        <v>4.6</v>
      </c>
      <c r="H990" t="n">
        <v>0</v>
      </c>
      <c r="I990" t="n">
        <v>0</v>
      </c>
      <c r="J990" t="n">
        <v>0</v>
      </c>
      <c r="K990" t="n">
        <v>0</v>
      </c>
      <c r="L990" t="n">
        <v>0</v>
      </c>
      <c r="M990" t="n">
        <v>0</v>
      </c>
      <c r="N990" t="n">
        <v>0</v>
      </c>
      <c r="O990" t="n">
        <v>0</v>
      </c>
      <c r="P990" t="n">
        <v>0</v>
      </c>
      <c r="Q990" t="n">
        <v>0</v>
      </c>
      <c r="R990" s="2" t="inlineStr"/>
    </row>
    <row r="991" ht="15" customHeight="1">
      <c r="A991" t="inlineStr">
        <is>
          <t>A 25721-2025</t>
        </is>
      </c>
      <c r="B991" s="1" t="n">
        <v>45800</v>
      </c>
      <c r="C991" s="1" t="n">
        <v>45917</v>
      </c>
      <c r="D991" t="inlineStr">
        <is>
          <t>STOCKHOLMS LÄN</t>
        </is>
      </c>
      <c r="E991" t="inlineStr">
        <is>
          <t>NORRTÄLJE</t>
        </is>
      </c>
      <c r="G991" t="n">
        <v>6</v>
      </c>
      <c r="H991" t="n">
        <v>0</v>
      </c>
      <c r="I991" t="n">
        <v>0</v>
      </c>
      <c r="J991" t="n">
        <v>0</v>
      </c>
      <c r="K991" t="n">
        <v>0</v>
      </c>
      <c r="L991" t="n">
        <v>0</v>
      </c>
      <c r="M991" t="n">
        <v>0</v>
      </c>
      <c r="N991" t="n">
        <v>0</v>
      </c>
      <c r="O991" t="n">
        <v>0</v>
      </c>
      <c r="P991" t="n">
        <v>0</v>
      </c>
      <c r="Q991" t="n">
        <v>0</v>
      </c>
      <c r="R991" s="2" t="inlineStr"/>
    </row>
    <row r="992" ht="15" customHeight="1">
      <c r="A992" t="inlineStr">
        <is>
          <t>A 60884-2024</t>
        </is>
      </c>
      <c r="B992" s="1" t="n">
        <v>45644.90815972222</v>
      </c>
      <c r="C992" s="1" t="n">
        <v>45917</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23150-2024</t>
        </is>
      </c>
      <c r="B993" s="1" t="n">
        <v>45450.64643518518</v>
      </c>
      <c r="C993" s="1" t="n">
        <v>45917</v>
      </c>
      <c r="D993" t="inlineStr">
        <is>
          <t>STOCKHOLMS LÄN</t>
        </is>
      </c>
      <c r="E993" t="inlineStr">
        <is>
          <t>NORRTÄLJE</t>
        </is>
      </c>
      <c r="F993" t="inlineStr">
        <is>
          <t>Kommuner</t>
        </is>
      </c>
      <c r="G993" t="n">
        <v>2.7</v>
      </c>
      <c r="H993" t="n">
        <v>0</v>
      </c>
      <c r="I993" t="n">
        <v>0</v>
      </c>
      <c r="J993" t="n">
        <v>0</v>
      </c>
      <c r="K993" t="n">
        <v>0</v>
      </c>
      <c r="L993" t="n">
        <v>0</v>
      </c>
      <c r="M993" t="n">
        <v>0</v>
      </c>
      <c r="N993" t="n">
        <v>0</v>
      </c>
      <c r="O993" t="n">
        <v>0</v>
      </c>
      <c r="P993" t="n">
        <v>0</v>
      </c>
      <c r="Q993" t="n">
        <v>0</v>
      </c>
      <c r="R993" s="2" t="inlineStr"/>
    </row>
    <row r="994" ht="15" customHeight="1">
      <c r="A994" t="inlineStr">
        <is>
          <t>A 59878-2024</t>
        </is>
      </c>
      <c r="B994" s="1" t="n">
        <v>45640.60240740741</v>
      </c>
      <c r="C994" s="1" t="n">
        <v>45917</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24835-2025</t>
        </is>
      </c>
      <c r="B995" s="1" t="n">
        <v>45799</v>
      </c>
      <c r="C995" s="1" t="n">
        <v>45917</v>
      </c>
      <c r="D995" t="inlineStr">
        <is>
          <t>STOCKHOLMS LÄN</t>
        </is>
      </c>
      <c r="E995" t="inlineStr">
        <is>
          <t>NORRTÄLJE</t>
        </is>
      </c>
      <c r="G995" t="n">
        <v>2.5</v>
      </c>
      <c r="H995" t="n">
        <v>0</v>
      </c>
      <c r="I995" t="n">
        <v>0</v>
      </c>
      <c r="J995" t="n">
        <v>0</v>
      </c>
      <c r="K995" t="n">
        <v>0</v>
      </c>
      <c r="L995" t="n">
        <v>0</v>
      </c>
      <c r="M995" t="n">
        <v>0</v>
      </c>
      <c r="N995" t="n">
        <v>0</v>
      </c>
      <c r="O995" t="n">
        <v>0</v>
      </c>
      <c r="P995" t="n">
        <v>0</v>
      </c>
      <c r="Q995" t="n">
        <v>0</v>
      </c>
      <c r="R995" s="2" t="inlineStr"/>
    </row>
    <row r="996" ht="15" customHeight="1">
      <c r="A996" t="inlineStr">
        <is>
          <t>A 50182-2024</t>
        </is>
      </c>
      <c r="B996" s="1" t="n">
        <v>45600.47275462963</v>
      </c>
      <c r="C996" s="1" t="n">
        <v>45917</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2549-2022</t>
        </is>
      </c>
      <c r="B997" s="1" t="n">
        <v>44580</v>
      </c>
      <c r="C997" s="1" t="n">
        <v>45917</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31140-2023</t>
        </is>
      </c>
      <c r="B998" s="1" t="n">
        <v>45113</v>
      </c>
      <c r="C998" s="1" t="n">
        <v>45917</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31149-2023</t>
        </is>
      </c>
      <c r="B999" s="1" t="n">
        <v>45113</v>
      </c>
      <c r="C999" s="1" t="n">
        <v>45917</v>
      </c>
      <c r="D999" t="inlineStr">
        <is>
          <t>STOCKHOLMS LÄN</t>
        </is>
      </c>
      <c r="E999" t="inlineStr">
        <is>
          <t>NORRTÄLJE</t>
        </is>
      </c>
      <c r="G999" t="n">
        <v>7.1</v>
      </c>
      <c r="H999" t="n">
        <v>0</v>
      </c>
      <c r="I999" t="n">
        <v>0</v>
      </c>
      <c r="J999" t="n">
        <v>0</v>
      </c>
      <c r="K999" t="n">
        <v>0</v>
      </c>
      <c r="L999" t="n">
        <v>0</v>
      </c>
      <c r="M999" t="n">
        <v>0</v>
      </c>
      <c r="N999" t="n">
        <v>0</v>
      </c>
      <c r="O999" t="n">
        <v>0</v>
      </c>
      <c r="P999" t="n">
        <v>0</v>
      </c>
      <c r="Q999" t="n">
        <v>0</v>
      </c>
      <c r="R999" s="2" t="inlineStr"/>
    </row>
    <row r="1000" ht="15" customHeight="1">
      <c r="A1000" t="inlineStr">
        <is>
          <t>A 16835-2022</t>
        </is>
      </c>
      <c r="B1000" s="1" t="n">
        <v>44673</v>
      </c>
      <c r="C1000" s="1" t="n">
        <v>45917</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25733-2025</t>
        </is>
      </c>
      <c r="B1001" s="1" t="n">
        <v>45800</v>
      </c>
      <c r="C1001" s="1" t="n">
        <v>45917</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25725-2025</t>
        </is>
      </c>
      <c r="B1002" s="1" t="n">
        <v>45800</v>
      </c>
      <c r="C1002" s="1" t="n">
        <v>45917</v>
      </c>
      <c r="D1002" t="inlineStr">
        <is>
          <t>STOCKHOLMS LÄN</t>
        </is>
      </c>
      <c r="E1002" t="inlineStr">
        <is>
          <t>NORRTÄLJE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25571-2025</t>
        </is>
      </c>
      <c r="B1003" s="1" t="n">
        <v>45803.4675</v>
      </c>
      <c r="C1003" s="1" t="n">
        <v>45917</v>
      </c>
      <c r="D1003" t="inlineStr">
        <is>
          <t>STOCKHOLMS LÄN</t>
        </is>
      </c>
      <c r="E1003" t="inlineStr">
        <is>
          <t>NORRTÄLJE</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13701-2022</t>
        </is>
      </c>
      <c r="B1004" s="1" t="n">
        <v>44648</v>
      </c>
      <c r="C1004" s="1" t="n">
        <v>45917</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13089-2022</t>
        </is>
      </c>
      <c r="B1005" s="1" t="n">
        <v>44643</v>
      </c>
      <c r="C1005" s="1" t="n">
        <v>45917</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53561-2023</t>
        </is>
      </c>
      <c r="B1006" s="1" t="n">
        <v>45224</v>
      </c>
      <c r="C1006" s="1" t="n">
        <v>45917</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25270-2025</t>
        </is>
      </c>
      <c r="B1007" s="1" t="n">
        <v>45800</v>
      </c>
      <c r="C1007" s="1" t="n">
        <v>45917</v>
      </c>
      <c r="D1007" t="inlineStr">
        <is>
          <t>STOCKHOLMS LÄN</t>
        </is>
      </c>
      <c r="E1007" t="inlineStr">
        <is>
          <t>NORRTÄLJE</t>
        </is>
      </c>
      <c r="F1007" t="inlineStr">
        <is>
          <t>Övriga Aktiebolag</t>
        </is>
      </c>
      <c r="G1007" t="n">
        <v>30</v>
      </c>
      <c r="H1007" t="n">
        <v>0</v>
      </c>
      <c r="I1007" t="n">
        <v>0</v>
      </c>
      <c r="J1007" t="n">
        <v>0</v>
      </c>
      <c r="K1007" t="n">
        <v>0</v>
      </c>
      <c r="L1007" t="n">
        <v>0</v>
      </c>
      <c r="M1007" t="n">
        <v>0</v>
      </c>
      <c r="N1007" t="n">
        <v>0</v>
      </c>
      <c r="O1007" t="n">
        <v>0</v>
      </c>
      <c r="P1007" t="n">
        <v>0</v>
      </c>
      <c r="Q1007" t="n">
        <v>0</v>
      </c>
      <c r="R1007" s="2" t="inlineStr"/>
    </row>
    <row r="1008" ht="15" customHeight="1">
      <c r="A1008" t="inlineStr">
        <is>
          <t>A 25712-2025</t>
        </is>
      </c>
      <c r="B1008" s="1" t="n">
        <v>45803.69228009259</v>
      </c>
      <c r="C1008" s="1" t="n">
        <v>45917</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41218-2024</t>
        </is>
      </c>
      <c r="B1009" s="1" t="n">
        <v>45559.54706018518</v>
      </c>
      <c r="C1009" s="1" t="n">
        <v>45917</v>
      </c>
      <c r="D1009" t="inlineStr">
        <is>
          <t>STOCKHOLMS LÄN</t>
        </is>
      </c>
      <c r="E1009" t="inlineStr">
        <is>
          <t>NORRTÄLJE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26051-2025</t>
        </is>
      </c>
      <c r="B1010" s="1" t="n">
        <v>45804.74479166666</v>
      </c>
      <c r="C1010" s="1" t="n">
        <v>45917</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39238-2024</t>
        </is>
      </c>
      <c r="B1011" s="1" t="n">
        <v>45549</v>
      </c>
      <c r="C1011" s="1" t="n">
        <v>45917</v>
      </c>
      <c r="D1011" t="inlineStr">
        <is>
          <t>STOCKHOLMS LÄN</t>
        </is>
      </c>
      <c r="E1011" t="inlineStr">
        <is>
          <t>NORRTÄLJE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38449-2022</t>
        </is>
      </c>
      <c r="B1012" s="1" t="n">
        <v>44813</v>
      </c>
      <c r="C1012" s="1" t="n">
        <v>45917</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38759-2022</t>
        </is>
      </c>
      <c r="B1013" s="1" t="n">
        <v>44816</v>
      </c>
      <c r="C1013" s="1" t="n">
        <v>45917</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23998-2024</t>
        </is>
      </c>
      <c r="B1014" s="1" t="n">
        <v>45456</v>
      </c>
      <c r="C1014" s="1" t="n">
        <v>45917</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54504-2024</t>
        </is>
      </c>
      <c r="B1015" s="1" t="n">
        <v>45617.58453703704</v>
      </c>
      <c r="C1015" s="1" t="n">
        <v>45917</v>
      </c>
      <c r="D1015" t="inlineStr">
        <is>
          <t>STOCKHOLMS LÄN</t>
        </is>
      </c>
      <c r="E1015" t="inlineStr">
        <is>
          <t>NORRTÄLJE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32595-2023</t>
        </is>
      </c>
      <c r="B1016" s="1" t="n">
        <v>45121</v>
      </c>
      <c r="C1016" s="1" t="n">
        <v>45917</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11332-2025</t>
        </is>
      </c>
      <c r="B1017" s="1" t="n">
        <v>45726.48152777777</v>
      </c>
      <c r="C1017" s="1" t="n">
        <v>45917</v>
      </c>
      <c r="D1017" t="inlineStr">
        <is>
          <t>STOCKHOLMS LÄN</t>
        </is>
      </c>
      <c r="E1017" t="inlineStr">
        <is>
          <t>NORRTÄLJE</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13718-2022</t>
        </is>
      </c>
      <c r="B1018" s="1" t="n">
        <v>44649</v>
      </c>
      <c r="C1018" s="1" t="n">
        <v>45917</v>
      </c>
      <c r="D1018" t="inlineStr">
        <is>
          <t>STOCKHOLMS LÄN</t>
        </is>
      </c>
      <c r="E1018" t="inlineStr">
        <is>
          <t>NORRTÄLJE</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61363-2020</t>
        </is>
      </c>
      <c r="B1019" s="1" t="n">
        <v>44155.69458333333</v>
      </c>
      <c r="C1019" s="1" t="n">
        <v>45917</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54259-2023</t>
        </is>
      </c>
      <c r="B1020" s="1" t="n">
        <v>45232</v>
      </c>
      <c r="C1020" s="1" t="n">
        <v>45917</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13171-2025</t>
        </is>
      </c>
      <c r="B1021" s="1" t="n">
        <v>45735.36594907408</v>
      </c>
      <c r="C1021" s="1" t="n">
        <v>45917</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12299-2025</t>
        </is>
      </c>
      <c r="B1022" s="1" t="n">
        <v>45729.71065972222</v>
      </c>
      <c r="C1022" s="1" t="n">
        <v>45917</v>
      </c>
      <c r="D1022" t="inlineStr">
        <is>
          <t>STOCKHOLMS LÄN</t>
        </is>
      </c>
      <c r="E1022" t="inlineStr">
        <is>
          <t>NORRTÄLJE</t>
        </is>
      </c>
      <c r="F1022" t="inlineStr">
        <is>
          <t>Holmen skog AB</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11900-2024</t>
        </is>
      </c>
      <c r="B1023" s="1" t="n">
        <v>45376.55484953704</v>
      </c>
      <c r="C1023" s="1" t="n">
        <v>45917</v>
      </c>
      <c r="D1023" t="inlineStr">
        <is>
          <t>STOCKHOLMS LÄN</t>
        </is>
      </c>
      <c r="E1023" t="inlineStr">
        <is>
          <t>NORRTÄLJE</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13137-2024</t>
        </is>
      </c>
      <c r="B1024" s="1" t="n">
        <v>45386.34175925926</v>
      </c>
      <c r="C1024" s="1" t="n">
        <v>45917</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43300-2023</t>
        </is>
      </c>
      <c r="B1025" s="1" t="n">
        <v>45183</v>
      </c>
      <c r="C1025" s="1" t="n">
        <v>45917</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13276-2022</t>
        </is>
      </c>
      <c r="B1026" s="1" t="n">
        <v>44644</v>
      </c>
      <c r="C1026" s="1" t="n">
        <v>45917</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11900-2022</t>
        </is>
      </c>
      <c r="B1027" s="1" t="n">
        <v>44635</v>
      </c>
      <c r="C1027" s="1" t="n">
        <v>45917</v>
      </c>
      <c r="D1027" t="inlineStr">
        <is>
          <t>STOCKHOLMS LÄN</t>
        </is>
      </c>
      <c r="E1027" t="inlineStr">
        <is>
          <t>NORRTÄLJE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14724-2022</t>
        </is>
      </c>
      <c r="B1028" s="1" t="n">
        <v>44656</v>
      </c>
      <c r="C1028" s="1" t="n">
        <v>45917</v>
      </c>
      <c r="D1028" t="inlineStr">
        <is>
          <t>STOCKHOLMS LÄN</t>
        </is>
      </c>
      <c r="E1028" t="inlineStr">
        <is>
          <t>NORRTÄLJE</t>
        </is>
      </c>
      <c r="F1028" t="inlineStr">
        <is>
          <t>Sveaskog</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4580-2025</t>
        </is>
      </c>
      <c r="B1029" s="1" t="n">
        <v>45687.5038425926</v>
      </c>
      <c r="C1029" s="1" t="n">
        <v>45917</v>
      </c>
      <c r="D1029" t="inlineStr">
        <is>
          <t>STOCKHOLMS LÄN</t>
        </is>
      </c>
      <c r="E1029" t="inlineStr">
        <is>
          <t>NORRTÄLJE</t>
        </is>
      </c>
      <c r="F1029" t="inlineStr">
        <is>
          <t>Holmen skog AB</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16202-2022</t>
        </is>
      </c>
      <c r="B1030" s="1" t="n">
        <v>44670</v>
      </c>
      <c r="C1030" s="1" t="n">
        <v>45917</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6003-2025</t>
        </is>
      </c>
      <c r="B1031" s="1" t="n">
        <v>45695.57881944445</v>
      </c>
      <c r="C1031" s="1" t="n">
        <v>45917</v>
      </c>
      <c r="D1031" t="inlineStr">
        <is>
          <t>STOCKHOLMS LÄN</t>
        </is>
      </c>
      <c r="E1031" t="inlineStr">
        <is>
          <t>NORRTÄLJE</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52321-2024</t>
        </is>
      </c>
      <c r="B1032" s="1" t="n">
        <v>45608</v>
      </c>
      <c r="C1032" s="1" t="n">
        <v>45917</v>
      </c>
      <c r="D1032" t="inlineStr">
        <is>
          <t>STOCKHOLMS LÄN</t>
        </is>
      </c>
      <c r="E1032" t="inlineStr">
        <is>
          <t>NORRTÄLJE</t>
        </is>
      </c>
      <c r="G1032" t="n">
        <v>18.1</v>
      </c>
      <c r="H1032" t="n">
        <v>0</v>
      </c>
      <c r="I1032" t="n">
        <v>0</v>
      </c>
      <c r="J1032" t="n">
        <v>0</v>
      </c>
      <c r="K1032" t="n">
        <v>0</v>
      </c>
      <c r="L1032" t="n">
        <v>0</v>
      </c>
      <c r="M1032" t="n">
        <v>0</v>
      </c>
      <c r="N1032" t="n">
        <v>0</v>
      </c>
      <c r="O1032" t="n">
        <v>0</v>
      </c>
      <c r="P1032" t="n">
        <v>0</v>
      </c>
      <c r="Q1032" t="n">
        <v>0</v>
      </c>
      <c r="R1032" s="2" t="inlineStr"/>
    </row>
    <row r="1033" ht="15" customHeight="1">
      <c r="A1033" t="inlineStr">
        <is>
          <t>A 54558-2024</t>
        </is>
      </c>
      <c r="B1033" s="1" t="n">
        <v>45617.62358796296</v>
      </c>
      <c r="C1033" s="1" t="n">
        <v>45917</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22157-2023</t>
        </is>
      </c>
      <c r="B1034" s="1" t="n">
        <v>45069</v>
      </c>
      <c r="C1034" s="1" t="n">
        <v>45917</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c r="U1034">
        <f>HYPERLINK("https://klasma.github.io/Logging_0188/knärot/A 22157-2023 karta knärot.png", "A 22157-2023")</f>
        <v/>
      </c>
      <c r="V1034">
        <f>HYPERLINK("https://klasma.github.io/Logging_0188/klagomål/A 22157-2023 FSC-klagomål.docx", "A 22157-2023")</f>
        <v/>
      </c>
      <c r="W1034">
        <f>HYPERLINK("https://klasma.github.io/Logging_0188/klagomålsmail/A 22157-2023 FSC-klagomål mail.docx", "A 22157-2023")</f>
        <v/>
      </c>
      <c r="X1034">
        <f>HYPERLINK("https://klasma.github.io/Logging_0188/tillsyn/A 22157-2023 tillsynsbegäran.docx", "A 22157-2023")</f>
        <v/>
      </c>
      <c r="Y1034">
        <f>HYPERLINK("https://klasma.github.io/Logging_0188/tillsynsmail/A 22157-2023 tillsynsbegäran mail.docx", "A 22157-2023")</f>
        <v/>
      </c>
    </row>
    <row r="1035" ht="15" customHeight="1">
      <c r="A1035" t="inlineStr">
        <is>
          <t>A 48633-2023</t>
        </is>
      </c>
      <c r="B1035" s="1" t="n">
        <v>45208.58004629629</v>
      </c>
      <c r="C1035" s="1" t="n">
        <v>45917</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19057-2024</t>
        </is>
      </c>
      <c r="B1036" s="1" t="n">
        <v>45427.88731481481</v>
      </c>
      <c r="C1036" s="1" t="n">
        <v>45917</v>
      </c>
      <c r="D1036" t="inlineStr">
        <is>
          <t>STOCKHOLMS LÄN</t>
        </is>
      </c>
      <c r="E1036" t="inlineStr">
        <is>
          <t>NORRTÄLJE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47419-2023</t>
        </is>
      </c>
      <c r="B1037" s="1" t="n">
        <v>45202.65660879629</v>
      </c>
      <c r="C1037" s="1" t="n">
        <v>45917</v>
      </c>
      <c r="D1037" t="inlineStr">
        <is>
          <t>STOCKHOLMS LÄN</t>
        </is>
      </c>
      <c r="E1037" t="inlineStr">
        <is>
          <t>NORRTÄLJE</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652-2025</t>
        </is>
      </c>
      <c r="B1038" s="1" t="n">
        <v>45664</v>
      </c>
      <c r="C1038" s="1" t="n">
        <v>45917</v>
      </c>
      <c r="D1038" t="inlineStr">
        <is>
          <t>STOCKHOLMS LÄN</t>
        </is>
      </c>
      <c r="E1038" t="inlineStr">
        <is>
          <t>NORRTÄLJE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10653-2022</t>
        </is>
      </c>
      <c r="B1039" s="1" t="n">
        <v>44624.59434027778</v>
      </c>
      <c r="C1039" s="1" t="n">
        <v>45917</v>
      </c>
      <c r="D1039" t="inlineStr">
        <is>
          <t>STOCKHOLMS LÄN</t>
        </is>
      </c>
      <c r="E1039" t="inlineStr">
        <is>
          <t>NORRTÄLJE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35695-2023</t>
        </is>
      </c>
      <c r="B1040" s="1" t="n">
        <v>45147.65407407407</v>
      </c>
      <c r="C1040" s="1" t="n">
        <v>45917</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18665-2022</t>
        </is>
      </c>
      <c r="B1041" s="1" t="n">
        <v>44687</v>
      </c>
      <c r="C1041" s="1" t="n">
        <v>45917</v>
      </c>
      <c r="D1041" t="inlineStr">
        <is>
          <t>STOCKHOLMS LÄN</t>
        </is>
      </c>
      <c r="E1041" t="inlineStr">
        <is>
          <t>NORRTÄLJE</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17574-2025</t>
        </is>
      </c>
      <c r="B1042" s="1" t="n">
        <v>45757.65178240741</v>
      </c>
      <c r="C1042" s="1" t="n">
        <v>45917</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20370-2025</t>
        </is>
      </c>
      <c r="B1043" s="1" t="n">
        <v>45775.41451388889</v>
      </c>
      <c r="C1043" s="1" t="n">
        <v>45917</v>
      </c>
      <c r="D1043" t="inlineStr">
        <is>
          <t>STOCKHOLMS LÄN</t>
        </is>
      </c>
      <c r="E1043" t="inlineStr">
        <is>
          <t>NORRTÄLJE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19982-2022</t>
        </is>
      </c>
      <c r="B1044" s="1" t="n">
        <v>44697</v>
      </c>
      <c r="C1044" s="1" t="n">
        <v>45917</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35438-2023</t>
        </is>
      </c>
      <c r="B1045" s="1" t="n">
        <v>45146</v>
      </c>
      <c r="C1045" s="1" t="n">
        <v>45917</v>
      </c>
      <c r="D1045" t="inlineStr">
        <is>
          <t>STOCKHOLMS LÄN</t>
        </is>
      </c>
      <c r="E1045" t="inlineStr">
        <is>
          <t>NORRTÄLJE</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33878-2024</t>
        </is>
      </c>
      <c r="B1046" s="1" t="n">
        <v>45522.44414351852</v>
      </c>
      <c r="C1046" s="1" t="n">
        <v>45917</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4183-2025</t>
        </is>
      </c>
      <c r="B1047" s="1" t="n">
        <v>45685.44592592592</v>
      </c>
      <c r="C1047" s="1" t="n">
        <v>45917</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17556-2025</t>
        </is>
      </c>
      <c r="B1048" s="1" t="n">
        <v>45757.62482638889</v>
      </c>
      <c r="C1048" s="1" t="n">
        <v>45917</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41335-2023</t>
        </is>
      </c>
      <c r="B1049" s="1" t="n">
        <v>45174.68702546296</v>
      </c>
      <c r="C1049" s="1" t="n">
        <v>45917</v>
      </c>
      <c r="D1049" t="inlineStr">
        <is>
          <t>STOCKHOLMS LÄN</t>
        </is>
      </c>
      <c r="E1049" t="inlineStr">
        <is>
          <t>NORRTÄLJE</t>
        </is>
      </c>
      <c r="F1049" t="inlineStr">
        <is>
          <t>Holmen skog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4484-2025</t>
        </is>
      </c>
      <c r="B1050" s="1" t="n">
        <v>45686.65545138889</v>
      </c>
      <c r="C1050" s="1" t="n">
        <v>45917</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10511-2025</t>
        </is>
      </c>
      <c r="B1051" s="1" t="n">
        <v>45721.40780092592</v>
      </c>
      <c r="C1051" s="1" t="n">
        <v>45917</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8419-2025</t>
        </is>
      </c>
      <c r="B1052" s="1" t="n">
        <v>45709.40231481481</v>
      </c>
      <c r="C1052" s="1" t="n">
        <v>45917</v>
      </c>
      <c r="D1052" t="inlineStr">
        <is>
          <t>STOCKHOLMS LÄN</t>
        </is>
      </c>
      <c r="E1052" t="inlineStr">
        <is>
          <t>NORRTÄLJE</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21480-2022</t>
        </is>
      </c>
      <c r="B1053" s="1" t="n">
        <v>44704</v>
      </c>
      <c r="C1053" s="1" t="n">
        <v>45917</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1654-2025</t>
        </is>
      </c>
      <c r="B1054" s="1" t="n">
        <v>45670.65921296296</v>
      </c>
      <c r="C1054" s="1" t="n">
        <v>45917</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48686-2023</t>
        </is>
      </c>
      <c r="B1055" s="1" t="n">
        <v>45208</v>
      </c>
      <c r="C1055" s="1" t="n">
        <v>45917</v>
      </c>
      <c r="D1055" t="inlineStr">
        <is>
          <t>STOCKHOLMS LÄN</t>
        </is>
      </c>
      <c r="E1055" t="inlineStr">
        <is>
          <t>NORRTÄLJE</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48691-2023</t>
        </is>
      </c>
      <c r="B1056" s="1" t="n">
        <v>45208</v>
      </c>
      <c r="C1056" s="1" t="n">
        <v>45917</v>
      </c>
      <c r="D1056" t="inlineStr">
        <is>
          <t>STOCKHOLMS LÄN</t>
        </is>
      </c>
      <c r="E1056" t="inlineStr">
        <is>
          <t>NORRTÄLJE</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55243-2023</t>
        </is>
      </c>
      <c r="B1057" s="1" t="n">
        <v>45237</v>
      </c>
      <c r="C1057" s="1" t="n">
        <v>45917</v>
      </c>
      <c r="D1057" t="inlineStr">
        <is>
          <t>STOCKHOLMS LÄN</t>
        </is>
      </c>
      <c r="E1057" t="inlineStr">
        <is>
          <t>NORRTÄLJE</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35210-2023</t>
        </is>
      </c>
      <c r="B1058" s="1" t="n">
        <v>45145.63584490741</v>
      </c>
      <c r="C1058" s="1" t="n">
        <v>45917</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6678-2025</t>
        </is>
      </c>
      <c r="B1059" s="1" t="n">
        <v>45700</v>
      </c>
      <c r="C1059" s="1" t="n">
        <v>45917</v>
      </c>
      <c r="D1059" t="inlineStr">
        <is>
          <t>STOCKHOLMS LÄN</t>
        </is>
      </c>
      <c r="E1059" t="inlineStr">
        <is>
          <t>NORRTÄLJE</t>
        </is>
      </c>
      <c r="F1059" t="inlineStr">
        <is>
          <t>Övriga Aktiebolag</t>
        </is>
      </c>
      <c r="G1059" t="n">
        <v>6.6</v>
      </c>
      <c r="H1059" t="n">
        <v>0</v>
      </c>
      <c r="I1059" t="n">
        <v>0</v>
      </c>
      <c r="J1059" t="n">
        <v>0</v>
      </c>
      <c r="K1059" t="n">
        <v>0</v>
      </c>
      <c r="L1059" t="n">
        <v>0</v>
      </c>
      <c r="M1059" t="n">
        <v>0</v>
      </c>
      <c r="N1059" t="n">
        <v>0</v>
      </c>
      <c r="O1059" t="n">
        <v>0</v>
      </c>
      <c r="P1059" t="n">
        <v>0</v>
      </c>
      <c r="Q1059" t="n">
        <v>0</v>
      </c>
      <c r="R1059" s="2" t="inlineStr"/>
    </row>
    <row r="1060">
      <c r="A1060" t="inlineStr">
        <is>
          <t>A 17612-2022</t>
        </is>
      </c>
      <c r="B1060" s="1" t="n">
        <v>44680</v>
      </c>
      <c r="C1060" s="1" t="n">
        <v>45917</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2025-09-17T09:00:20Z</dcterms:created>
  <dcterms:modified xmlns:dcterms="http://purl.org/dc/terms/" xmlns:xsi="http://www.w3.org/2001/XMLSchema-instance" xsi:type="dcterms:W3CDTF">2025-09-17T09:00:21Z</dcterms:modified>
</cp:coreProperties>
</file>