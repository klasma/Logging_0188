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45471</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45471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45471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45471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45471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45471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45471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45471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45471</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45471</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45471</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45471</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45471</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45471</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45471</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45471</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45471</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45471</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45471</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45471</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45471</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45471</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45471</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45471</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45471</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45471</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45471</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45471</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45471</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45471</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45471</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45471</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45471</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45471</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45471</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45471</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45471</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45471</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45471</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45471</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45471</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45471</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45471</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45471</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45471</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45471</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45471</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45471</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45471</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45471</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25507-2019</t>
        </is>
      </c>
      <c r="B52" s="1" t="n">
        <v>43606</v>
      </c>
      <c r="C52" s="1" t="n">
        <v>45471</v>
      </c>
      <c r="D52" t="inlineStr">
        <is>
          <t>STOCKHOLMS LÄN</t>
        </is>
      </c>
      <c r="E52" t="inlineStr">
        <is>
          <t>NORRTÄLJE</t>
        </is>
      </c>
      <c r="G52" t="n">
        <v>3.1</v>
      </c>
      <c r="H52" t="n">
        <v>1</v>
      </c>
      <c r="I52" t="n">
        <v>2</v>
      </c>
      <c r="J52" t="n">
        <v>0</v>
      </c>
      <c r="K52" t="n">
        <v>0</v>
      </c>
      <c r="L52" t="n">
        <v>1</v>
      </c>
      <c r="M52" t="n">
        <v>0</v>
      </c>
      <c r="N52" t="n">
        <v>0</v>
      </c>
      <c r="O52" t="n">
        <v>1</v>
      </c>
      <c r="P52" t="n">
        <v>1</v>
      </c>
      <c r="Q52" t="n">
        <v>4</v>
      </c>
      <c r="R52" s="2" t="inlineStr">
        <is>
          <t>Ask
Tibast
Vårärt
Blåsippa</t>
        </is>
      </c>
      <c r="S52">
        <f>HYPERLINK("https://klasma.github.io/Logging_0188/artfynd/A 25507-2019 artfynd.xlsx", "A 25507-2019")</f>
        <v/>
      </c>
      <c r="T52">
        <f>HYPERLINK("https://klasma.github.io/Logging_0188/kartor/A 25507-2019 karta.png", "A 25507-2019")</f>
        <v/>
      </c>
      <c r="V52">
        <f>HYPERLINK("https://klasma.github.io/Logging_0188/klagomål/A 25507-2019 FSC-klagomål.docx", "A 25507-2019")</f>
        <v/>
      </c>
      <c r="W52">
        <f>HYPERLINK("https://klasma.github.io/Logging_0188/klagomålsmail/A 25507-2019 FSC-klagomål mail.docx", "A 25507-2019")</f>
        <v/>
      </c>
      <c r="X52">
        <f>HYPERLINK("https://klasma.github.io/Logging_0188/tillsyn/A 25507-2019 tillsynsbegäran.docx", "A 25507-2019")</f>
        <v/>
      </c>
      <c r="Y52">
        <f>HYPERLINK("https://klasma.github.io/Logging_0188/tillsynsmail/A 25507-2019 tillsynsbegäran mail.docx", "A 25507-2019")</f>
        <v/>
      </c>
    </row>
    <row r="53" ht="15" customHeight="1">
      <c r="A53" t="inlineStr">
        <is>
          <t>A 28408-2019</t>
        </is>
      </c>
      <c r="B53" s="1" t="n">
        <v>43626</v>
      </c>
      <c r="C53" s="1" t="n">
        <v>45471</v>
      </c>
      <c r="D53" t="inlineStr">
        <is>
          <t>STOCKHOLMS LÄN</t>
        </is>
      </c>
      <c r="E53" t="inlineStr">
        <is>
          <t>NORRTÄLJE</t>
        </is>
      </c>
      <c r="G53" t="n">
        <v>1.1</v>
      </c>
      <c r="H53" t="n">
        <v>2</v>
      </c>
      <c r="I53" t="n">
        <v>2</v>
      </c>
      <c r="J53" t="n">
        <v>1</v>
      </c>
      <c r="K53" t="n">
        <v>1</v>
      </c>
      <c r="L53" t="n">
        <v>0</v>
      </c>
      <c r="M53" t="n">
        <v>0</v>
      </c>
      <c r="N53" t="n">
        <v>0</v>
      </c>
      <c r="O53" t="n">
        <v>2</v>
      </c>
      <c r="P53" t="n">
        <v>1</v>
      </c>
      <c r="Q53" t="n">
        <v>4</v>
      </c>
      <c r="R53" s="2" t="inlineStr">
        <is>
          <t>Knärot
Granticka
Grönpyrola
Nästrot</t>
        </is>
      </c>
      <c r="S53">
        <f>HYPERLINK("https://klasma.github.io/Logging_0188/artfynd/A 28408-2019 artfynd.xlsx", "A 28408-2019")</f>
        <v/>
      </c>
      <c r="T53">
        <f>HYPERLINK("https://klasma.github.io/Logging_0188/kartor/A 28408-2019 karta.png", "A 28408-2019")</f>
        <v/>
      </c>
      <c r="U53">
        <f>HYPERLINK("https://klasma.github.io/Logging_0188/knärot/A 28408-2019 karta knärot.png", "A 28408-2019")</f>
        <v/>
      </c>
      <c r="V53">
        <f>HYPERLINK("https://klasma.github.io/Logging_0188/klagomål/A 28408-2019 FSC-klagomål.docx", "A 28408-2019")</f>
        <v/>
      </c>
      <c r="W53">
        <f>HYPERLINK("https://klasma.github.io/Logging_0188/klagomålsmail/A 28408-2019 FSC-klagomål mail.docx", "A 28408-2019")</f>
        <v/>
      </c>
      <c r="X53">
        <f>HYPERLINK("https://klasma.github.io/Logging_0188/tillsyn/A 28408-2019 tillsynsbegäran.docx", "A 28408-2019")</f>
        <v/>
      </c>
      <c r="Y53">
        <f>HYPERLINK("https://klasma.github.io/Logging_0188/tillsynsmail/A 28408-2019 tillsynsbegäran mail.docx", "A 28408-2019")</f>
        <v/>
      </c>
    </row>
    <row r="54" ht="15" customHeight="1">
      <c r="A54" t="inlineStr">
        <is>
          <t>A 5732-2020</t>
        </is>
      </c>
      <c r="B54" s="1" t="n">
        <v>43863</v>
      </c>
      <c r="C54" s="1" t="n">
        <v>45471</v>
      </c>
      <c r="D54" t="inlineStr">
        <is>
          <t>STOCKHOLMS LÄN</t>
        </is>
      </c>
      <c r="E54" t="inlineStr">
        <is>
          <t>NORRTÄLJE</t>
        </is>
      </c>
      <c r="G54" t="n">
        <v>1.8</v>
      </c>
      <c r="H54" t="n">
        <v>0</v>
      </c>
      <c r="I54" t="n">
        <v>2</v>
      </c>
      <c r="J54" t="n">
        <v>2</v>
      </c>
      <c r="K54" t="n">
        <v>0</v>
      </c>
      <c r="L54" t="n">
        <v>0</v>
      </c>
      <c r="M54" t="n">
        <v>0</v>
      </c>
      <c r="N54" t="n">
        <v>0</v>
      </c>
      <c r="O54" t="n">
        <v>2</v>
      </c>
      <c r="P54" t="n">
        <v>0</v>
      </c>
      <c r="Q54" t="n">
        <v>4</v>
      </c>
      <c r="R54" s="2" t="inlineStr">
        <is>
          <t>Svart taggsvamp
Äggspindling
Kryddspindling
Strimspindling</t>
        </is>
      </c>
      <c r="S54">
        <f>HYPERLINK("https://klasma.github.io/Logging_0188/artfynd/A 5732-2020 artfynd.xlsx", "A 5732-2020")</f>
        <v/>
      </c>
      <c r="T54">
        <f>HYPERLINK("https://klasma.github.io/Logging_0188/kartor/A 5732-2020 karta.png", "A 5732-2020")</f>
        <v/>
      </c>
      <c r="V54">
        <f>HYPERLINK("https://klasma.github.io/Logging_0188/klagomål/A 5732-2020 FSC-klagomål.docx", "A 5732-2020")</f>
        <v/>
      </c>
      <c r="W54">
        <f>HYPERLINK("https://klasma.github.io/Logging_0188/klagomålsmail/A 5732-2020 FSC-klagomål mail.docx", "A 5732-2020")</f>
        <v/>
      </c>
      <c r="X54">
        <f>HYPERLINK("https://klasma.github.io/Logging_0188/tillsyn/A 5732-2020 tillsynsbegäran.docx", "A 5732-2020")</f>
        <v/>
      </c>
      <c r="Y54">
        <f>HYPERLINK("https://klasma.github.io/Logging_0188/tillsynsmail/A 5732-2020 tillsynsbegäran mail.docx", "A 5732-2020")</f>
        <v/>
      </c>
    </row>
    <row r="55" ht="15" customHeight="1">
      <c r="A55" t="inlineStr">
        <is>
          <t>A 24052-2021</t>
        </is>
      </c>
      <c r="B55" s="1" t="n">
        <v>44336</v>
      </c>
      <c r="C55" s="1" t="n">
        <v>45471</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72305-2021</t>
        </is>
      </c>
      <c r="B56" s="1" t="n">
        <v>44545</v>
      </c>
      <c r="C56" s="1" t="n">
        <v>45471</v>
      </c>
      <c r="D56" t="inlineStr">
        <is>
          <t>STOCKHOLMS LÄN</t>
        </is>
      </c>
      <c r="E56" t="inlineStr">
        <is>
          <t>NORRTÄLJE</t>
        </is>
      </c>
      <c r="G56" t="n">
        <v>1.5</v>
      </c>
      <c r="H56" t="n">
        <v>1</v>
      </c>
      <c r="I56" t="n">
        <v>3</v>
      </c>
      <c r="J56" t="n">
        <v>0</v>
      </c>
      <c r="K56" t="n">
        <v>0</v>
      </c>
      <c r="L56" t="n">
        <v>0</v>
      </c>
      <c r="M56" t="n">
        <v>0</v>
      </c>
      <c r="N56" t="n">
        <v>0</v>
      </c>
      <c r="O56" t="n">
        <v>0</v>
      </c>
      <c r="P56" t="n">
        <v>0</v>
      </c>
      <c r="Q56" t="n">
        <v>4</v>
      </c>
      <c r="R56" s="2" t="inlineStr">
        <is>
          <t>Svart trolldruva
Sårläka
Vårärt
Blåsippa</t>
        </is>
      </c>
      <c r="S56">
        <f>HYPERLINK("https://klasma.github.io/Logging_0188/artfynd/A 72305-2021 artfynd.xlsx", "A 72305-2021")</f>
        <v/>
      </c>
      <c r="T56">
        <f>HYPERLINK("https://klasma.github.io/Logging_0188/kartor/A 72305-2021 karta.png", "A 72305-2021")</f>
        <v/>
      </c>
      <c r="V56">
        <f>HYPERLINK("https://klasma.github.io/Logging_0188/klagomål/A 72305-2021 FSC-klagomål.docx", "A 72305-2021")</f>
        <v/>
      </c>
      <c r="W56">
        <f>HYPERLINK("https://klasma.github.io/Logging_0188/klagomålsmail/A 72305-2021 FSC-klagomål mail.docx", "A 72305-2021")</f>
        <v/>
      </c>
      <c r="X56">
        <f>HYPERLINK("https://klasma.github.io/Logging_0188/tillsyn/A 72305-2021 tillsynsbegäran.docx", "A 72305-2021")</f>
        <v/>
      </c>
      <c r="Y56">
        <f>HYPERLINK("https://klasma.github.io/Logging_0188/tillsynsmail/A 72305-2021 tillsynsbegäran mail.docx", "A 72305-2021")</f>
        <v/>
      </c>
    </row>
    <row r="57" ht="15" customHeight="1">
      <c r="A57" t="inlineStr">
        <is>
          <t>A 56785-2023</t>
        </is>
      </c>
      <c r="B57" s="1" t="n">
        <v>45244</v>
      </c>
      <c r="C57" s="1" t="n">
        <v>45471</v>
      </c>
      <c r="D57" t="inlineStr">
        <is>
          <t>STOCKHOLMS LÄN</t>
        </is>
      </c>
      <c r="E57" t="inlineStr">
        <is>
          <t>NORRTÄLJE</t>
        </is>
      </c>
      <c r="G57" t="n">
        <v>7.7</v>
      </c>
      <c r="H57" t="n">
        <v>0</v>
      </c>
      <c r="I57" t="n">
        <v>1</v>
      </c>
      <c r="J57" t="n">
        <v>3</v>
      </c>
      <c r="K57" t="n">
        <v>0</v>
      </c>
      <c r="L57" t="n">
        <v>0</v>
      </c>
      <c r="M57" t="n">
        <v>0</v>
      </c>
      <c r="N57" t="n">
        <v>0</v>
      </c>
      <c r="O57" t="n">
        <v>3</v>
      </c>
      <c r="P57" t="n">
        <v>0</v>
      </c>
      <c r="Q57" t="n">
        <v>4</v>
      </c>
      <c r="R57" s="2" t="inlineStr">
        <is>
          <t>Plattad lövvedborre
Skeppsvarvsfluga
Triplax rufipes
Dorcatoma chrysomelina</t>
        </is>
      </c>
      <c r="S57">
        <f>HYPERLINK("https://klasma.github.io/Logging_0188/artfynd/A 56785-2023 artfynd.xlsx", "A 56785-2023")</f>
        <v/>
      </c>
      <c r="T57">
        <f>HYPERLINK("https://klasma.github.io/Logging_0188/kartor/A 56785-2023 karta.png", "A 56785-2023")</f>
        <v/>
      </c>
      <c r="V57">
        <f>HYPERLINK("https://klasma.github.io/Logging_0188/klagomål/A 56785-2023 FSC-klagomål.docx", "A 56785-2023")</f>
        <v/>
      </c>
      <c r="W57">
        <f>HYPERLINK("https://klasma.github.io/Logging_0188/klagomålsmail/A 56785-2023 FSC-klagomål mail.docx", "A 56785-2023")</f>
        <v/>
      </c>
      <c r="X57">
        <f>HYPERLINK("https://klasma.github.io/Logging_0188/tillsyn/A 56785-2023 tillsynsbegäran.docx", "A 56785-2023")</f>
        <v/>
      </c>
      <c r="Y57">
        <f>HYPERLINK("https://klasma.github.io/Logging_0188/tillsynsmail/A 56785-2023 tillsynsbegäran mail.docx", "A 56785-2023")</f>
        <v/>
      </c>
    </row>
    <row r="58" ht="15" customHeight="1">
      <c r="A58" t="inlineStr">
        <is>
          <t>A 24218-2024</t>
        </is>
      </c>
      <c r="B58" s="1" t="n">
        <v>45457</v>
      </c>
      <c r="C58" s="1" t="n">
        <v>45471</v>
      </c>
      <c r="D58" t="inlineStr">
        <is>
          <t>STOCKHOLMS LÄN</t>
        </is>
      </c>
      <c r="E58" t="inlineStr">
        <is>
          <t>NORRTÄLJE</t>
        </is>
      </c>
      <c r="G58" t="n">
        <v>3.4</v>
      </c>
      <c r="H58" t="n">
        <v>0</v>
      </c>
      <c r="I58" t="n">
        <v>4</v>
      </c>
      <c r="J58" t="n">
        <v>0</v>
      </c>
      <c r="K58" t="n">
        <v>0</v>
      </c>
      <c r="L58" t="n">
        <v>0</v>
      </c>
      <c r="M58" t="n">
        <v>0</v>
      </c>
      <c r="N58" t="n">
        <v>0</v>
      </c>
      <c r="O58" t="n">
        <v>0</v>
      </c>
      <c r="P58" t="n">
        <v>0</v>
      </c>
      <c r="Q58" t="n">
        <v>4</v>
      </c>
      <c r="R58" s="2" t="inlineStr">
        <is>
          <t>Fjällig taggsvamp s.str.
Olivspindling
Rökmusseron
Tjockfotad fingersvamp</t>
        </is>
      </c>
      <c r="S58">
        <f>HYPERLINK("https://klasma.github.io/Logging_0188/artfynd/A 24218-2024 artfynd.xlsx", "A 24218-2024")</f>
        <v/>
      </c>
      <c r="T58">
        <f>HYPERLINK("https://klasma.github.io/Logging_0188/kartor/A 24218-2024 karta.png", "A 24218-2024")</f>
        <v/>
      </c>
      <c r="V58">
        <f>HYPERLINK("https://klasma.github.io/Logging_0188/klagomål/A 24218-2024 FSC-klagomål.docx", "A 24218-2024")</f>
        <v/>
      </c>
      <c r="W58">
        <f>HYPERLINK("https://klasma.github.io/Logging_0188/klagomålsmail/A 24218-2024 FSC-klagomål mail.docx", "A 24218-2024")</f>
        <v/>
      </c>
      <c r="X58">
        <f>HYPERLINK("https://klasma.github.io/Logging_0188/tillsyn/A 24218-2024 tillsynsbegäran.docx", "A 24218-2024")</f>
        <v/>
      </c>
      <c r="Y58">
        <f>HYPERLINK("https://klasma.github.io/Logging_0188/tillsynsmail/A 24218-2024 tillsynsbegäran mail.docx", "A 24218-2024")</f>
        <v/>
      </c>
    </row>
    <row r="59" ht="15" customHeight="1">
      <c r="A59" t="inlineStr">
        <is>
          <t>A 19617-2019</t>
        </is>
      </c>
      <c r="B59" s="1" t="n">
        <v>43566</v>
      </c>
      <c r="C59" s="1" t="n">
        <v>45471</v>
      </c>
      <c r="D59" t="inlineStr">
        <is>
          <t>STOCKHOLMS LÄN</t>
        </is>
      </c>
      <c r="E59" t="inlineStr">
        <is>
          <t>NORRTÄLJE</t>
        </is>
      </c>
      <c r="G59" t="n">
        <v>16.1</v>
      </c>
      <c r="H59" t="n">
        <v>2</v>
      </c>
      <c r="I59" t="n">
        <v>1</v>
      </c>
      <c r="J59" t="n">
        <v>1</v>
      </c>
      <c r="K59" t="n">
        <v>0</v>
      </c>
      <c r="L59" t="n">
        <v>0</v>
      </c>
      <c r="M59" t="n">
        <v>0</v>
      </c>
      <c r="N59" t="n">
        <v>0</v>
      </c>
      <c r="O59" t="n">
        <v>1</v>
      </c>
      <c r="P59" t="n">
        <v>0</v>
      </c>
      <c r="Q59" t="n">
        <v>3</v>
      </c>
      <c r="R59" s="2" t="inlineStr">
        <is>
          <t>Havsörn
Myskbock
Blåsippa</t>
        </is>
      </c>
      <c r="S59">
        <f>HYPERLINK("https://klasma.github.io/Logging_0188/artfynd/A 19617-2019 artfynd.xlsx", "A 19617-2019")</f>
        <v/>
      </c>
      <c r="T59">
        <f>HYPERLINK("https://klasma.github.io/Logging_0188/kartor/A 19617-2019 karta.png", "A 19617-2019")</f>
        <v/>
      </c>
      <c r="V59">
        <f>HYPERLINK("https://klasma.github.io/Logging_0188/klagomål/A 19617-2019 FSC-klagomål.docx", "A 19617-2019")</f>
        <v/>
      </c>
      <c r="W59">
        <f>HYPERLINK("https://klasma.github.io/Logging_0188/klagomålsmail/A 19617-2019 FSC-klagomål mail.docx", "A 19617-2019")</f>
        <v/>
      </c>
      <c r="X59">
        <f>HYPERLINK("https://klasma.github.io/Logging_0188/tillsyn/A 19617-2019 tillsynsbegäran.docx", "A 19617-2019")</f>
        <v/>
      </c>
      <c r="Y59">
        <f>HYPERLINK("https://klasma.github.io/Logging_0188/tillsynsmail/A 19617-2019 tillsynsbegäran mail.docx", "A 19617-2019")</f>
        <v/>
      </c>
      <c r="Z59">
        <f>HYPERLINK("https://klasma.github.io/Logging_0188/fåglar/A 19617-2019 prioriterade fågelarter.docx", "A 19617-2019")</f>
        <v/>
      </c>
    </row>
    <row r="60" ht="15" customHeight="1">
      <c r="A60" t="inlineStr">
        <is>
          <t>A 14560-2021</t>
        </is>
      </c>
      <c r="B60" s="1" t="n">
        <v>44279</v>
      </c>
      <c r="C60" s="1" t="n">
        <v>45471</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17673-2021</t>
        </is>
      </c>
      <c r="B61" s="1" t="n">
        <v>44300</v>
      </c>
      <c r="C61" s="1" t="n">
        <v>45471</v>
      </c>
      <c r="D61" t="inlineStr">
        <is>
          <t>STOCKHOLMS LÄN</t>
        </is>
      </c>
      <c r="E61" t="inlineStr">
        <is>
          <t>NORRTÄLJE</t>
        </is>
      </c>
      <c r="G61" t="n">
        <v>10.4</v>
      </c>
      <c r="H61" t="n">
        <v>3</v>
      </c>
      <c r="I61" t="n">
        <v>0</v>
      </c>
      <c r="J61" t="n">
        <v>2</v>
      </c>
      <c r="K61" t="n">
        <v>0</v>
      </c>
      <c r="L61" t="n">
        <v>0</v>
      </c>
      <c r="M61" t="n">
        <v>0</v>
      </c>
      <c r="N61" t="n">
        <v>0</v>
      </c>
      <c r="O61" t="n">
        <v>2</v>
      </c>
      <c r="P61" t="n">
        <v>0</v>
      </c>
      <c r="Q61" t="n">
        <v>3</v>
      </c>
      <c r="R61" s="2" t="inlineStr">
        <is>
          <t>Grönsångare
Havsörn
Blåsippa</t>
        </is>
      </c>
      <c r="S61">
        <f>HYPERLINK("https://klasma.github.io/Logging_0188/artfynd/A 17673-2021 artfynd.xlsx", "A 17673-2021")</f>
        <v/>
      </c>
      <c r="T61">
        <f>HYPERLINK("https://klasma.github.io/Logging_0188/kartor/A 17673-2021 karta.png", "A 17673-2021")</f>
        <v/>
      </c>
      <c r="V61">
        <f>HYPERLINK("https://klasma.github.io/Logging_0188/klagomål/A 17673-2021 FSC-klagomål.docx", "A 17673-2021")</f>
        <v/>
      </c>
      <c r="W61">
        <f>HYPERLINK("https://klasma.github.io/Logging_0188/klagomålsmail/A 17673-2021 FSC-klagomål mail.docx", "A 17673-2021")</f>
        <v/>
      </c>
      <c r="X61">
        <f>HYPERLINK("https://klasma.github.io/Logging_0188/tillsyn/A 17673-2021 tillsynsbegäran.docx", "A 17673-2021")</f>
        <v/>
      </c>
      <c r="Y61">
        <f>HYPERLINK("https://klasma.github.io/Logging_0188/tillsynsmail/A 17673-2021 tillsynsbegäran mail.docx", "A 17673-2021")</f>
        <v/>
      </c>
      <c r="Z61">
        <f>HYPERLINK("https://klasma.github.io/Logging_0188/fåglar/A 17673-2021 prioriterade fågelarter.docx", "A 17673-2021")</f>
        <v/>
      </c>
    </row>
    <row r="62" ht="15" customHeight="1">
      <c r="A62" t="inlineStr">
        <is>
          <t>A 65629-2021</t>
        </is>
      </c>
      <c r="B62" s="1" t="n">
        <v>44516</v>
      </c>
      <c r="C62" s="1" t="n">
        <v>45471</v>
      </c>
      <c r="D62" t="inlineStr">
        <is>
          <t>STOCKHOLMS LÄN</t>
        </is>
      </c>
      <c r="E62" t="inlineStr">
        <is>
          <t>NORRTÄLJE</t>
        </is>
      </c>
      <c r="G62" t="n">
        <v>3</v>
      </c>
      <c r="H62" t="n">
        <v>0</v>
      </c>
      <c r="I62" t="n">
        <v>1</v>
      </c>
      <c r="J62" t="n">
        <v>2</v>
      </c>
      <c r="K62" t="n">
        <v>0</v>
      </c>
      <c r="L62" t="n">
        <v>0</v>
      </c>
      <c r="M62" t="n">
        <v>0</v>
      </c>
      <c r="N62" t="n">
        <v>0</v>
      </c>
      <c r="O62" t="n">
        <v>2</v>
      </c>
      <c r="P62" t="n">
        <v>0</v>
      </c>
      <c r="Q62" t="n">
        <v>3</v>
      </c>
      <c r="R62" s="2" t="inlineStr">
        <is>
          <t>Granticka
Ullticka
Granbarkgnagare</t>
        </is>
      </c>
      <c r="S62">
        <f>HYPERLINK("https://klasma.github.io/Logging_0188/artfynd/A 65629-2021 artfynd.xlsx", "A 65629-2021")</f>
        <v/>
      </c>
      <c r="T62">
        <f>HYPERLINK("https://klasma.github.io/Logging_0188/kartor/A 65629-2021 karta.png", "A 65629-2021")</f>
        <v/>
      </c>
      <c r="V62">
        <f>HYPERLINK("https://klasma.github.io/Logging_0188/klagomål/A 65629-2021 FSC-klagomål.docx", "A 65629-2021")</f>
        <v/>
      </c>
      <c r="W62">
        <f>HYPERLINK("https://klasma.github.io/Logging_0188/klagomålsmail/A 65629-2021 FSC-klagomål mail.docx", "A 65629-2021")</f>
        <v/>
      </c>
      <c r="X62">
        <f>HYPERLINK("https://klasma.github.io/Logging_0188/tillsyn/A 65629-2021 tillsynsbegäran.docx", "A 65629-2021")</f>
        <v/>
      </c>
      <c r="Y62">
        <f>HYPERLINK("https://klasma.github.io/Logging_0188/tillsynsmail/A 65629-2021 tillsynsbegäran mail.docx", "A 65629-2021")</f>
        <v/>
      </c>
    </row>
    <row r="63" ht="15" customHeight="1">
      <c r="A63" t="inlineStr">
        <is>
          <t>A 12215-2022</t>
        </is>
      </c>
      <c r="B63" s="1" t="n">
        <v>44637</v>
      </c>
      <c r="C63" s="1" t="n">
        <v>45471</v>
      </c>
      <c r="D63" t="inlineStr">
        <is>
          <t>STOCKHOLMS LÄN</t>
        </is>
      </c>
      <c r="E63" t="inlineStr">
        <is>
          <t>NORRTÄLJE</t>
        </is>
      </c>
      <c r="G63" t="n">
        <v>3.1</v>
      </c>
      <c r="H63" t="n">
        <v>3</v>
      </c>
      <c r="I63" t="n">
        <v>3</v>
      </c>
      <c r="J63" t="n">
        <v>0</v>
      </c>
      <c r="K63" t="n">
        <v>0</v>
      </c>
      <c r="L63" t="n">
        <v>0</v>
      </c>
      <c r="M63" t="n">
        <v>0</v>
      </c>
      <c r="N63" t="n">
        <v>0</v>
      </c>
      <c r="O63" t="n">
        <v>0</v>
      </c>
      <c r="P63" t="n">
        <v>0</v>
      </c>
      <c r="Q63" t="n">
        <v>3</v>
      </c>
      <c r="R63" s="2" t="inlineStr">
        <is>
          <t>Guckusko
Skogsknipprot
Tvåblad</t>
        </is>
      </c>
      <c r="S63">
        <f>HYPERLINK("https://klasma.github.io/Logging_0188/artfynd/A 12215-2022 artfynd.xlsx", "A 12215-2022")</f>
        <v/>
      </c>
      <c r="T63">
        <f>HYPERLINK("https://klasma.github.io/Logging_0188/kartor/A 12215-2022 karta.png", "A 12215-2022")</f>
        <v/>
      </c>
      <c r="V63">
        <f>HYPERLINK("https://klasma.github.io/Logging_0188/klagomål/A 12215-2022 FSC-klagomål.docx", "A 12215-2022")</f>
        <v/>
      </c>
      <c r="W63">
        <f>HYPERLINK("https://klasma.github.io/Logging_0188/klagomålsmail/A 12215-2022 FSC-klagomål mail.docx", "A 12215-2022")</f>
        <v/>
      </c>
      <c r="X63">
        <f>HYPERLINK("https://klasma.github.io/Logging_0188/tillsyn/A 12215-2022 tillsynsbegäran.docx", "A 12215-2022")</f>
        <v/>
      </c>
      <c r="Y63">
        <f>HYPERLINK("https://klasma.github.io/Logging_0188/tillsynsmail/A 12215-2022 tillsynsbegäran mail.docx", "A 12215-2022")</f>
        <v/>
      </c>
    </row>
    <row r="64" ht="15" customHeight="1">
      <c r="A64" t="inlineStr">
        <is>
          <t>A 20185-2022</t>
        </is>
      </c>
      <c r="B64" s="1" t="n">
        <v>44698</v>
      </c>
      <c r="C64" s="1" t="n">
        <v>45471</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28836-2022</t>
        </is>
      </c>
      <c r="B65" s="1" t="n">
        <v>44749</v>
      </c>
      <c r="C65" s="1" t="n">
        <v>45471</v>
      </c>
      <c r="D65" t="inlineStr">
        <is>
          <t>STOCKHOLMS LÄN</t>
        </is>
      </c>
      <c r="E65" t="inlineStr">
        <is>
          <t>NORRTÄLJE</t>
        </is>
      </c>
      <c r="G65" t="n">
        <v>25</v>
      </c>
      <c r="H65" t="n">
        <v>2</v>
      </c>
      <c r="I65" t="n">
        <v>0</v>
      </c>
      <c r="J65" t="n">
        <v>2</v>
      </c>
      <c r="K65" t="n">
        <v>0</v>
      </c>
      <c r="L65" t="n">
        <v>0</v>
      </c>
      <c r="M65" t="n">
        <v>0</v>
      </c>
      <c r="N65" t="n">
        <v>0</v>
      </c>
      <c r="O65" t="n">
        <v>2</v>
      </c>
      <c r="P65" t="n">
        <v>0</v>
      </c>
      <c r="Q65" t="n">
        <v>3</v>
      </c>
      <c r="R65" s="2" t="inlineStr">
        <is>
          <t>Backklöver
Svartvit flugsnappare
Skogsödla</t>
        </is>
      </c>
      <c r="S65">
        <f>HYPERLINK("https://klasma.github.io/Logging_0188/artfynd/A 28836-2022 artfynd.xlsx", "A 28836-2022")</f>
        <v/>
      </c>
      <c r="T65">
        <f>HYPERLINK("https://klasma.github.io/Logging_0188/kartor/A 28836-2022 karta.png", "A 28836-2022")</f>
        <v/>
      </c>
      <c r="V65">
        <f>HYPERLINK("https://klasma.github.io/Logging_0188/klagomål/A 28836-2022 FSC-klagomål.docx", "A 28836-2022")</f>
        <v/>
      </c>
      <c r="W65">
        <f>HYPERLINK("https://klasma.github.io/Logging_0188/klagomålsmail/A 28836-2022 FSC-klagomål mail.docx", "A 28836-2022")</f>
        <v/>
      </c>
      <c r="X65">
        <f>HYPERLINK("https://klasma.github.io/Logging_0188/tillsyn/A 28836-2022 tillsynsbegäran.docx", "A 28836-2022")</f>
        <v/>
      </c>
      <c r="Y65">
        <f>HYPERLINK("https://klasma.github.io/Logging_0188/tillsynsmail/A 28836-2022 tillsynsbegäran mail.docx", "A 28836-2022")</f>
        <v/>
      </c>
      <c r="Z65">
        <f>HYPERLINK("https://klasma.github.io/Logging_0188/fåglar/A 28836-2022 prioriterade fågelarter.docx", "A 28836-2022")</f>
        <v/>
      </c>
    </row>
    <row r="66" ht="15" customHeight="1">
      <c r="A66" t="inlineStr">
        <is>
          <t>A 45113-2022</t>
        </is>
      </c>
      <c r="B66" s="1" t="n">
        <v>44843</v>
      </c>
      <c r="C66" s="1" t="n">
        <v>45471</v>
      </c>
      <c r="D66" t="inlineStr">
        <is>
          <t>STOCKHOLMS LÄN</t>
        </is>
      </c>
      <c r="E66" t="inlineStr">
        <is>
          <t>NORRTÄLJE</t>
        </is>
      </c>
      <c r="G66" t="n">
        <v>1.7</v>
      </c>
      <c r="H66" t="n">
        <v>0</v>
      </c>
      <c r="I66" t="n">
        <v>1</v>
      </c>
      <c r="J66" t="n">
        <v>1</v>
      </c>
      <c r="K66" t="n">
        <v>1</v>
      </c>
      <c r="L66" t="n">
        <v>0</v>
      </c>
      <c r="M66" t="n">
        <v>0</v>
      </c>
      <c r="N66" t="n">
        <v>0</v>
      </c>
      <c r="O66" t="n">
        <v>2</v>
      </c>
      <c r="P66" t="n">
        <v>1</v>
      </c>
      <c r="Q66" t="n">
        <v>3</v>
      </c>
      <c r="R66" s="2" t="inlineStr">
        <is>
          <t>Violett fingersvamp
Kandelabersvamp
Slät lönnlav</t>
        </is>
      </c>
      <c r="S66">
        <f>HYPERLINK("https://klasma.github.io/Logging_0188/artfynd/A 45113-2022 artfynd.xlsx", "A 45113-2022")</f>
        <v/>
      </c>
      <c r="T66">
        <f>HYPERLINK("https://klasma.github.io/Logging_0188/kartor/A 45113-2022 karta.png", "A 45113-2022")</f>
        <v/>
      </c>
      <c r="V66">
        <f>HYPERLINK("https://klasma.github.io/Logging_0188/klagomål/A 45113-2022 FSC-klagomål.docx", "A 45113-2022")</f>
        <v/>
      </c>
      <c r="W66">
        <f>HYPERLINK("https://klasma.github.io/Logging_0188/klagomålsmail/A 45113-2022 FSC-klagomål mail.docx", "A 45113-2022")</f>
        <v/>
      </c>
      <c r="X66">
        <f>HYPERLINK("https://klasma.github.io/Logging_0188/tillsyn/A 45113-2022 tillsynsbegäran.docx", "A 45113-2022")</f>
        <v/>
      </c>
      <c r="Y66">
        <f>HYPERLINK("https://klasma.github.io/Logging_0188/tillsynsmail/A 45113-2022 tillsynsbegäran mail.docx", "A 45113-2022")</f>
        <v/>
      </c>
    </row>
    <row r="67" ht="15" customHeight="1">
      <c r="A67" t="inlineStr">
        <is>
          <t>A 50618-2022</t>
        </is>
      </c>
      <c r="B67" s="1" t="n">
        <v>44866</v>
      </c>
      <c r="C67" s="1" t="n">
        <v>45471</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2851-2023</t>
        </is>
      </c>
      <c r="B68" s="1" t="n">
        <v>44945</v>
      </c>
      <c r="C68" s="1" t="n">
        <v>45471</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17916-2023</t>
        </is>
      </c>
      <c r="B69" s="1" t="n">
        <v>45040</v>
      </c>
      <c r="C69" s="1" t="n">
        <v>45471</v>
      </c>
      <c r="D69" t="inlineStr">
        <is>
          <t>STOCKHOLMS LÄN</t>
        </is>
      </c>
      <c r="E69" t="inlineStr">
        <is>
          <t>NORRTÄLJE</t>
        </is>
      </c>
      <c r="G69" t="n">
        <v>9.1</v>
      </c>
      <c r="H69" t="n">
        <v>1</v>
      </c>
      <c r="I69" t="n">
        <v>2</v>
      </c>
      <c r="J69" t="n">
        <v>0</v>
      </c>
      <c r="K69" t="n">
        <v>0</v>
      </c>
      <c r="L69" t="n">
        <v>0</v>
      </c>
      <c r="M69" t="n">
        <v>0</v>
      </c>
      <c r="N69" t="n">
        <v>0</v>
      </c>
      <c r="O69" t="n">
        <v>0</v>
      </c>
      <c r="P69" t="n">
        <v>0</v>
      </c>
      <c r="Q69" t="n">
        <v>3</v>
      </c>
      <c r="R69" s="2" t="inlineStr">
        <is>
          <t>Skarp dropptaggsvamp
Sårläka
Blåsippa</t>
        </is>
      </c>
      <c r="S69">
        <f>HYPERLINK("https://klasma.github.io/Logging_0188/artfynd/A 17916-2023 artfynd.xlsx", "A 17916-2023")</f>
        <v/>
      </c>
      <c r="T69">
        <f>HYPERLINK("https://klasma.github.io/Logging_0188/kartor/A 17916-2023 karta.png", "A 17916-2023")</f>
        <v/>
      </c>
      <c r="V69">
        <f>HYPERLINK("https://klasma.github.io/Logging_0188/klagomål/A 17916-2023 FSC-klagomål.docx", "A 17916-2023")</f>
        <v/>
      </c>
      <c r="W69">
        <f>HYPERLINK("https://klasma.github.io/Logging_0188/klagomålsmail/A 17916-2023 FSC-klagomål mail.docx", "A 17916-2023")</f>
        <v/>
      </c>
      <c r="X69">
        <f>HYPERLINK("https://klasma.github.io/Logging_0188/tillsyn/A 17916-2023 tillsynsbegäran.docx", "A 17916-2023")</f>
        <v/>
      </c>
      <c r="Y69">
        <f>HYPERLINK("https://klasma.github.io/Logging_0188/tillsynsmail/A 17916-2023 tillsynsbegäran mail.docx", "A 17916-2023")</f>
        <v/>
      </c>
    </row>
    <row r="70" ht="15" customHeight="1">
      <c r="A70" t="inlineStr">
        <is>
          <t>A 36662-2023</t>
        </is>
      </c>
      <c r="B70" s="1" t="n">
        <v>45153</v>
      </c>
      <c r="C70" s="1" t="n">
        <v>45471</v>
      </c>
      <c r="D70" t="inlineStr">
        <is>
          <t>STOCKHOLMS LÄN</t>
        </is>
      </c>
      <c r="E70" t="inlineStr">
        <is>
          <t>NORRTÄLJE</t>
        </is>
      </c>
      <c r="G70" t="n">
        <v>3.1</v>
      </c>
      <c r="H70" t="n">
        <v>1</v>
      </c>
      <c r="I70" t="n">
        <v>2</v>
      </c>
      <c r="J70" t="n">
        <v>1</v>
      </c>
      <c r="K70" t="n">
        <v>0</v>
      </c>
      <c r="L70" t="n">
        <v>0</v>
      </c>
      <c r="M70" t="n">
        <v>0</v>
      </c>
      <c r="N70" t="n">
        <v>0</v>
      </c>
      <c r="O70" t="n">
        <v>1</v>
      </c>
      <c r="P70" t="n">
        <v>0</v>
      </c>
      <c r="Q70" t="n">
        <v>3</v>
      </c>
      <c r="R70" s="2" t="inlineStr">
        <is>
          <t>Svartvit taggsvamp
Skogsknipprot
Svavelriska</t>
        </is>
      </c>
      <c r="S70">
        <f>HYPERLINK("https://klasma.github.io/Logging_0188/artfynd/A 36662-2023 artfynd.xlsx", "A 36662-2023")</f>
        <v/>
      </c>
      <c r="T70">
        <f>HYPERLINK("https://klasma.github.io/Logging_0188/kartor/A 36662-2023 karta.png", "A 36662-2023")</f>
        <v/>
      </c>
      <c r="V70">
        <f>HYPERLINK("https://klasma.github.io/Logging_0188/klagomål/A 36662-2023 FSC-klagomål.docx", "A 36662-2023")</f>
        <v/>
      </c>
      <c r="W70">
        <f>HYPERLINK("https://klasma.github.io/Logging_0188/klagomålsmail/A 36662-2023 FSC-klagomål mail.docx", "A 36662-2023")</f>
        <v/>
      </c>
      <c r="X70">
        <f>HYPERLINK("https://klasma.github.io/Logging_0188/tillsyn/A 36662-2023 tillsynsbegäran.docx", "A 36662-2023")</f>
        <v/>
      </c>
      <c r="Y70">
        <f>HYPERLINK("https://klasma.github.io/Logging_0188/tillsynsmail/A 36662-2023 tillsynsbegäran mail.docx", "A 36662-2023")</f>
        <v/>
      </c>
    </row>
    <row r="71" ht="15" customHeight="1">
      <c r="A71" t="inlineStr">
        <is>
          <t>A 43304-2023</t>
        </is>
      </c>
      <c r="B71" s="1" t="n">
        <v>45183</v>
      </c>
      <c r="C71" s="1" t="n">
        <v>45471</v>
      </c>
      <c r="D71" t="inlineStr">
        <is>
          <t>STOCKHOLMS LÄN</t>
        </is>
      </c>
      <c r="E71" t="inlineStr">
        <is>
          <t>NORRTÄLJE</t>
        </is>
      </c>
      <c r="G71" t="n">
        <v>1.5</v>
      </c>
      <c r="H71" t="n">
        <v>0</v>
      </c>
      <c r="I71" t="n">
        <v>0</v>
      </c>
      <c r="J71" t="n">
        <v>2</v>
      </c>
      <c r="K71" t="n">
        <v>1</v>
      </c>
      <c r="L71" t="n">
        <v>0</v>
      </c>
      <c r="M71" t="n">
        <v>0</v>
      </c>
      <c r="N71" t="n">
        <v>0</v>
      </c>
      <c r="O71" t="n">
        <v>3</v>
      </c>
      <c r="P71" t="n">
        <v>1</v>
      </c>
      <c r="Q71" t="n">
        <v>3</v>
      </c>
      <c r="R71" s="2" t="inlineStr">
        <is>
          <t>Spricktaggsvamp
Kungsspindling
Persiljespindling</t>
        </is>
      </c>
      <c r="S71">
        <f>HYPERLINK("https://klasma.github.io/Logging_0188/artfynd/A 43304-2023 artfynd.xlsx", "A 43304-2023")</f>
        <v/>
      </c>
      <c r="T71">
        <f>HYPERLINK("https://klasma.github.io/Logging_0188/kartor/A 43304-2023 karta.png", "A 43304-2023")</f>
        <v/>
      </c>
      <c r="V71">
        <f>HYPERLINK("https://klasma.github.io/Logging_0188/klagomål/A 43304-2023 FSC-klagomål.docx", "A 43304-2023")</f>
        <v/>
      </c>
      <c r="W71">
        <f>HYPERLINK("https://klasma.github.io/Logging_0188/klagomålsmail/A 43304-2023 FSC-klagomål mail.docx", "A 43304-2023")</f>
        <v/>
      </c>
      <c r="X71">
        <f>HYPERLINK("https://klasma.github.io/Logging_0188/tillsyn/A 43304-2023 tillsynsbegäran.docx", "A 43304-2023")</f>
        <v/>
      </c>
      <c r="Y71">
        <f>HYPERLINK("https://klasma.github.io/Logging_0188/tillsynsmail/A 43304-2023 tillsynsbegäran mail.docx", "A 43304-2023")</f>
        <v/>
      </c>
    </row>
    <row r="72" ht="15" customHeight="1">
      <c r="A72" t="inlineStr">
        <is>
          <t>A 52011-2023</t>
        </is>
      </c>
      <c r="B72" s="1" t="n">
        <v>45223</v>
      </c>
      <c r="C72" s="1" t="n">
        <v>45471</v>
      </c>
      <c r="D72" t="inlineStr">
        <is>
          <t>STOCKHOLMS LÄN</t>
        </is>
      </c>
      <c r="E72" t="inlineStr">
        <is>
          <t>NORRTÄLJE</t>
        </is>
      </c>
      <c r="F72" t="inlineStr">
        <is>
          <t>Övriga Aktiebolag</t>
        </is>
      </c>
      <c r="G72" t="n">
        <v>16.6</v>
      </c>
      <c r="H72" t="n">
        <v>0</v>
      </c>
      <c r="I72" t="n">
        <v>2</v>
      </c>
      <c r="J72" t="n">
        <v>1</v>
      </c>
      <c r="K72" t="n">
        <v>0</v>
      </c>
      <c r="L72" t="n">
        <v>0</v>
      </c>
      <c r="M72" t="n">
        <v>0</v>
      </c>
      <c r="N72" t="n">
        <v>0</v>
      </c>
      <c r="O72" t="n">
        <v>1</v>
      </c>
      <c r="P72" t="n">
        <v>0</v>
      </c>
      <c r="Q72" t="n">
        <v>3</v>
      </c>
      <c r="R72" s="2" t="inlineStr">
        <is>
          <t>Vedtrappmossa
Mörk husmossa
Skogshakmossa</t>
        </is>
      </c>
      <c r="S72">
        <f>HYPERLINK("https://klasma.github.io/Logging_0188/artfynd/A 52011-2023 artfynd.xlsx", "A 52011-2023")</f>
        <v/>
      </c>
      <c r="T72">
        <f>HYPERLINK("https://klasma.github.io/Logging_0188/kartor/A 52011-2023 karta.png", "A 52011-2023")</f>
        <v/>
      </c>
      <c r="V72">
        <f>HYPERLINK("https://klasma.github.io/Logging_0188/klagomål/A 52011-2023 FSC-klagomål.docx", "A 52011-2023")</f>
        <v/>
      </c>
      <c r="W72">
        <f>HYPERLINK("https://klasma.github.io/Logging_0188/klagomålsmail/A 52011-2023 FSC-klagomål mail.docx", "A 52011-2023")</f>
        <v/>
      </c>
      <c r="X72">
        <f>HYPERLINK("https://klasma.github.io/Logging_0188/tillsyn/A 52011-2023 tillsynsbegäran.docx", "A 52011-2023")</f>
        <v/>
      </c>
      <c r="Y72">
        <f>HYPERLINK("https://klasma.github.io/Logging_0188/tillsynsmail/A 52011-2023 tillsynsbegäran mail.docx", "A 52011-2023")</f>
        <v/>
      </c>
    </row>
    <row r="73" ht="15" customHeight="1">
      <c r="A73" t="inlineStr">
        <is>
          <t>A 23830-2019</t>
        </is>
      </c>
      <c r="B73" s="1" t="n">
        <v>43595</v>
      </c>
      <c r="C73" s="1" t="n">
        <v>45471</v>
      </c>
      <c r="D73" t="inlineStr">
        <is>
          <t>STOCKHOLMS LÄN</t>
        </is>
      </c>
      <c r="E73" t="inlineStr">
        <is>
          <t>NORRTÄLJE</t>
        </is>
      </c>
      <c r="G73" t="n">
        <v>3</v>
      </c>
      <c r="H73" t="n">
        <v>2</v>
      </c>
      <c r="I73" t="n">
        <v>1</v>
      </c>
      <c r="J73" t="n">
        <v>0</v>
      </c>
      <c r="K73" t="n">
        <v>0</v>
      </c>
      <c r="L73" t="n">
        <v>0</v>
      </c>
      <c r="M73" t="n">
        <v>0</v>
      </c>
      <c r="N73" t="n">
        <v>0</v>
      </c>
      <c r="O73" t="n">
        <v>0</v>
      </c>
      <c r="P73" t="n">
        <v>0</v>
      </c>
      <c r="Q73" t="n">
        <v>2</v>
      </c>
      <c r="R73" s="2" t="inlineStr">
        <is>
          <t>Guckusko
Grönvit nattviol</t>
        </is>
      </c>
      <c r="S73">
        <f>HYPERLINK("https://klasma.github.io/Logging_0188/artfynd/A 23830-2019 artfynd.xlsx", "A 23830-2019")</f>
        <v/>
      </c>
      <c r="T73">
        <f>HYPERLINK("https://klasma.github.io/Logging_0188/kartor/A 23830-2019 karta.png", "A 23830-2019")</f>
        <v/>
      </c>
      <c r="V73">
        <f>HYPERLINK("https://klasma.github.io/Logging_0188/klagomål/A 23830-2019 FSC-klagomål.docx", "A 23830-2019")</f>
        <v/>
      </c>
      <c r="W73">
        <f>HYPERLINK("https://klasma.github.io/Logging_0188/klagomålsmail/A 23830-2019 FSC-klagomål mail.docx", "A 23830-2019")</f>
        <v/>
      </c>
      <c r="X73">
        <f>HYPERLINK("https://klasma.github.io/Logging_0188/tillsyn/A 23830-2019 tillsynsbegäran.docx", "A 23830-2019")</f>
        <v/>
      </c>
      <c r="Y73">
        <f>HYPERLINK("https://klasma.github.io/Logging_0188/tillsynsmail/A 23830-2019 tillsynsbegäran mail.docx", "A 23830-2019")</f>
        <v/>
      </c>
    </row>
    <row r="74" ht="15" customHeight="1">
      <c r="A74" t="inlineStr">
        <is>
          <t>A 47875-2019</t>
        </is>
      </c>
      <c r="B74" s="1" t="n">
        <v>43725</v>
      </c>
      <c r="C74" s="1" t="n">
        <v>45471</v>
      </c>
      <c r="D74" t="inlineStr">
        <is>
          <t>STOCKHOLMS LÄN</t>
        </is>
      </c>
      <c r="E74" t="inlineStr">
        <is>
          <t>NORRTÄLJE</t>
        </is>
      </c>
      <c r="G74" t="n">
        <v>10.9</v>
      </c>
      <c r="H74" t="n">
        <v>1</v>
      </c>
      <c r="I74" t="n">
        <v>0</v>
      </c>
      <c r="J74" t="n">
        <v>1</v>
      </c>
      <c r="K74" t="n">
        <v>0</v>
      </c>
      <c r="L74" t="n">
        <v>0</v>
      </c>
      <c r="M74" t="n">
        <v>0</v>
      </c>
      <c r="N74" t="n">
        <v>0</v>
      </c>
      <c r="O74" t="n">
        <v>1</v>
      </c>
      <c r="P74" t="n">
        <v>0</v>
      </c>
      <c r="Q74" t="n">
        <v>2</v>
      </c>
      <c r="R74" s="2" t="inlineStr">
        <is>
          <t>Vippärt
Mattlummer</t>
        </is>
      </c>
      <c r="S74">
        <f>HYPERLINK("https://klasma.github.io/Logging_0188/artfynd/A 47875-2019 artfynd.xlsx", "A 47875-2019")</f>
        <v/>
      </c>
      <c r="T74">
        <f>HYPERLINK("https://klasma.github.io/Logging_0188/kartor/A 47875-2019 karta.png", "A 47875-2019")</f>
        <v/>
      </c>
      <c r="V74">
        <f>HYPERLINK("https://klasma.github.io/Logging_0188/klagomål/A 47875-2019 FSC-klagomål.docx", "A 47875-2019")</f>
        <v/>
      </c>
      <c r="W74">
        <f>HYPERLINK("https://klasma.github.io/Logging_0188/klagomålsmail/A 47875-2019 FSC-klagomål mail.docx", "A 47875-2019")</f>
        <v/>
      </c>
      <c r="X74">
        <f>HYPERLINK("https://klasma.github.io/Logging_0188/tillsyn/A 47875-2019 tillsynsbegäran.docx", "A 47875-2019")</f>
        <v/>
      </c>
      <c r="Y74">
        <f>HYPERLINK("https://klasma.github.io/Logging_0188/tillsynsmail/A 47875-2019 tillsynsbegäran mail.docx", "A 47875-2019")</f>
        <v/>
      </c>
    </row>
    <row r="75" ht="15" customHeight="1">
      <c r="A75" t="inlineStr">
        <is>
          <t>A 6272-2020</t>
        </is>
      </c>
      <c r="B75" s="1" t="n">
        <v>43866</v>
      </c>
      <c r="C75" s="1" t="n">
        <v>45471</v>
      </c>
      <c r="D75" t="inlineStr">
        <is>
          <t>STOCKHOLMS LÄN</t>
        </is>
      </c>
      <c r="E75" t="inlineStr">
        <is>
          <t>NORRTÄLJE</t>
        </is>
      </c>
      <c r="F75" t="inlineStr">
        <is>
          <t>Övriga statliga verk och myndigheter</t>
        </is>
      </c>
      <c r="G75" t="n">
        <v>1.9</v>
      </c>
      <c r="H75" t="n">
        <v>1</v>
      </c>
      <c r="I75" t="n">
        <v>1</v>
      </c>
      <c r="J75" t="n">
        <v>1</v>
      </c>
      <c r="K75" t="n">
        <v>0</v>
      </c>
      <c r="L75" t="n">
        <v>0</v>
      </c>
      <c r="M75" t="n">
        <v>0</v>
      </c>
      <c r="N75" t="n">
        <v>0</v>
      </c>
      <c r="O75" t="n">
        <v>1</v>
      </c>
      <c r="P75" t="n">
        <v>0</v>
      </c>
      <c r="Q75" t="n">
        <v>2</v>
      </c>
      <c r="R75" s="2" t="inlineStr">
        <is>
          <t>Silversmygare
Nästrot</t>
        </is>
      </c>
      <c r="S75">
        <f>HYPERLINK("https://klasma.github.io/Logging_0188/artfynd/A 6272-2020 artfynd.xlsx", "A 6272-2020")</f>
        <v/>
      </c>
      <c r="T75">
        <f>HYPERLINK("https://klasma.github.io/Logging_0188/kartor/A 6272-2020 karta.png", "A 6272-2020")</f>
        <v/>
      </c>
      <c r="V75">
        <f>HYPERLINK("https://klasma.github.io/Logging_0188/klagomål/A 6272-2020 FSC-klagomål.docx", "A 6272-2020")</f>
        <v/>
      </c>
      <c r="W75">
        <f>HYPERLINK("https://klasma.github.io/Logging_0188/klagomålsmail/A 6272-2020 FSC-klagomål mail.docx", "A 6272-2020")</f>
        <v/>
      </c>
      <c r="X75">
        <f>HYPERLINK("https://klasma.github.io/Logging_0188/tillsyn/A 6272-2020 tillsynsbegäran.docx", "A 6272-2020")</f>
        <v/>
      </c>
      <c r="Y75">
        <f>HYPERLINK("https://klasma.github.io/Logging_0188/tillsynsmail/A 6272-2020 tillsynsbegäran mail.docx", "A 6272-2020")</f>
        <v/>
      </c>
    </row>
    <row r="76" ht="15" customHeight="1">
      <c r="A76" t="inlineStr">
        <is>
          <t>A 19565-2020</t>
        </is>
      </c>
      <c r="B76" s="1" t="n">
        <v>43936</v>
      </c>
      <c r="C76" s="1" t="n">
        <v>45471</v>
      </c>
      <c r="D76" t="inlineStr">
        <is>
          <t>STOCKHOLMS LÄN</t>
        </is>
      </c>
      <c r="E76" t="inlineStr">
        <is>
          <t>NORRTÄLJE</t>
        </is>
      </c>
      <c r="G76" t="n">
        <v>2.4</v>
      </c>
      <c r="H76" t="n">
        <v>0</v>
      </c>
      <c r="I76" t="n">
        <v>2</v>
      </c>
      <c r="J76" t="n">
        <v>0</v>
      </c>
      <c r="K76" t="n">
        <v>0</v>
      </c>
      <c r="L76" t="n">
        <v>0</v>
      </c>
      <c r="M76" t="n">
        <v>0</v>
      </c>
      <c r="N76" t="n">
        <v>0</v>
      </c>
      <c r="O76" t="n">
        <v>0</v>
      </c>
      <c r="P76" t="n">
        <v>0</v>
      </c>
      <c r="Q76" t="n">
        <v>2</v>
      </c>
      <c r="R76" s="2" t="inlineStr">
        <is>
          <t>Mörk husmossa
Rödgul trumpetsvamp</t>
        </is>
      </c>
      <c r="S76">
        <f>HYPERLINK("https://klasma.github.io/Logging_0188/artfynd/A 19565-2020 artfynd.xlsx", "A 19565-2020")</f>
        <v/>
      </c>
      <c r="T76">
        <f>HYPERLINK("https://klasma.github.io/Logging_0188/kartor/A 19565-2020 karta.png", "A 19565-2020")</f>
        <v/>
      </c>
      <c r="V76">
        <f>HYPERLINK("https://klasma.github.io/Logging_0188/klagomål/A 19565-2020 FSC-klagomål.docx", "A 19565-2020")</f>
        <v/>
      </c>
      <c r="W76">
        <f>HYPERLINK("https://klasma.github.io/Logging_0188/klagomålsmail/A 19565-2020 FSC-klagomål mail.docx", "A 19565-2020")</f>
        <v/>
      </c>
      <c r="X76">
        <f>HYPERLINK("https://klasma.github.io/Logging_0188/tillsyn/A 19565-2020 tillsynsbegäran.docx", "A 19565-2020")</f>
        <v/>
      </c>
      <c r="Y76">
        <f>HYPERLINK("https://klasma.github.io/Logging_0188/tillsynsmail/A 19565-2020 tillsynsbegäran mail.docx", "A 19565-2020")</f>
        <v/>
      </c>
    </row>
    <row r="77" ht="15" customHeight="1">
      <c r="A77" t="inlineStr">
        <is>
          <t>A 31803-2021</t>
        </is>
      </c>
      <c r="B77" s="1" t="n">
        <v>44370</v>
      </c>
      <c r="C77" s="1" t="n">
        <v>45471</v>
      </c>
      <c r="D77" t="inlineStr">
        <is>
          <t>STOCKHOLMS LÄN</t>
        </is>
      </c>
      <c r="E77" t="inlineStr">
        <is>
          <t>NORRTÄLJE</t>
        </is>
      </c>
      <c r="G77" t="n">
        <v>4.6</v>
      </c>
      <c r="H77" t="n">
        <v>0</v>
      </c>
      <c r="I77" t="n">
        <v>1</v>
      </c>
      <c r="J77" t="n">
        <v>1</v>
      </c>
      <c r="K77" t="n">
        <v>0</v>
      </c>
      <c r="L77" t="n">
        <v>0</v>
      </c>
      <c r="M77" t="n">
        <v>0</v>
      </c>
      <c r="N77" t="n">
        <v>0</v>
      </c>
      <c r="O77" t="n">
        <v>1</v>
      </c>
      <c r="P77" t="n">
        <v>0</v>
      </c>
      <c r="Q77" t="n">
        <v>2</v>
      </c>
      <c r="R77" s="2" t="inlineStr">
        <is>
          <t>Slåtterfibbla
Vårärt</t>
        </is>
      </c>
      <c r="S77">
        <f>HYPERLINK("https://klasma.github.io/Logging_0188/artfynd/A 31803-2021 artfynd.xlsx", "A 31803-2021")</f>
        <v/>
      </c>
      <c r="T77">
        <f>HYPERLINK("https://klasma.github.io/Logging_0188/kartor/A 31803-2021 karta.png", "A 31803-2021")</f>
        <v/>
      </c>
      <c r="V77">
        <f>HYPERLINK("https://klasma.github.io/Logging_0188/klagomål/A 31803-2021 FSC-klagomål.docx", "A 31803-2021")</f>
        <v/>
      </c>
      <c r="W77">
        <f>HYPERLINK("https://klasma.github.io/Logging_0188/klagomålsmail/A 31803-2021 FSC-klagomål mail.docx", "A 31803-2021")</f>
        <v/>
      </c>
      <c r="X77">
        <f>HYPERLINK("https://klasma.github.io/Logging_0188/tillsyn/A 31803-2021 tillsynsbegäran.docx", "A 31803-2021")</f>
        <v/>
      </c>
      <c r="Y77">
        <f>HYPERLINK("https://klasma.github.io/Logging_0188/tillsynsmail/A 31803-2021 tillsynsbegäran mail.docx", "A 31803-2021")</f>
        <v/>
      </c>
    </row>
    <row r="78" ht="15" customHeight="1">
      <c r="A78" t="inlineStr">
        <is>
          <t>A 40072-2021</t>
        </is>
      </c>
      <c r="B78" s="1" t="n">
        <v>44418</v>
      </c>
      <c r="C78" s="1" t="n">
        <v>45471</v>
      </c>
      <c r="D78" t="inlineStr">
        <is>
          <t>STOCKHOLMS LÄN</t>
        </is>
      </c>
      <c r="E78" t="inlineStr">
        <is>
          <t>NORRTÄLJE</t>
        </is>
      </c>
      <c r="G78" t="n">
        <v>1.1</v>
      </c>
      <c r="H78" t="n">
        <v>2</v>
      </c>
      <c r="I78" t="n">
        <v>0</v>
      </c>
      <c r="J78" t="n">
        <v>2</v>
      </c>
      <c r="K78" t="n">
        <v>0</v>
      </c>
      <c r="L78" t="n">
        <v>0</v>
      </c>
      <c r="M78" t="n">
        <v>0</v>
      </c>
      <c r="N78" t="n">
        <v>0</v>
      </c>
      <c r="O78" t="n">
        <v>2</v>
      </c>
      <c r="P78" t="n">
        <v>0</v>
      </c>
      <c r="Q78" t="n">
        <v>2</v>
      </c>
      <c r="R78" s="2" t="inlineStr">
        <is>
          <t>Rördrom
Slaguggla</t>
        </is>
      </c>
      <c r="S78">
        <f>HYPERLINK("https://klasma.github.io/Logging_0188/artfynd/A 40072-2021 artfynd.xlsx", "A 40072-2021")</f>
        <v/>
      </c>
      <c r="T78">
        <f>HYPERLINK("https://klasma.github.io/Logging_0188/kartor/A 40072-2021 karta.png", "A 40072-2021")</f>
        <v/>
      </c>
      <c r="V78">
        <f>HYPERLINK("https://klasma.github.io/Logging_0188/klagomål/A 40072-2021 FSC-klagomål.docx", "A 40072-2021")</f>
        <v/>
      </c>
      <c r="W78">
        <f>HYPERLINK("https://klasma.github.io/Logging_0188/klagomålsmail/A 40072-2021 FSC-klagomål mail.docx", "A 40072-2021")</f>
        <v/>
      </c>
      <c r="X78">
        <f>HYPERLINK("https://klasma.github.io/Logging_0188/tillsyn/A 40072-2021 tillsynsbegäran.docx", "A 40072-2021")</f>
        <v/>
      </c>
      <c r="Y78">
        <f>HYPERLINK("https://klasma.github.io/Logging_0188/tillsynsmail/A 40072-2021 tillsynsbegäran mail.docx", "A 40072-2021")</f>
        <v/>
      </c>
      <c r="Z78">
        <f>HYPERLINK("https://klasma.github.io/Logging_0188/fåglar/A 40072-2021 prioriterade fågelarter.docx", "A 40072-2021")</f>
        <v/>
      </c>
    </row>
    <row r="79" ht="15" customHeight="1">
      <c r="A79" t="inlineStr">
        <is>
          <t>A 58676-2021</t>
        </is>
      </c>
      <c r="B79" s="1" t="n">
        <v>44489</v>
      </c>
      <c r="C79" s="1" t="n">
        <v>45471</v>
      </c>
      <c r="D79" t="inlineStr">
        <is>
          <t>STOCKHOLMS LÄN</t>
        </is>
      </c>
      <c r="E79" t="inlineStr">
        <is>
          <t>NORRTÄLJE</t>
        </is>
      </c>
      <c r="G79" t="n">
        <v>0.6</v>
      </c>
      <c r="H79" t="n">
        <v>2</v>
      </c>
      <c r="I79" t="n">
        <v>0</v>
      </c>
      <c r="J79" t="n">
        <v>0</v>
      </c>
      <c r="K79" t="n">
        <v>0</v>
      </c>
      <c r="L79" t="n">
        <v>0</v>
      </c>
      <c r="M79" t="n">
        <v>0</v>
      </c>
      <c r="N79" t="n">
        <v>0</v>
      </c>
      <c r="O79" t="n">
        <v>0</v>
      </c>
      <c r="P79" t="n">
        <v>0</v>
      </c>
      <c r="Q79" t="n">
        <v>2</v>
      </c>
      <c r="R79" s="2" t="inlineStr">
        <is>
          <t>Nattviol
Blåsippa</t>
        </is>
      </c>
      <c r="S79">
        <f>HYPERLINK("https://klasma.github.io/Logging_0188/artfynd/A 58676-2021 artfynd.xlsx", "A 58676-2021")</f>
        <v/>
      </c>
      <c r="T79">
        <f>HYPERLINK("https://klasma.github.io/Logging_0188/kartor/A 58676-2021 karta.png", "A 58676-2021")</f>
        <v/>
      </c>
      <c r="V79">
        <f>HYPERLINK("https://klasma.github.io/Logging_0188/klagomål/A 58676-2021 FSC-klagomål.docx", "A 58676-2021")</f>
        <v/>
      </c>
      <c r="W79">
        <f>HYPERLINK("https://klasma.github.io/Logging_0188/klagomålsmail/A 58676-2021 FSC-klagomål mail.docx", "A 58676-2021")</f>
        <v/>
      </c>
      <c r="X79">
        <f>HYPERLINK("https://klasma.github.io/Logging_0188/tillsyn/A 58676-2021 tillsynsbegäran.docx", "A 58676-2021")</f>
        <v/>
      </c>
      <c r="Y79">
        <f>HYPERLINK("https://klasma.github.io/Logging_0188/tillsynsmail/A 58676-2021 tillsynsbegäran mail.docx", "A 58676-2021")</f>
        <v/>
      </c>
    </row>
    <row r="80" ht="15" customHeight="1">
      <c r="A80" t="inlineStr">
        <is>
          <t>A 16260-2022</t>
        </is>
      </c>
      <c r="B80" s="1" t="n">
        <v>44670</v>
      </c>
      <c r="C80" s="1" t="n">
        <v>45471</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19862-2022</t>
        </is>
      </c>
      <c r="B81" s="1" t="n">
        <v>44696</v>
      </c>
      <c r="C81" s="1" t="n">
        <v>45471</v>
      </c>
      <c r="D81" t="inlineStr">
        <is>
          <t>STOCKHOLMS LÄN</t>
        </is>
      </c>
      <c r="E81" t="inlineStr">
        <is>
          <t>NORRTÄLJE</t>
        </is>
      </c>
      <c r="G81" t="n">
        <v>6</v>
      </c>
      <c r="H81" t="n">
        <v>1</v>
      </c>
      <c r="I81" t="n">
        <v>0</v>
      </c>
      <c r="J81" t="n">
        <v>1</v>
      </c>
      <c r="K81" t="n">
        <v>0</v>
      </c>
      <c r="L81" t="n">
        <v>0</v>
      </c>
      <c r="M81" t="n">
        <v>0</v>
      </c>
      <c r="N81" t="n">
        <v>0</v>
      </c>
      <c r="O81" t="n">
        <v>1</v>
      </c>
      <c r="P81" t="n">
        <v>0</v>
      </c>
      <c r="Q81" t="n">
        <v>2</v>
      </c>
      <c r="R81" s="2" t="inlineStr">
        <is>
          <t>Granticka
Blåsippa</t>
        </is>
      </c>
      <c r="S81">
        <f>HYPERLINK("https://klasma.github.io/Logging_0188/artfynd/A 19862-2022 artfynd.xlsx", "A 19862-2022")</f>
        <v/>
      </c>
      <c r="T81">
        <f>HYPERLINK("https://klasma.github.io/Logging_0188/kartor/A 19862-2022 karta.png", "A 19862-2022")</f>
        <v/>
      </c>
      <c r="V81">
        <f>HYPERLINK("https://klasma.github.io/Logging_0188/klagomål/A 19862-2022 FSC-klagomål.docx", "A 19862-2022")</f>
        <v/>
      </c>
      <c r="W81">
        <f>HYPERLINK("https://klasma.github.io/Logging_0188/klagomålsmail/A 19862-2022 FSC-klagomål mail.docx", "A 19862-2022")</f>
        <v/>
      </c>
      <c r="X81">
        <f>HYPERLINK("https://klasma.github.io/Logging_0188/tillsyn/A 19862-2022 tillsynsbegäran.docx", "A 19862-2022")</f>
        <v/>
      </c>
      <c r="Y81">
        <f>HYPERLINK("https://klasma.github.io/Logging_0188/tillsynsmail/A 19862-2022 tillsynsbegäran mail.docx", "A 19862-2022")</f>
        <v/>
      </c>
    </row>
    <row r="82" ht="15" customHeight="1">
      <c r="A82" t="inlineStr">
        <is>
          <t>A 27742-2022</t>
        </is>
      </c>
      <c r="B82" s="1" t="n">
        <v>44743</v>
      </c>
      <c r="C82" s="1" t="n">
        <v>45471</v>
      </c>
      <c r="D82" t="inlineStr">
        <is>
          <t>STOCKHOLMS LÄN</t>
        </is>
      </c>
      <c r="E82" t="inlineStr">
        <is>
          <t>NORRTÄLJE</t>
        </is>
      </c>
      <c r="G82" t="n">
        <v>3.9</v>
      </c>
      <c r="H82" t="n">
        <v>1</v>
      </c>
      <c r="I82" t="n">
        <v>1</v>
      </c>
      <c r="J82" t="n">
        <v>0</v>
      </c>
      <c r="K82" t="n">
        <v>0</v>
      </c>
      <c r="L82" t="n">
        <v>0</v>
      </c>
      <c r="M82" t="n">
        <v>0</v>
      </c>
      <c r="N82" t="n">
        <v>0</v>
      </c>
      <c r="O82" t="n">
        <v>0</v>
      </c>
      <c r="P82" t="n">
        <v>0</v>
      </c>
      <c r="Q82" t="n">
        <v>2</v>
      </c>
      <c r="R82" s="2" t="inlineStr">
        <is>
          <t>Svavelriska
Blåsippa</t>
        </is>
      </c>
      <c r="S82">
        <f>HYPERLINK("https://klasma.github.io/Logging_0188/artfynd/A 27742-2022 artfynd.xlsx", "A 27742-2022")</f>
        <v/>
      </c>
      <c r="T82">
        <f>HYPERLINK("https://klasma.github.io/Logging_0188/kartor/A 27742-2022 karta.png", "A 27742-2022")</f>
        <v/>
      </c>
      <c r="V82">
        <f>HYPERLINK("https://klasma.github.io/Logging_0188/klagomål/A 27742-2022 FSC-klagomål.docx", "A 27742-2022")</f>
        <v/>
      </c>
      <c r="W82">
        <f>HYPERLINK("https://klasma.github.io/Logging_0188/klagomålsmail/A 27742-2022 FSC-klagomål mail.docx", "A 27742-2022")</f>
        <v/>
      </c>
      <c r="X82">
        <f>HYPERLINK("https://klasma.github.io/Logging_0188/tillsyn/A 27742-2022 tillsynsbegäran.docx", "A 27742-2022")</f>
        <v/>
      </c>
      <c r="Y82">
        <f>HYPERLINK("https://klasma.github.io/Logging_0188/tillsynsmail/A 27742-2022 tillsynsbegäran mail.docx", "A 27742-2022")</f>
        <v/>
      </c>
    </row>
    <row r="83" ht="15" customHeight="1">
      <c r="A83" t="inlineStr">
        <is>
          <t>A 38597-2022</t>
        </is>
      </c>
      <c r="B83" s="1" t="n">
        <v>44813</v>
      </c>
      <c r="C83" s="1" t="n">
        <v>45471</v>
      </c>
      <c r="D83" t="inlineStr">
        <is>
          <t>STOCKHOLMS LÄN</t>
        </is>
      </c>
      <c r="E83" t="inlineStr">
        <is>
          <t>NORRTÄLJE</t>
        </is>
      </c>
      <c r="G83" t="n">
        <v>13.2</v>
      </c>
      <c r="H83" t="n">
        <v>1</v>
      </c>
      <c r="I83" t="n">
        <v>1</v>
      </c>
      <c r="J83" t="n">
        <v>0</v>
      </c>
      <c r="K83" t="n">
        <v>0</v>
      </c>
      <c r="L83" t="n">
        <v>1</v>
      </c>
      <c r="M83" t="n">
        <v>0</v>
      </c>
      <c r="N83" t="n">
        <v>0</v>
      </c>
      <c r="O83" t="n">
        <v>1</v>
      </c>
      <c r="P83" t="n">
        <v>1</v>
      </c>
      <c r="Q83" t="n">
        <v>2</v>
      </c>
      <c r="R83" s="2" t="inlineStr">
        <is>
          <t>Asknätfjäril
Scharlakansvårskål agg.</t>
        </is>
      </c>
      <c r="S83">
        <f>HYPERLINK("https://klasma.github.io/Logging_0188/artfynd/A 38597-2022 artfynd.xlsx", "A 38597-2022")</f>
        <v/>
      </c>
      <c r="T83">
        <f>HYPERLINK("https://klasma.github.io/Logging_0188/kartor/A 38597-2022 karta.png", "A 38597-2022")</f>
        <v/>
      </c>
      <c r="V83">
        <f>HYPERLINK("https://klasma.github.io/Logging_0188/klagomål/A 38597-2022 FSC-klagomål.docx", "A 38597-2022")</f>
        <v/>
      </c>
      <c r="W83">
        <f>HYPERLINK("https://klasma.github.io/Logging_0188/klagomålsmail/A 38597-2022 FSC-klagomål mail.docx", "A 38597-2022")</f>
        <v/>
      </c>
      <c r="X83">
        <f>HYPERLINK("https://klasma.github.io/Logging_0188/tillsyn/A 38597-2022 tillsynsbegäran.docx", "A 38597-2022")</f>
        <v/>
      </c>
      <c r="Y83">
        <f>HYPERLINK("https://klasma.github.io/Logging_0188/tillsynsmail/A 38597-2022 tillsynsbegäran mail.docx", "A 38597-2022")</f>
        <v/>
      </c>
    </row>
    <row r="84" ht="15" customHeight="1">
      <c r="A84" t="inlineStr">
        <is>
          <t>A 52124-2022</t>
        </is>
      </c>
      <c r="B84" s="1" t="n">
        <v>44868</v>
      </c>
      <c r="C84" s="1" t="n">
        <v>45471</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45471</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7341-2023</t>
        </is>
      </c>
      <c r="B86" s="1" t="n">
        <v>44971</v>
      </c>
      <c r="C86" s="1" t="n">
        <v>45471</v>
      </c>
      <c r="D86" t="inlineStr">
        <is>
          <t>STOCKHOLMS LÄN</t>
        </is>
      </c>
      <c r="E86" t="inlineStr">
        <is>
          <t>NORRTÄLJE</t>
        </is>
      </c>
      <c r="F86" t="inlineStr">
        <is>
          <t>Holmen skog AB</t>
        </is>
      </c>
      <c r="G86" t="n">
        <v>10.7</v>
      </c>
      <c r="H86" t="n">
        <v>0</v>
      </c>
      <c r="I86" t="n">
        <v>0</v>
      </c>
      <c r="J86" t="n">
        <v>2</v>
      </c>
      <c r="K86" t="n">
        <v>0</v>
      </c>
      <c r="L86" t="n">
        <v>0</v>
      </c>
      <c r="M86" t="n">
        <v>0</v>
      </c>
      <c r="N86" t="n">
        <v>0</v>
      </c>
      <c r="O86" t="n">
        <v>2</v>
      </c>
      <c r="P86" t="n">
        <v>0</v>
      </c>
      <c r="Q86" t="n">
        <v>2</v>
      </c>
      <c r="R86" s="2" t="inlineStr">
        <is>
          <t>Mindre bastardsvärmare
Smalsprötad bastardsvärmare</t>
        </is>
      </c>
      <c r="S86">
        <f>HYPERLINK("https://klasma.github.io/Logging_0188/artfynd/A 7341-2023 artfynd.xlsx", "A 7341-2023")</f>
        <v/>
      </c>
      <c r="T86">
        <f>HYPERLINK("https://klasma.github.io/Logging_0188/kartor/A 7341-2023 karta.png", "A 7341-2023")</f>
        <v/>
      </c>
      <c r="V86">
        <f>HYPERLINK("https://klasma.github.io/Logging_0188/klagomål/A 7341-2023 FSC-klagomål.docx", "A 7341-2023")</f>
        <v/>
      </c>
      <c r="W86">
        <f>HYPERLINK("https://klasma.github.io/Logging_0188/klagomålsmail/A 7341-2023 FSC-klagomål mail.docx", "A 7341-2023")</f>
        <v/>
      </c>
      <c r="X86">
        <f>HYPERLINK("https://klasma.github.io/Logging_0188/tillsyn/A 7341-2023 tillsynsbegäran.docx", "A 7341-2023")</f>
        <v/>
      </c>
      <c r="Y86">
        <f>HYPERLINK("https://klasma.github.io/Logging_0188/tillsynsmail/A 7341-2023 tillsynsbegäran mail.docx", "A 7341-2023")</f>
        <v/>
      </c>
    </row>
    <row r="87" ht="15" customHeight="1">
      <c r="A87" t="inlineStr">
        <is>
          <t>A 10136-2023</t>
        </is>
      </c>
      <c r="B87" s="1" t="n">
        <v>44986</v>
      </c>
      <c r="C87" s="1" t="n">
        <v>45471</v>
      </c>
      <c r="D87" t="inlineStr">
        <is>
          <t>STOCKHOLMS LÄN</t>
        </is>
      </c>
      <c r="E87" t="inlineStr">
        <is>
          <t>NORRTÄLJE</t>
        </is>
      </c>
      <c r="F87" t="inlineStr">
        <is>
          <t>Övriga statliga verk och myndigheter</t>
        </is>
      </c>
      <c r="G87" t="n">
        <v>3.6</v>
      </c>
      <c r="H87" t="n">
        <v>0</v>
      </c>
      <c r="I87" t="n">
        <v>0</v>
      </c>
      <c r="J87" t="n">
        <v>1</v>
      </c>
      <c r="K87" t="n">
        <v>1</v>
      </c>
      <c r="L87" t="n">
        <v>0</v>
      </c>
      <c r="M87" t="n">
        <v>0</v>
      </c>
      <c r="N87" t="n">
        <v>0</v>
      </c>
      <c r="O87" t="n">
        <v>2</v>
      </c>
      <c r="P87" t="n">
        <v>1</v>
      </c>
      <c r="Q87" t="n">
        <v>2</v>
      </c>
      <c r="R87" s="2" t="inlineStr">
        <is>
          <t>Svartfjällig musseron
Persiljespindling</t>
        </is>
      </c>
      <c r="S87">
        <f>HYPERLINK("https://klasma.github.io/Logging_0188/artfynd/A 10136-2023 artfynd.xlsx", "A 10136-2023")</f>
        <v/>
      </c>
      <c r="T87">
        <f>HYPERLINK("https://klasma.github.io/Logging_0188/kartor/A 10136-2023 karta.png", "A 10136-2023")</f>
        <v/>
      </c>
      <c r="V87">
        <f>HYPERLINK("https://klasma.github.io/Logging_0188/klagomål/A 10136-2023 FSC-klagomål.docx", "A 10136-2023")</f>
        <v/>
      </c>
      <c r="W87">
        <f>HYPERLINK("https://klasma.github.io/Logging_0188/klagomålsmail/A 10136-2023 FSC-klagomål mail.docx", "A 10136-2023")</f>
        <v/>
      </c>
      <c r="X87">
        <f>HYPERLINK("https://klasma.github.io/Logging_0188/tillsyn/A 10136-2023 tillsynsbegäran.docx", "A 10136-2023")</f>
        <v/>
      </c>
      <c r="Y87">
        <f>HYPERLINK("https://klasma.github.io/Logging_0188/tillsynsmail/A 10136-2023 tillsynsbegäran mail.docx", "A 10136-2023")</f>
        <v/>
      </c>
    </row>
    <row r="88" ht="15" customHeight="1">
      <c r="A88" t="inlineStr">
        <is>
          <t>A 21748-2023</t>
        </is>
      </c>
      <c r="B88" s="1" t="n">
        <v>45065</v>
      </c>
      <c r="C88" s="1" t="n">
        <v>45471</v>
      </c>
      <c r="D88" t="inlineStr">
        <is>
          <t>STOCKHOLMS LÄN</t>
        </is>
      </c>
      <c r="E88" t="inlineStr">
        <is>
          <t>NORRTÄLJE</t>
        </is>
      </c>
      <c r="F88" t="inlineStr">
        <is>
          <t>Holmen skog AB</t>
        </is>
      </c>
      <c r="G88" t="n">
        <v>2.4</v>
      </c>
      <c r="H88" t="n">
        <v>0</v>
      </c>
      <c r="I88" t="n">
        <v>2</v>
      </c>
      <c r="J88" t="n">
        <v>0</v>
      </c>
      <c r="K88" t="n">
        <v>0</v>
      </c>
      <c r="L88" t="n">
        <v>0</v>
      </c>
      <c r="M88" t="n">
        <v>0</v>
      </c>
      <c r="N88" t="n">
        <v>0</v>
      </c>
      <c r="O88" t="n">
        <v>0</v>
      </c>
      <c r="P88" t="n">
        <v>0</v>
      </c>
      <c r="Q88" t="n">
        <v>2</v>
      </c>
      <c r="R88" s="2" t="inlineStr">
        <is>
          <t>Aspvedgnagare
Tibast</t>
        </is>
      </c>
      <c r="S88">
        <f>HYPERLINK("https://klasma.github.io/Logging_0188/artfynd/A 21748-2023 artfynd.xlsx", "A 21748-2023")</f>
        <v/>
      </c>
      <c r="T88">
        <f>HYPERLINK("https://klasma.github.io/Logging_0188/kartor/A 21748-2023 karta.png", "A 21748-2023")</f>
        <v/>
      </c>
      <c r="V88">
        <f>HYPERLINK("https://klasma.github.io/Logging_0188/klagomål/A 21748-2023 FSC-klagomål.docx", "A 21748-2023")</f>
        <v/>
      </c>
      <c r="W88">
        <f>HYPERLINK("https://klasma.github.io/Logging_0188/klagomålsmail/A 21748-2023 FSC-klagomål mail.docx", "A 21748-2023")</f>
        <v/>
      </c>
      <c r="X88">
        <f>HYPERLINK("https://klasma.github.io/Logging_0188/tillsyn/A 21748-2023 tillsynsbegäran.docx", "A 21748-2023")</f>
        <v/>
      </c>
      <c r="Y88">
        <f>HYPERLINK("https://klasma.github.io/Logging_0188/tillsynsmail/A 21748-2023 tillsynsbegäran mail.docx", "A 21748-2023")</f>
        <v/>
      </c>
    </row>
    <row r="89" ht="15" customHeight="1">
      <c r="A89" t="inlineStr">
        <is>
          <t>A 23861-2023</t>
        </is>
      </c>
      <c r="B89" s="1" t="n">
        <v>45078</v>
      </c>
      <c r="C89" s="1" t="n">
        <v>45471</v>
      </c>
      <c r="D89" t="inlineStr">
        <is>
          <t>STOCKHOLMS LÄN</t>
        </is>
      </c>
      <c r="E89" t="inlineStr">
        <is>
          <t>NORRTÄLJE</t>
        </is>
      </c>
      <c r="G89" t="n">
        <v>3.3</v>
      </c>
      <c r="H89" t="n">
        <v>1</v>
      </c>
      <c r="I89" t="n">
        <v>1</v>
      </c>
      <c r="J89" t="n">
        <v>0</v>
      </c>
      <c r="K89" t="n">
        <v>0</v>
      </c>
      <c r="L89" t="n">
        <v>0</v>
      </c>
      <c r="M89" t="n">
        <v>0</v>
      </c>
      <c r="N89" t="n">
        <v>0</v>
      </c>
      <c r="O89" t="n">
        <v>0</v>
      </c>
      <c r="P89" t="n">
        <v>0</v>
      </c>
      <c r="Q89" t="n">
        <v>2</v>
      </c>
      <c r="R89" s="2" t="inlineStr">
        <is>
          <t>Tibast
Blåsippa</t>
        </is>
      </c>
      <c r="S89">
        <f>HYPERLINK("https://klasma.github.io/Logging_0188/artfynd/A 23861-2023 artfynd.xlsx", "A 23861-2023")</f>
        <v/>
      </c>
      <c r="T89">
        <f>HYPERLINK("https://klasma.github.io/Logging_0188/kartor/A 23861-2023 karta.png", "A 23861-2023")</f>
        <v/>
      </c>
      <c r="V89">
        <f>HYPERLINK("https://klasma.github.io/Logging_0188/klagomål/A 23861-2023 FSC-klagomål.docx", "A 23861-2023")</f>
        <v/>
      </c>
      <c r="W89">
        <f>HYPERLINK("https://klasma.github.io/Logging_0188/klagomålsmail/A 23861-2023 FSC-klagomål mail.docx", "A 23861-2023")</f>
        <v/>
      </c>
      <c r="X89">
        <f>HYPERLINK("https://klasma.github.io/Logging_0188/tillsyn/A 23861-2023 tillsynsbegäran.docx", "A 23861-2023")</f>
        <v/>
      </c>
      <c r="Y89">
        <f>HYPERLINK("https://klasma.github.io/Logging_0188/tillsynsmail/A 23861-2023 tillsynsbegäran mail.docx", "A 23861-2023")</f>
        <v/>
      </c>
    </row>
    <row r="90" ht="15" customHeight="1">
      <c r="A90" t="inlineStr">
        <is>
          <t>A 33287-2023</t>
        </is>
      </c>
      <c r="B90" s="1" t="n">
        <v>45127</v>
      </c>
      <c r="C90" s="1" t="n">
        <v>45471</v>
      </c>
      <c r="D90" t="inlineStr">
        <is>
          <t>STOCKHOLMS LÄN</t>
        </is>
      </c>
      <c r="E90" t="inlineStr">
        <is>
          <t>NORRTÄLJE</t>
        </is>
      </c>
      <c r="F90" t="inlineStr">
        <is>
          <t>Holmen skog AB</t>
        </is>
      </c>
      <c r="G90" t="n">
        <v>3.3</v>
      </c>
      <c r="H90" t="n">
        <v>0</v>
      </c>
      <c r="I90" t="n">
        <v>0</v>
      </c>
      <c r="J90" t="n">
        <v>2</v>
      </c>
      <c r="K90" t="n">
        <v>0</v>
      </c>
      <c r="L90" t="n">
        <v>0</v>
      </c>
      <c r="M90" t="n">
        <v>0</v>
      </c>
      <c r="N90" t="n">
        <v>0</v>
      </c>
      <c r="O90" t="n">
        <v>2</v>
      </c>
      <c r="P90" t="n">
        <v>0</v>
      </c>
      <c r="Q90" t="n">
        <v>2</v>
      </c>
      <c r="R90" s="2" t="inlineStr">
        <is>
          <t>Smalsprötad bastardsvärmare
Violettkantad guldvinge</t>
        </is>
      </c>
      <c r="S90">
        <f>HYPERLINK("https://klasma.github.io/Logging_0188/artfynd/A 33287-2023 artfynd.xlsx", "A 33287-2023")</f>
        <v/>
      </c>
      <c r="T90">
        <f>HYPERLINK("https://klasma.github.io/Logging_0188/kartor/A 33287-2023 karta.png", "A 33287-2023")</f>
        <v/>
      </c>
      <c r="V90">
        <f>HYPERLINK("https://klasma.github.io/Logging_0188/klagomål/A 33287-2023 FSC-klagomål.docx", "A 33287-2023")</f>
        <v/>
      </c>
      <c r="W90">
        <f>HYPERLINK("https://klasma.github.io/Logging_0188/klagomålsmail/A 33287-2023 FSC-klagomål mail.docx", "A 33287-2023")</f>
        <v/>
      </c>
      <c r="X90">
        <f>HYPERLINK("https://klasma.github.io/Logging_0188/tillsyn/A 33287-2023 tillsynsbegäran.docx", "A 33287-2023")</f>
        <v/>
      </c>
      <c r="Y90">
        <f>HYPERLINK("https://klasma.github.io/Logging_0188/tillsynsmail/A 33287-2023 tillsynsbegäran mail.docx", "A 33287-2023")</f>
        <v/>
      </c>
    </row>
    <row r="91" ht="15" customHeight="1">
      <c r="A91" t="inlineStr">
        <is>
          <t>A 51220-2023</t>
        </is>
      </c>
      <c r="B91" s="1" t="n">
        <v>45219</v>
      </c>
      <c r="C91" s="1" t="n">
        <v>45471</v>
      </c>
      <c r="D91" t="inlineStr">
        <is>
          <t>STOCKHOLMS LÄN</t>
        </is>
      </c>
      <c r="E91" t="inlineStr">
        <is>
          <t>NORRTÄLJE</t>
        </is>
      </c>
      <c r="G91" t="n">
        <v>7.7</v>
      </c>
      <c r="H91" t="n">
        <v>1</v>
      </c>
      <c r="I91" t="n">
        <v>0</v>
      </c>
      <c r="J91" t="n">
        <v>1</v>
      </c>
      <c r="K91" t="n">
        <v>0</v>
      </c>
      <c r="L91" t="n">
        <v>0</v>
      </c>
      <c r="M91" t="n">
        <v>0</v>
      </c>
      <c r="N91" t="n">
        <v>0</v>
      </c>
      <c r="O91" t="n">
        <v>1</v>
      </c>
      <c r="P91" t="n">
        <v>0</v>
      </c>
      <c r="Q91" t="n">
        <v>2</v>
      </c>
      <c r="R91" s="2" t="inlineStr">
        <is>
          <t>Ullticka
Blåsippa</t>
        </is>
      </c>
      <c r="S91">
        <f>HYPERLINK("https://klasma.github.io/Logging_0188/artfynd/A 51220-2023 artfynd.xlsx", "A 51220-2023")</f>
        <v/>
      </c>
      <c r="T91">
        <f>HYPERLINK("https://klasma.github.io/Logging_0188/kartor/A 51220-2023 karta.png", "A 51220-2023")</f>
        <v/>
      </c>
      <c r="V91">
        <f>HYPERLINK("https://klasma.github.io/Logging_0188/klagomål/A 51220-2023 FSC-klagomål.docx", "A 51220-2023")</f>
        <v/>
      </c>
      <c r="W91">
        <f>HYPERLINK("https://klasma.github.io/Logging_0188/klagomålsmail/A 51220-2023 FSC-klagomål mail.docx", "A 51220-2023")</f>
        <v/>
      </c>
      <c r="X91">
        <f>HYPERLINK("https://klasma.github.io/Logging_0188/tillsyn/A 51220-2023 tillsynsbegäran.docx", "A 51220-2023")</f>
        <v/>
      </c>
      <c r="Y91">
        <f>HYPERLINK("https://klasma.github.io/Logging_0188/tillsynsmail/A 51220-2023 tillsynsbegäran mail.docx", "A 51220-2023")</f>
        <v/>
      </c>
    </row>
    <row r="92" ht="15" customHeight="1">
      <c r="A92" t="inlineStr">
        <is>
          <t>A 52825-2023</t>
        </is>
      </c>
      <c r="B92" s="1" t="n">
        <v>45226</v>
      </c>
      <c r="C92" s="1" t="n">
        <v>45471</v>
      </c>
      <c r="D92" t="inlineStr">
        <is>
          <t>STOCKHOLMS LÄN</t>
        </is>
      </c>
      <c r="E92" t="inlineStr">
        <is>
          <t>NORRTÄLJE</t>
        </is>
      </c>
      <c r="G92" t="n">
        <v>1</v>
      </c>
      <c r="H92" t="n">
        <v>0</v>
      </c>
      <c r="I92" t="n">
        <v>2</v>
      </c>
      <c r="J92" t="n">
        <v>0</v>
      </c>
      <c r="K92" t="n">
        <v>0</v>
      </c>
      <c r="L92" t="n">
        <v>0</v>
      </c>
      <c r="M92" t="n">
        <v>0</v>
      </c>
      <c r="N92" t="n">
        <v>0</v>
      </c>
      <c r="O92" t="n">
        <v>0</v>
      </c>
      <c r="P92" t="n">
        <v>0</v>
      </c>
      <c r="Q92" t="n">
        <v>2</v>
      </c>
      <c r="R92" s="2" t="inlineStr">
        <is>
          <t>Fjällig taggsvamp s.str.
Strimspindling</t>
        </is>
      </c>
      <c r="S92">
        <f>HYPERLINK("https://klasma.github.io/Logging_0188/artfynd/A 52825-2023 artfynd.xlsx", "A 52825-2023")</f>
        <v/>
      </c>
      <c r="T92">
        <f>HYPERLINK("https://klasma.github.io/Logging_0188/kartor/A 52825-2023 karta.png", "A 52825-2023")</f>
        <v/>
      </c>
      <c r="V92">
        <f>HYPERLINK("https://klasma.github.io/Logging_0188/klagomål/A 52825-2023 FSC-klagomål.docx", "A 52825-2023")</f>
        <v/>
      </c>
      <c r="W92">
        <f>HYPERLINK("https://klasma.github.io/Logging_0188/klagomålsmail/A 52825-2023 FSC-klagomål mail.docx", "A 52825-2023")</f>
        <v/>
      </c>
      <c r="X92">
        <f>HYPERLINK("https://klasma.github.io/Logging_0188/tillsyn/A 52825-2023 tillsynsbegäran.docx", "A 52825-2023")</f>
        <v/>
      </c>
      <c r="Y92">
        <f>HYPERLINK("https://klasma.github.io/Logging_0188/tillsynsmail/A 52825-2023 tillsynsbegäran mail.docx", "A 52825-2023")</f>
        <v/>
      </c>
    </row>
    <row r="93" ht="15" customHeight="1">
      <c r="A93" t="inlineStr">
        <is>
          <t>A 4909-2024</t>
        </is>
      </c>
      <c r="B93" s="1" t="n">
        <v>45329</v>
      </c>
      <c r="C93" s="1" t="n">
        <v>45471</v>
      </c>
      <c r="D93" t="inlineStr">
        <is>
          <t>STOCKHOLMS LÄN</t>
        </is>
      </c>
      <c r="E93" t="inlineStr">
        <is>
          <t>NORRTÄLJE</t>
        </is>
      </c>
      <c r="G93" t="n">
        <v>4.1</v>
      </c>
      <c r="H93" t="n">
        <v>0</v>
      </c>
      <c r="I93" t="n">
        <v>2</v>
      </c>
      <c r="J93" t="n">
        <v>0</v>
      </c>
      <c r="K93" t="n">
        <v>0</v>
      </c>
      <c r="L93" t="n">
        <v>0</v>
      </c>
      <c r="M93" t="n">
        <v>0</v>
      </c>
      <c r="N93" t="n">
        <v>0</v>
      </c>
      <c r="O93" t="n">
        <v>0</v>
      </c>
      <c r="P93" t="n">
        <v>0</v>
      </c>
      <c r="Q93" t="n">
        <v>2</v>
      </c>
      <c r="R93" s="2" t="inlineStr">
        <is>
          <t>Fjällig taggsvamp s.str.
Rödgul trumpetsvamp</t>
        </is>
      </c>
      <c r="S93">
        <f>HYPERLINK("https://klasma.github.io/Logging_0188/artfynd/A 4909-2024 artfynd.xlsx", "A 4909-2024")</f>
        <v/>
      </c>
      <c r="T93">
        <f>HYPERLINK("https://klasma.github.io/Logging_0188/kartor/A 4909-2024 karta.png", "A 4909-2024")</f>
        <v/>
      </c>
      <c r="V93">
        <f>HYPERLINK("https://klasma.github.io/Logging_0188/klagomål/A 4909-2024 FSC-klagomål.docx", "A 4909-2024")</f>
        <v/>
      </c>
      <c r="W93">
        <f>HYPERLINK("https://klasma.github.io/Logging_0188/klagomålsmail/A 4909-2024 FSC-klagomål mail.docx", "A 4909-2024")</f>
        <v/>
      </c>
      <c r="X93">
        <f>HYPERLINK("https://klasma.github.io/Logging_0188/tillsyn/A 4909-2024 tillsynsbegäran.docx", "A 4909-2024")</f>
        <v/>
      </c>
      <c r="Y93">
        <f>HYPERLINK("https://klasma.github.io/Logging_0188/tillsynsmail/A 4909-2024 tillsynsbegäran mail.docx", "A 4909-2024")</f>
        <v/>
      </c>
    </row>
    <row r="94" ht="15" customHeight="1">
      <c r="A94" t="inlineStr">
        <is>
          <t>A 11995-2024</t>
        </is>
      </c>
      <c r="B94" s="1" t="n">
        <v>45377</v>
      </c>
      <c r="C94" s="1" t="n">
        <v>45471</v>
      </c>
      <c r="D94" t="inlineStr">
        <is>
          <t>STOCKHOLMS LÄN</t>
        </is>
      </c>
      <c r="E94" t="inlineStr">
        <is>
          <t>NORRTÄLJE</t>
        </is>
      </c>
      <c r="G94" t="n">
        <v>4.7</v>
      </c>
      <c r="H94" t="n">
        <v>0</v>
      </c>
      <c r="I94" t="n">
        <v>1</v>
      </c>
      <c r="J94" t="n">
        <v>1</v>
      </c>
      <c r="K94" t="n">
        <v>0</v>
      </c>
      <c r="L94" t="n">
        <v>0</v>
      </c>
      <c r="M94" t="n">
        <v>0</v>
      </c>
      <c r="N94" t="n">
        <v>0</v>
      </c>
      <c r="O94" t="n">
        <v>1</v>
      </c>
      <c r="P94" t="n">
        <v>0</v>
      </c>
      <c r="Q94" t="n">
        <v>2</v>
      </c>
      <c r="R94" s="2" t="inlineStr">
        <is>
          <t>Tallticka
Svavelriska</t>
        </is>
      </c>
      <c r="S94">
        <f>HYPERLINK("https://klasma.github.io/Logging_0188/artfynd/A 11995-2024 artfynd.xlsx", "A 11995-2024")</f>
        <v/>
      </c>
      <c r="T94">
        <f>HYPERLINK("https://klasma.github.io/Logging_0188/kartor/A 11995-2024 karta.png", "A 11995-2024")</f>
        <v/>
      </c>
      <c r="V94">
        <f>HYPERLINK("https://klasma.github.io/Logging_0188/klagomål/A 11995-2024 FSC-klagomål.docx", "A 11995-2024")</f>
        <v/>
      </c>
      <c r="W94">
        <f>HYPERLINK("https://klasma.github.io/Logging_0188/klagomålsmail/A 11995-2024 FSC-klagomål mail.docx", "A 11995-2024")</f>
        <v/>
      </c>
      <c r="X94">
        <f>HYPERLINK("https://klasma.github.io/Logging_0188/tillsyn/A 11995-2024 tillsynsbegäran.docx", "A 11995-2024")</f>
        <v/>
      </c>
      <c r="Y94">
        <f>HYPERLINK("https://klasma.github.io/Logging_0188/tillsynsmail/A 11995-2024 tillsynsbegäran mail.docx", "A 11995-2024")</f>
        <v/>
      </c>
    </row>
    <row r="95" ht="15" customHeight="1">
      <c r="A95" t="inlineStr">
        <is>
          <t>A 13150-2024</t>
        </is>
      </c>
      <c r="B95" s="1" t="n">
        <v>45386</v>
      </c>
      <c r="C95" s="1" t="n">
        <v>45471</v>
      </c>
      <c r="D95" t="inlineStr">
        <is>
          <t>STOCKHOLMS LÄN</t>
        </is>
      </c>
      <c r="E95" t="inlineStr">
        <is>
          <t>NORRTÄLJE</t>
        </is>
      </c>
      <c r="G95" t="n">
        <v>7.4</v>
      </c>
      <c r="H95" t="n">
        <v>0</v>
      </c>
      <c r="I95" t="n">
        <v>1</v>
      </c>
      <c r="J95" t="n">
        <v>1</v>
      </c>
      <c r="K95" t="n">
        <v>0</v>
      </c>
      <c r="L95" t="n">
        <v>0</v>
      </c>
      <c r="M95" t="n">
        <v>0</v>
      </c>
      <c r="N95" t="n">
        <v>0</v>
      </c>
      <c r="O95" t="n">
        <v>1</v>
      </c>
      <c r="P95" t="n">
        <v>0</v>
      </c>
      <c r="Q95" t="n">
        <v>2</v>
      </c>
      <c r="R95" s="2" t="inlineStr">
        <is>
          <t>Orange taggsvamp
Mönjevaxskivling</t>
        </is>
      </c>
      <c r="S95">
        <f>HYPERLINK("https://klasma.github.io/Logging_0188/artfynd/A 13150-2024 artfynd.xlsx", "A 13150-2024")</f>
        <v/>
      </c>
      <c r="T95">
        <f>HYPERLINK("https://klasma.github.io/Logging_0188/kartor/A 13150-2024 karta.png", "A 13150-2024")</f>
        <v/>
      </c>
      <c r="V95">
        <f>HYPERLINK("https://klasma.github.io/Logging_0188/klagomål/A 13150-2024 FSC-klagomål.docx", "A 13150-2024")</f>
        <v/>
      </c>
      <c r="W95">
        <f>HYPERLINK("https://klasma.github.io/Logging_0188/klagomålsmail/A 13150-2024 FSC-klagomål mail.docx", "A 13150-2024")</f>
        <v/>
      </c>
      <c r="X95">
        <f>HYPERLINK("https://klasma.github.io/Logging_0188/tillsyn/A 13150-2024 tillsynsbegäran.docx", "A 13150-2024")</f>
        <v/>
      </c>
      <c r="Y95">
        <f>HYPERLINK("https://klasma.github.io/Logging_0188/tillsynsmail/A 13150-2024 tillsynsbegäran mail.docx", "A 13150-2024")</f>
        <v/>
      </c>
    </row>
    <row r="96" ht="15" customHeight="1">
      <c r="A96" t="inlineStr">
        <is>
          <t>A 24025-2024</t>
        </is>
      </c>
      <c r="B96" s="1" t="n">
        <v>45456</v>
      </c>
      <c r="C96" s="1" t="n">
        <v>45471</v>
      </c>
      <c r="D96" t="inlineStr">
        <is>
          <t>STOCKHOLMS LÄN</t>
        </is>
      </c>
      <c r="E96" t="inlineStr">
        <is>
          <t>NORRTÄLJE</t>
        </is>
      </c>
      <c r="G96" t="n">
        <v>6</v>
      </c>
      <c r="H96" t="n">
        <v>0</v>
      </c>
      <c r="I96" t="n">
        <v>2</v>
      </c>
      <c r="J96" t="n">
        <v>0</v>
      </c>
      <c r="K96" t="n">
        <v>0</v>
      </c>
      <c r="L96" t="n">
        <v>0</v>
      </c>
      <c r="M96" t="n">
        <v>0</v>
      </c>
      <c r="N96" t="n">
        <v>0</v>
      </c>
      <c r="O96" t="n">
        <v>0</v>
      </c>
      <c r="P96" t="n">
        <v>0</v>
      </c>
      <c r="Q96" t="n">
        <v>2</v>
      </c>
      <c r="R96" s="2" t="inlineStr">
        <is>
          <t>Guldlockmossa
Platt fjädermossa</t>
        </is>
      </c>
      <c r="S96">
        <f>HYPERLINK("https://klasma.github.io/Logging_0188/artfynd/A 24025-2024 artfynd.xlsx", "A 24025-2024")</f>
        <v/>
      </c>
      <c r="T96">
        <f>HYPERLINK("https://klasma.github.io/Logging_0188/kartor/A 24025-2024 karta.png", "A 24025-2024")</f>
        <v/>
      </c>
      <c r="V96">
        <f>HYPERLINK("https://klasma.github.io/Logging_0188/klagomål/A 24025-2024 FSC-klagomål.docx", "A 24025-2024")</f>
        <v/>
      </c>
      <c r="W96">
        <f>HYPERLINK("https://klasma.github.io/Logging_0188/klagomålsmail/A 24025-2024 FSC-klagomål mail.docx", "A 24025-2024")</f>
        <v/>
      </c>
      <c r="X96">
        <f>HYPERLINK("https://klasma.github.io/Logging_0188/tillsyn/A 24025-2024 tillsynsbegäran.docx", "A 24025-2024")</f>
        <v/>
      </c>
      <c r="Y96">
        <f>HYPERLINK("https://klasma.github.io/Logging_0188/tillsynsmail/A 24025-2024 tillsynsbegäran mail.docx", "A 24025-2024")</f>
        <v/>
      </c>
    </row>
    <row r="97" ht="15" customHeight="1">
      <c r="A97" t="inlineStr">
        <is>
          <t>A 20740-2019</t>
        </is>
      </c>
      <c r="B97" s="1" t="n">
        <v>43573</v>
      </c>
      <c r="C97" s="1" t="n">
        <v>45471</v>
      </c>
      <c r="D97" t="inlineStr">
        <is>
          <t>STOCKHOLMS LÄN</t>
        </is>
      </c>
      <c r="E97" t="inlineStr">
        <is>
          <t>NORRTÄLJE</t>
        </is>
      </c>
      <c r="G97" t="n">
        <v>1.6</v>
      </c>
      <c r="H97" t="n">
        <v>0</v>
      </c>
      <c r="I97" t="n">
        <v>0</v>
      </c>
      <c r="J97" t="n">
        <v>1</v>
      </c>
      <c r="K97" t="n">
        <v>0</v>
      </c>
      <c r="L97" t="n">
        <v>0</v>
      </c>
      <c r="M97" t="n">
        <v>0</v>
      </c>
      <c r="N97" t="n">
        <v>0</v>
      </c>
      <c r="O97" t="n">
        <v>1</v>
      </c>
      <c r="P97" t="n">
        <v>0</v>
      </c>
      <c r="Q97" t="n">
        <v>1</v>
      </c>
      <c r="R97" s="2" t="inlineStr">
        <is>
          <t>Slåtterfibbla</t>
        </is>
      </c>
      <c r="S97">
        <f>HYPERLINK("https://klasma.github.io/Logging_0188/artfynd/A 20740-2019 artfynd.xlsx", "A 20740-2019")</f>
        <v/>
      </c>
      <c r="T97">
        <f>HYPERLINK("https://klasma.github.io/Logging_0188/kartor/A 20740-2019 karta.png", "A 20740-2019")</f>
        <v/>
      </c>
      <c r="V97">
        <f>HYPERLINK("https://klasma.github.io/Logging_0188/klagomål/A 20740-2019 FSC-klagomål.docx", "A 20740-2019")</f>
        <v/>
      </c>
      <c r="W97">
        <f>HYPERLINK("https://klasma.github.io/Logging_0188/klagomålsmail/A 20740-2019 FSC-klagomål mail.docx", "A 20740-2019")</f>
        <v/>
      </c>
      <c r="X97">
        <f>HYPERLINK("https://klasma.github.io/Logging_0188/tillsyn/A 20740-2019 tillsynsbegäran.docx", "A 20740-2019")</f>
        <v/>
      </c>
      <c r="Y97">
        <f>HYPERLINK("https://klasma.github.io/Logging_0188/tillsynsmail/A 20740-2019 tillsynsbegäran mail.docx", "A 20740-2019")</f>
        <v/>
      </c>
    </row>
    <row r="98" ht="15" customHeight="1">
      <c r="A98" t="inlineStr">
        <is>
          <t>A 26275-2019</t>
        </is>
      </c>
      <c r="B98" s="1" t="n">
        <v>43611</v>
      </c>
      <c r="C98" s="1" t="n">
        <v>45471</v>
      </c>
      <c r="D98" t="inlineStr">
        <is>
          <t>STOCKHOLMS LÄN</t>
        </is>
      </c>
      <c r="E98" t="inlineStr">
        <is>
          <t>NORRTÄLJE</t>
        </is>
      </c>
      <c r="G98" t="n">
        <v>0.5</v>
      </c>
      <c r="H98" t="n">
        <v>0</v>
      </c>
      <c r="I98" t="n">
        <v>1</v>
      </c>
      <c r="J98" t="n">
        <v>0</v>
      </c>
      <c r="K98" t="n">
        <v>0</v>
      </c>
      <c r="L98" t="n">
        <v>0</v>
      </c>
      <c r="M98" t="n">
        <v>0</v>
      </c>
      <c r="N98" t="n">
        <v>0</v>
      </c>
      <c r="O98" t="n">
        <v>0</v>
      </c>
      <c r="P98" t="n">
        <v>0</v>
      </c>
      <c r="Q98" t="n">
        <v>1</v>
      </c>
      <c r="R98" s="2" t="inlineStr">
        <is>
          <t>Blåmossa</t>
        </is>
      </c>
      <c r="S98">
        <f>HYPERLINK("https://klasma.github.io/Logging_0188/artfynd/A 26275-2019 artfynd.xlsx", "A 26275-2019")</f>
        <v/>
      </c>
      <c r="T98">
        <f>HYPERLINK("https://klasma.github.io/Logging_0188/kartor/A 26275-2019 karta.png", "A 26275-2019")</f>
        <v/>
      </c>
      <c r="V98">
        <f>HYPERLINK("https://klasma.github.io/Logging_0188/klagomål/A 26275-2019 FSC-klagomål.docx", "A 26275-2019")</f>
        <v/>
      </c>
      <c r="W98">
        <f>HYPERLINK("https://klasma.github.io/Logging_0188/klagomålsmail/A 26275-2019 FSC-klagomål mail.docx", "A 26275-2019")</f>
        <v/>
      </c>
      <c r="X98">
        <f>HYPERLINK("https://klasma.github.io/Logging_0188/tillsyn/A 26275-2019 tillsynsbegäran.docx", "A 26275-2019")</f>
        <v/>
      </c>
      <c r="Y98">
        <f>HYPERLINK("https://klasma.github.io/Logging_0188/tillsynsmail/A 26275-2019 tillsynsbegäran mail.docx", "A 26275-2019")</f>
        <v/>
      </c>
    </row>
    <row r="99" ht="15" customHeight="1">
      <c r="A99" t="inlineStr">
        <is>
          <t>A 30011-2019</t>
        </is>
      </c>
      <c r="B99" s="1" t="n">
        <v>43633</v>
      </c>
      <c r="C99" s="1" t="n">
        <v>45471</v>
      </c>
      <c r="D99" t="inlineStr">
        <is>
          <t>STOCKHOLMS LÄN</t>
        </is>
      </c>
      <c r="E99" t="inlineStr">
        <is>
          <t>NORRTÄLJE</t>
        </is>
      </c>
      <c r="G99" t="n">
        <v>2.6</v>
      </c>
      <c r="H99" t="n">
        <v>0</v>
      </c>
      <c r="I99" t="n">
        <v>1</v>
      </c>
      <c r="J99" t="n">
        <v>0</v>
      </c>
      <c r="K99" t="n">
        <v>0</v>
      </c>
      <c r="L99" t="n">
        <v>0</v>
      </c>
      <c r="M99" t="n">
        <v>0</v>
      </c>
      <c r="N99" t="n">
        <v>0</v>
      </c>
      <c r="O99" t="n">
        <v>0</v>
      </c>
      <c r="P99" t="n">
        <v>0</v>
      </c>
      <c r="Q99" t="n">
        <v>1</v>
      </c>
      <c r="R99" s="2" t="inlineStr">
        <is>
          <t>Tibast</t>
        </is>
      </c>
      <c r="S99">
        <f>HYPERLINK("https://klasma.github.io/Logging_0188/artfynd/A 30011-2019 artfynd.xlsx", "A 30011-2019")</f>
        <v/>
      </c>
      <c r="T99">
        <f>HYPERLINK("https://klasma.github.io/Logging_0188/kartor/A 30011-2019 karta.png", "A 30011-2019")</f>
        <v/>
      </c>
      <c r="V99">
        <f>HYPERLINK("https://klasma.github.io/Logging_0188/klagomål/A 30011-2019 FSC-klagomål.docx", "A 30011-2019")</f>
        <v/>
      </c>
      <c r="W99">
        <f>HYPERLINK("https://klasma.github.io/Logging_0188/klagomålsmail/A 30011-2019 FSC-klagomål mail.docx", "A 30011-2019")</f>
        <v/>
      </c>
      <c r="X99">
        <f>HYPERLINK("https://klasma.github.io/Logging_0188/tillsyn/A 30011-2019 tillsynsbegäran.docx", "A 30011-2019")</f>
        <v/>
      </c>
      <c r="Y99">
        <f>HYPERLINK("https://klasma.github.io/Logging_0188/tillsynsmail/A 30011-2019 tillsynsbegäran mail.docx", "A 30011-2019")</f>
        <v/>
      </c>
    </row>
    <row r="100" ht="15" customHeight="1">
      <c r="A100" t="inlineStr">
        <is>
          <t>A 38137-2019</t>
        </is>
      </c>
      <c r="B100" s="1" t="n">
        <v>43684</v>
      </c>
      <c r="C100" s="1" t="n">
        <v>45471</v>
      </c>
      <c r="D100" t="inlineStr">
        <is>
          <t>STOCKHOLMS LÄN</t>
        </is>
      </c>
      <c r="E100" t="inlineStr">
        <is>
          <t>NORRTÄLJE</t>
        </is>
      </c>
      <c r="G100" t="n">
        <v>12.9</v>
      </c>
      <c r="H100" t="n">
        <v>0</v>
      </c>
      <c r="I100" t="n">
        <v>0</v>
      </c>
      <c r="J100" t="n">
        <v>1</v>
      </c>
      <c r="K100" t="n">
        <v>0</v>
      </c>
      <c r="L100" t="n">
        <v>0</v>
      </c>
      <c r="M100" t="n">
        <v>0</v>
      </c>
      <c r="N100" t="n">
        <v>0</v>
      </c>
      <c r="O100" t="n">
        <v>1</v>
      </c>
      <c r="P100" t="n">
        <v>0</v>
      </c>
      <c r="Q100" t="n">
        <v>1</v>
      </c>
      <c r="R100" s="2" t="inlineStr">
        <is>
          <t>Rutskinn</t>
        </is>
      </c>
      <c r="S100">
        <f>HYPERLINK("https://klasma.github.io/Logging_0188/artfynd/A 38137-2019 artfynd.xlsx", "A 38137-2019")</f>
        <v/>
      </c>
      <c r="T100">
        <f>HYPERLINK("https://klasma.github.io/Logging_0188/kartor/A 38137-2019 karta.png", "A 38137-2019")</f>
        <v/>
      </c>
      <c r="V100">
        <f>HYPERLINK("https://klasma.github.io/Logging_0188/klagomål/A 38137-2019 FSC-klagomål.docx", "A 38137-2019")</f>
        <v/>
      </c>
      <c r="W100">
        <f>HYPERLINK("https://klasma.github.io/Logging_0188/klagomålsmail/A 38137-2019 FSC-klagomål mail.docx", "A 38137-2019")</f>
        <v/>
      </c>
      <c r="X100">
        <f>HYPERLINK("https://klasma.github.io/Logging_0188/tillsyn/A 38137-2019 tillsynsbegäran.docx", "A 38137-2019")</f>
        <v/>
      </c>
      <c r="Y100">
        <f>HYPERLINK("https://klasma.github.io/Logging_0188/tillsynsmail/A 38137-2019 tillsynsbegäran mail.docx", "A 38137-2019")</f>
        <v/>
      </c>
    </row>
    <row r="101" ht="15" customHeight="1">
      <c r="A101" t="inlineStr">
        <is>
          <t>A 64849-2019</t>
        </is>
      </c>
      <c r="B101" s="1" t="n">
        <v>43801</v>
      </c>
      <c r="C101" s="1" t="n">
        <v>45471</v>
      </c>
      <c r="D101" t="inlineStr">
        <is>
          <t>STOCKHOLMS LÄN</t>
        </is>
      </c>
      <c r="E101" t="inlineStr">
        <is>
          <t>NORRTÄLJE</t>
        </is>
      </c>
      <c r="G101" t="n">
        <v>1.6</v>
      </c>
      <c r="H101" t="n">
        <v>0</v>
      </c>
      <c r="I101" t="n">
        <v>0</v>
      </c>
      <c r="J101" t="n">
        <v>1</v>
      </c>
      <c r="K101" t="n">
        <v>0</v>
      </c>
      <c r="L101" t="n">
        <v>0</v>
      </c>
      <c r="M101" t="n">
        <v>0</v>
      </c>
      <c r="N101" t="n">
        <v>0</v>
      </c>
      <c r="O101" t="n">
        <v>1</v>
      </c>
      <c r="P101" t="n">
        <v>0</v>
      </c>
      <c r="Q101" t="n">
        <v>1</v>
      </c>
      <c r="R101" s="2" t="inlineStr">
        <is>
          <t>Skogsklocka</t>
        </is>
      </c>
      <c r="S101">
        <f>HYPERLINK("https://klasma.github.io/Logging_0188/artfynd/A 64849-2019 artfynd.xlsx", "A 64849-2019")</f>
        <v/>
      </c>
      <c r="T101">
        <f>HYPERLINK("https://klasma.github.io/Logging_0188/kartor/A 64849-2019 karta.png", "A 64849-2019")</f>
        <v/>
      </c>
      <c r="V101">
        <f>HYPERLINK("https://klasma.github.io/Logging_0188/klagomål/A 64849-2019 FSC-klagomål.docx", "A 64849-2019")</f>
        <v/>
      </c>
      <c r="W101">
        <f>HYPERLINK("https://klasma.github.io/Logging_0188/klagomålsmail/A 64849-2019 FSC-klagomål mail.docx", "A 64849-2019")</f>
        <v/>
      </c>
      <c r="X101">
        <f>HYPERLINK("https://klasma.github.io/Logging_0188/tillsyn/A 64849-2019 tillsynsbegäran.docx", "A 64849-2019")</f>
        <v/>
      </c>
      <c r="Y101">
        <f>HYPERLINK("https://klasma.github.io/Logging_0188/tillsynsmail/A 64849-2019 tillsynsbegäran mail.docx", "A 64849-2019")</f>
        <v/>
      </c>
    </row>
    <row r="102" ht="15" customHeight="1">
      <c r="A102" t="inlineStr">
        <is>
          <t>A 2796-2020</t>
        </is>
      </c>
      <c r="B102" s="1" t="n">
        <v>43850</v>
      </c>
      <c r="C102" s="1" t="n">
        <v>45471</v>
      </c>
      <c r="D102" t="inlineStr">
        <is>
          <t>STOCKHOLMS LÄN</t>
        </is>
      </c>
      <c r="E102" t="inlineStr">
        <is>
          <t>NORRTÄLJE</t>
        </is>
      </c>
      <c r="G102" t="n">
        <v>5.6</v>
      </c>
      <c r="H102" t="n">
        <v>1</v>
      </c>
      <c r="I102" t="n">
        <v>1</v>
      </c>
      <c r="J102" t="n">
        <v>0</v>
      </c>
      <c r="K102" t="n">
        <v>0</v>
      </c>
      <c r="L102" t="n">
        <v>0</v>
      </c>
      <c r="M102" t="n">
        <v>0</v>
      </c>
      <c r="N102" t="n">
        <v>0</v>
      </c>
      <c r="O102" t="n">
        <v>0</v>
      </c>
      <c r="P102" t="n">
        <v>0</v>
      </c>
      <c r="Q102" t="n">
        <v>1</v>
      </c>
      <c r="R102" s="2" t="inlineStr">
        <is>
          <t>Spindelblomster</t>
        </is>
      </c>
      <c r="S102">
        <f>HYPERLINK("https://klasma.github.io/Logging_0188/artfynd/A 2796-2020 artfynd.xlsx", "A 2796-2020")</f>
        <v/>
      </c>
      <c r="T102">
        <f>HYPERLINK("https://klasma.github.io/Logging_0188/kartor/A 2796-2020 karta.png", "A 2796-2020")</f>
        <v/>
      </c>
      <c r="V102">
        <f>HYPERLINK("https://klasma.github.io/Logging_0188/klagomål/A 2796-2020 FSC-klagomål.docx", "A 2796-2020")</f>
        <v/>
      </c>
      <c r="W102">
        <f>HYPERLINK("https://klasma.github.io/Logging_0188/klagomålsmail/A 2796-2020 FSC-klagomål mail.docx", "A 2796-2020")</f>
        <v/>
      </c>
      <c r="X102">
        <f>HYPERLINK("https://klasma.github.io/Logging_0188/tillsyn/A 2796-2020 tillsynsbegäran.docx", "A 2796-2020")</f>
        <v/>
      </c>
      <c r="Y102">
        <f>HYPERLINK("https://klasma.github.io/Logging_0188/tillsynsmail/A 2796-2020 tillsynsbegäran mail.docx", "A 2796-2020")</f>
        <v/>
      </c>
    </row>
    <row r="103" ht="15" customHeight="1">
      <c r="A103" t="inlineStr">
        <is>
          <t>A 9051-2020</t>
        </is>
      </c>
      <c r="B103" s="1" t="n">
        <v>43879</v>
      </c>
      <c r="C103" s="1" t="n">
        <v>45471</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9051-2020 artfynd.xlsx", "A 9051-2020")</f>
        <v/>
      </c>
      <c r="T103">
        <f>HYPERLINK("https://klasma.github.io/Logging_0188/kartor/A 9051-2020 karta.png", "A 9051-2020")</f>
        <v/>
      </c>
      <c r="V103">
        <f>HYPERLINK("https://klasma.github.io/Logging_0188/klagomål/A 9051-2020 FSC-klagomål.docx", "A 9051-2020")</f>
        <v/>
      </c>
      <c r="W103">
        <f>HYPERLINK("https://klasma.github.io/Logging_0188/klagomålsmail/A 9051-2020 FSC-klagomål mail.docx", "A 9051-2020")</f>
        <v/>
      </c>
      <c r="X103">
        <f>HYPERLINK("https://klasma.github.io/Logging_0188/tillsyn/A 9051-2020 tillsynsbegäran.docx", "A 9051-2020")</f>
        <v/>
      </c>
      <c r="Y103">
        <f>HYPERLINK("https://klasma.github.io/Logging_0188/tillsynsmail/A 9051-2020 tillsynsbegäran mail.docx", "A 9051-2020")</f>
        <v/>
      </c>
    </row>
    <row r="104" ht="15" customHeight="1">
      <c r="A104" t="inlineStr">
        <is>
          <t>A 12843-2020</t>
        </is>
      </c>
      <c r="B104" s="1" t="n">
        <v>43899</v>
      </c>
      <c r="C104" s="1" t="n">
        <v>45471</v>
      </c>
      <c r="D104" t="inlineStr">
        <is>
          <t>STOCKHOLMS LÄN</t>
        </is>
      </c>
      <c r="E104" t="inlineStr">
        <is>
          <t>NORRTÄLJE</t>
        </is>
      </c>
      <c r="G104" t="n">
        <v>7.5</v>
      </c>
      <c r="H104" t="n">
        <v>1</v>
      </c>
      <c r="I104" t="n">
        <v>0</v>
      </c>
      <c r="J104" t="n">
        <v>1</v>
      </c>
      <c r="K104" t="n">
        <v>0</v>
      </c>
      <c r="L104" t="n">
        <v>0</v>
      </c>
      <c r="M104" t="n">
        <v>0</v>
      </c>
      <c r="N104" t="n">
        <v>0</v>
      </c>
      <c r="O104" t="n">
        <v>1</v>
      </c>
      <c r="P104" t="n">
        <v>0</v>
      </c>
      <c r="Q104" t="n">
        <v>1</v>
      </c>
      <c r="R104" s="2" t="inlineStr">
        <is>
          <t>Talltita</t>
        </is>
      </c>
      <c r="S104">
        <f>HYPERLINK("https://klasma.github.io/Logging_0188/artfynd/A 12843-2020 artfynd.xlsx", "A 12843-2020")</f>
        <v/>
      </c>
      <c r="T104">
        <f>HYPERLINK("https://klasma.github.io/Logging_0188/kartor/A 12843-2020 karta.png", "A 12843-2020")</f>
        <v/>
      </c>
      <c r="V104">
        <f>HYPERLINK("https://klasma.github.io/Logging_0188/klagomål/A 12843-2020 FSC-klagomål.docx", "A 12843-2020")</f>
        <v/>
      </c>
      <c r="W104">
        <f>HYPERLINK("https://klasma.github.io/Logging_0188/klagomålsmail/A 12843-2020 FSC-klagomål mail.docx", "A 12843-2020")</f>
        <v/>
      </c>
      <c r="X104">
        <f>HYPERLINK("https://klasma.github.io/Logging_0188/tillsyn/A 12843-2020 tillsynsbegäran.docx", "A 12843-2020")</f>
        <v/>
      </c>
      <c r="Y104">
        <f>HYPERLINK("https://klasma.github.io/Logging_0188/tillsynsmail/A 12843-2020 tillsynsbegäran mail.docx", "A 12843-2020")</f>
        <v/>
      </c>
      <c r="Z104">
        <f>HYPERLINK("https://klasma.github.io/Logging_0188/fåglar/A 12843-2020 prioriterade fågelarter.docx", "A 12843-2020")</f>
        <v/>
      </c>
    </row>
    <row r="105" ht="15" customHeight="1">
      <c r="A105" t="inlineStr">
        <is>
          <t>A 28380-2020</t>
        </is>
      </c>
      <c r="B105" s="1" t="n">
        <v>43998</v>
      </c>
      <c r="C105" s="1" t="n">
        <v>45471</v>
      </c>
      <c r="D105" t="inlineStr">
        <is>
          <t>STOCKHOLMS LÄN</t>
        </is>
      </c>
      <c r="E105" t="inlineStr">
        <is>
          <t>NORRTÄLJE</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28380-2020 artfynd.xlsx", "A 28380-2020")</f>
        <v/>
      </c>
      <c r="T105">
        <f>HYPERLINK("https://klasma.github.io/Logging_0188/kartor/A 28380-2020 karta.png", "A 28380-2020")</f>
        <v/>
      </c>
      <c r="V105">
        <f>HYPERLINK("https://klasma.github.io/Logging_0188/klagomål/A 28380-2020 FSC-klagomål.docx", "A 28380-2020")</f>
        <v/>
      </c>
      <c r="W105">
        <f>HYPERLINK("https://klasma.github.io/Logging_0188/klagomålsmail/A 28380-2020 FSC-klagomål mail.docx", "A 28380-2020")</f>
        <v/>
      </c>
      <c r="X105">
        <f>HYPERLINK("https://klasma.github.io/Logging_0188/tillsyn/A 28380-2020 tillsynsbegäran.docx", "A 28380-2020")</f>
        <v/>
      </c>
      <c r="Y105">
        <f>HYPERLINK("https://klasma.github.io/Logging_0188/tillsynsmail/A 28380-2020 tillsynsbegäran mail.docx", "A 28380-2020")</f>
        <v/>
      </c>
    </row>
    <row r="106" ht="15" customHeight="1">
      <c r="A106" t="inlineStr">
        <is>
          <t>A 48288-2020</t>
        </is>
      </c>
      <c r="B106" s="1" t="n">
        <v>44102</v>
      </c>
      <c r="C106" s="1" t="n">
        <v>45471</v>
      </c>
      <c r="D106" t="inlineStr">
        <is>
          <t>STOCKHOLMS LÄN</t>
        </is>
      </c>
      <c r="E106" t="inlineStr">
        <is>
          <t>NORRTÄLJE</t>
        </is>
      </c>
      <c r="F106" t="inlineStr">
        <is>
          <t>Holmen skog AB</t>
        </is>
      </c>
      <c r="G106" t="n">
        <v>2.9</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48288-2020 artfynd.xlsx", "A 48288-2020")</f>
        <v/>
      </c>
      <c r="T106">
        <f>HYPERLINK("https://klasma.github.io/Logging_0188/kartor/A 48288-2020 karta.png", "A 48288-2020")</f>
        <v/>
      </c>
      <c r="V106">
        <f>HYPERLINK("https://klasma.github.io/Logging_0188/klagomål/A 48288-2020 FSC-klagomål.docx", "A 48288-2020")</f>
        <v/>
      </c>
      <c r="W106">
        <f>HYPERLINK("https://klasma.github.io/Logging_0188/klagomålsmail/A 48288-2020 FSC-klagomål mail.docx", "A 48288-2020")</f>
        <v/>
      </c>
      <c r="X106">
        <f>HYPERLINK("https://klasma.github.io/Logging_0188/tillsyn/A 48288-2020 tillsynsbegäran.docx", "A 48288-2020")</f>
        <v/>
      </c>
      <c r="Y106">
        <f>HYPERLINK("https://klasma.github.io/Logging_0188/tillsynsmail/A 48288-2020 tillsynsbegäran mail.docx", "A 48288-2020")</f>
        <v/>
      </c>
    </row>
    <row r="107" ht="15" customHeight="1">
      <c r="A107" t="inlineStr">
        <is>
          <t>A 62846-2020</t>
        </is>
      </c>
      <c r="B107" s="1" t="n">
        <v>44161</v>
      </c>
      <c r="C107" s="1" t="n">
        <v>45471</v>
      </c>
      <c r="D107" t="inlineStr">
        <is>
          <t>STOCKHOLMS LÄN</t>
        </is>
      </c>
      <c r="E107" t="inlineStr">
        <is>
          <t>NORRTÄLJE</t>
        </is>
      </c>
      <c r="G107" t="n">
        <v>1.4</v>
      </c>
      <c r="H107" t="n">
        <v>1</v>
      </c>
      <c r="I107" t="n">
        <v>0</v>
      </c>
      <c r="J107" t="n">
        <v>0</v>
      </c>
      <c r="K107" t="n">
        <v>0</v>
      </c>
      <c r="L107" t="n">
        <v>0</v>
      </c>
      <c r="M107" t="n">
        <v>0</v>
      </c>
      <c r="N107" t="n">
        <v>0</v>
      </c>
      <c r="O107" t="n">
        <v>0</v>
      </c>
      <c r="P107" t="n">
        <v>0</v>
      </c>
      <c r="Q107" t="n">
        <v>1</v>
      </c>
      <c r="R107" s="2" t="inlineStr">
        <is>
          <t>Fläcknycklar</t>
        </is>
      </c>
      <c r="S107">
        <f>HYPERLINK("https://klasma.github.io/Logging_0188/artfynd/A 62846-2020 artfynd.xlsx", "A 62846-2020")</f>
        <v/>
      </c>
      <c r="T107">
        <f>HYPERLINK("https://klasma.github.io/Logging_0188/kartor/A 62846-2020 karta.png", "A 62846-2020")</f>
        <v/>
      </c>
      <c r="V107">
        <f>HYPERLINK("https://klasma.github.io/Logging_0188/klagomål/A 62846-2020 FSC-klagomål.docx", "A 62846-2020")</f>
        <v/>
      </c>
      <c r="W107">
        <f>HYPERLINK("https://klasma.github.io/Logging_0188/klagomålsmail/A 62846-2020 FSC-klagomål mail.docx", "A 62846-2020")</f>
        <v/>
      </c>
      <c r="X107">
        <f>HYPERLINK("https://klasma.github.io/Logging_0188/tillsyn/A 62846-2020 tillsynsbegäran.docx", "A 62846-2020")</f>
        <v/>
      </c>
      <c r="Y107">
        <f>HYPERLINK("https://klasma.github.io/Logging_0188/tillsynsmail/A 62846-2020 tillsynsbegäran mail.docx", "A 62846-2020")</f>
        <v/>
      </c>
    </row>
    <row r="108" ht="15" customHeight="1">
      <c r="A108" t="inlineStr">
        <is>
          <t>A 1162-2021</t>
        </is>
      </c>
      <c r="B108" s="1" t="n">
        <v>44207</v>
      </c>
      <c r="C108" s="1" t="n">
        <v>45471</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33302-2021</t>
        </is>
      </c>
      <c r="B109" s="1" t="n">
        <v>44377</v>
      </c>
      <c r="C109" s="1" t="n">
        <v>45471</v>
      </c>
      <c r="D109" t="inlineStr">
        <is>
          <t>STOCKHOLMS LÄN</t>
        </is>
      </c>
      <c r="E109" t="inlineStr">
        <is>
          <t>NORRTÄLJE</t>
        </is>
      </c>
      <c r="G109" t="n">
        <v>12.5</v>
      </c>
      <c r="H109" t="n">
        <v>1</v>
      </c>
      <c r="I109" t="n">
        <v>0</v>
      </c>
      <c r="J109" t="n">
        <v>1</v>
      </c>
      <c r="K109" t="n">
        <v>0</v>
      </c>
      <c r="L109" t="n">
        <v>0</v>
      </c>
      <c r="M109" t="n">
        <v>0</v>
      </c>
      <c r="N109" t="n">
        <v>0</v>
      </c>
      <c r="O109" t="n">
        <v>1</v>
      </c>
      <c r="P109" t="n">
        <v>0</v>
      </c>
      <c r="Q109" t="n">
        <v>1</v>
      </c>
      <c r="R109" s="2" t="inlineStr">
        <is>
          <t>Spillkråka</t>
        </is>
      </c>
      <c r="S109">
        <f>HYPERLINK("https://klasma.github.io/Logging_0188/artfynd/A 33302-2021 artfynd.xlsx", "A 33302-2021")</f>
        <v/>
      </c>
      <c r="T109">
        <f>HYPERLINK("https://klasma.github.io/Logging_0188/kartor/A 33302-2021 karta.png", "A 33302-2021")</f>
        <v/>
      </c>
      <c r="V109">
        <f>HYPERLINK("https://klasma.github.io/Logging_0188/klagomål/A 33302-2021 FSC-klagomål.docx", "A 33302-2021")</f>
        <v/>
      </c>
      <c r="W109">
        <f>HYPERLINK("https://klasma.github.io/Logging_0188/klagomålsmail/A 33302-2021 FSC-klagomål mail.docx", "A 33302-2021")</f>
        <v/>
      </c>
      <c r="X109">
        <f>HYPERLINK("https://klasma.github.io/Logging_0188/tillsyn/A 33302-2021 tillsynsbegäran.docx", "A 33302-2021")</f>
        <v/>
      </c>
      <c r="Y109">
        <f>HYPERLINK("https://klasma.github.io/Logging_0188/tillsynsmail/A 33302-2021 tillsynsbegäran mail.docx", "A 33302-2021")</f>
        <v/>
      </c>
      <c r="Z109">
        <f>HYPERLINK("https://klasma.github.io/Logging_0188/fåglar/A 33302-2021 prioriterade fågelarter.docx", "A 33302-2021")</f>
        <v/>
      </c>
    </row>
    <row r="110" ht="15" customHeight="1">
      <c r="A110" t="inlineStr">
        <is>
          <t>A 58888-2021</t>
        </is>
      </c>
      <c r="B110" s="1" t="n">
        <v>44489</v>
      </c>
      <c r="C110" s="1" t="n">
        <v>45471</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68692-2021</t>
        </is>
      </c>
      <c r="B111" s="1" t="n">
        <v>44529</v>
      </c>
      <c r="C111" s="1" t="n">
        <v>45471</v>
      </c>
      <c r="D111" t="inlineStr">
        <is>
          <t>STOCKHOLMS LÄN</t>
        </is>
      </c>
      <c r="E111" t="inlineStr">
        <is>
          <t>NORRTÄLJE</t>
        </is>
      </c>
      <c r="F111" t="inlineStr">
        <is>
          <t>Holmen skog AB</t>
        </is>
      </c>
      <c r="G111" t="n">
        <v>0.7</v>
      </c>
      <c r="H111" t="n">
        <v>1</v>
      </c>
      <c r="I111" t="n">
        <v>0</v>
      </c>
      <c r="J111" t="n">
        <v>0</v>
      </c>
      <c r="K111" t="n">
        <v>0</v>
      </c>
      <c r="L111" t="n">
        <v>1</v>
      </c>
      <c r="M111" t="n">
        <v>0</v>
      </c>
      <c r="N111" t="n">
        <v>0</v>
      </c>
      <c r="O111" t="n">
        <v>1</v>
      </c>
      <c r="P111" t="n">
        <v>1</v>
      </c>
      <c r="Q111" t="n">
        <v>1</v>
      </c>
      <c r="R111" s="2" t="inlineStr">
        <is>
          <t>Asknätfjäril</t>
        </is>
      </c>
      <c r="S111">
        <f>HYPERLINK("https://klasma.github.io/Logging_0188/artfynd/A 68692-2021 artfynd.xlsx", "A 68692-2021")</f>
        <v/>
      </c>
      <c r="T111">
        <f>HYPERLINK("https://klasma.github.io/Logging_0188/kartor/A 68692-2021 karta.png", "A 68692-2021")</f>
        <v/>
      </c>
      <c r="V111">
        <f>HYPERLINK("https://klasma.github.io/Logging_0188/klagomål/A 68692-2021 FSC-klagomål.docx", "A 68692-2021")</f>
        <v/>
      </c>
      <c r="W111">
        <f>HYPERLINK("https://klasma.github.io/Logging_0188/klagomålsmail/A 68692-2021 FSC-klagomål mail.docx", "A 68692-2021")</f>
        <v/>
      </c>
      <c r="X111">
        <f>HYPERLINK("https://klasma.github.io/Logging_0188/tillsyn/A 68692-2021 tillsynsbegäran.docx", "A 68692-2021")</f>
        <v/>
      </c>
      <c r="Y111">
        <f>HYPERLINK("https://klasma.github.io/Logging_0188/tillsynsmail/A 68692-2021 tillsynsbegäran mail.docx", "A 68692-2021")</f>
        <v/>
      </c>
    </row>
    <row r="112" ht="15" customHeight="1">
      <c r="A112" t="inlineStr">
        <is>
          <t>A 188-2022</t>
        </is>
      </c>
      <c r="B112" s="1" t="n">
        <v>44564</v>
      </c>
      <c r="C112" s="1" t="n">
        <v>45471</v>
      </c>
      <c r="D112" t="inlineStr">
        <is>
          <t>STOCKHOLMS LÄN</t>
        </is>
      </c>
      <c r="E112" t="inlineStr">
        <is>
          <t>NORRTÄLJE</t>
        </is>
      </c>
      <c r="G112" t="n">
        <v>4.1</v>
      </c>
      <c r="H112" t="n">
        <v>0</v>
      </c>
      <c r="I112" t="n">
        <v>1</v>
      </c>
      <c r="J112" t="n">
        <v>0</v>
      </c>
      <c r="K112" t="n">
        <v>0</v>
      </c>
      <c r="L112" t="n">
        <v>0</v>
      </c>
      <c r="M112" t="n">
        <v>0</v>
      </c>
      <c r="N112" t="n">
        <v>0</v>
      </c>
      <c r="O112" t="n">
        <v>0</v>
      </c>
      <c r="P112" t="n">
        <v>0</v>
      </c>
      <c r="Q112" t="n">
        <v>1</v>
      </c>
      <c r="R112" s="2" t="inlineStr">
        <is>
          <t>Svart trolldruva</t>
        </is>
      </c>
      <c r="S112">
        <f>HYPERLINK("https://klasma.github.io/Logging_0188/artfynd/A 188-2022 artfynd.xlsx", "A 188-2022")</f>
        <v/>
      </c>
      <c r="T112">
        <f>HYPERLINK("https://klasma.github.io/Logging_0188/kartor/A 188-2022 karta.png", "A 188-2022")</f>
        <v/>
      </c>
      <c r="V112">
        <f>HYPERLINK("https://klasma.github.io/Logging_0188/klagomål/A 188-2022 FSC-klagomål.docx", "A 188-2022")</f>
        <v/>
      </c>
      <c r="W112">
        <f>HYPERLINK("https://klasma.github.io/Logging_0188/klagomålsmail/A 188-2022 FSC-klagomål mail.docx", "A 188-2022")</f>
        <v/>
      </c>
      <c r="X112">
        <f>HYPERLINK("https://klasma.github.io/Logging_0188/tillsyn/A 188-2022 tillsynsbegäran.docx", "A 188-2022")</f>
        <v/>
      </c>
      <c r="Y112">
        <f>HYPERLINK("https://klasma.github.io/Logging_0188/tillsynsmail/A 188-2022 tillsynsbegäran mail.docx", "A 188-2022")</f>
        <v/>
      </c>
    </row>
    <row r="113" ht="15" customHeight="1">
      <c r="A113" t="inlineStr">
        <is>
          <t>A 1547-2022</t>
        </is>
      </c>
      <c r="B113" s="1" t="n">
        <v>44573</v>
      </c>
      <c r="C113" s="1" t="n">
        <v>45471</v>
      </c>
      <c r="D113" t="inlineStr">
        <is>
          <t>STOCKHOLMS LÄN</t>
        </is>
      </c>
      <c r="E113" t="inlineStr">
        <is>
          <t>NORRTÄLJE</t>
        </is>
      </c>
      <c r="G113" t="n">
        <v>1.8</v>
      </c>
      <c r="H113" t="n">
        <v>1</v>
      </c>
      <c r="I113" t="n">
        <v>0</v>
      </c>
      <c r="J113" t="n">
        <v>0</v>
      </c>
      <c r="K113" t="n">
        <v>1</v>
      </c>
      <c r="L113" t="n">
        <v>0</v>
      </c>
      <c r="M113" t="n">
        <v>0</v>
      </c>
      <c r="N113" t="n">
        <v>0</v>
      </c>
      <c r="O113" t="n">
        <v>1</v>
      </c>
      <c r="P113" t="n">
        <v>1</v>
      </c>
      <c r="Q113" t="n">
        <v>1</v>
      </c>
      <c r="R113" s="2" t="inlineStr">
        <is>
          <t>Hällebräcka</t>
        </is>
      </c>
      <c r="S113">
        <f>HYPERLINK("https://klasma.github.io/Logging_0188/artfynd/A 1547-2022 artfynd.xlsx", "A 1547-2022")</f>
        <v/>
      </c>
      <c r="T113">
        <f>HYPERLINK("https://klasma.github.io/Logging_0188/kartor/A 1547-2022 karta.png", "A 1547-2022")</f>
        <v/>
      </c>
      <c r="V113">
        <f>HYPERLINK("https://klasma.github.io/Logging_0188/klagomål/A 1547-2022 FSC-klagomål.docx", "A 1547-2022")</f>
        <v/>
      </c>
      <c r="W113">
        <f>HYPERLINK("https://klasma.github.io/Logging_0188/klagomålsmail/A 1547-2022 FSC-klagomål mail.docx", "A 1547-2022")</f>
        <v/>
      </c>
      <c r="X113">
        <f>HYPERLINK("https://klasma.github.io/Logging_0188/tillsyn/A 1547-2022 tillsynsbegäran.docx", "A 1547-2022")</f>
        <v/>
      </c>
      <c r="Y113">
        <f>HYPERLINK("https://klasma.github.io/Logging_0188/tillsynsmail/A 1547-2022 tillsynsbegäran mail.docx", "A 1547-2022")</f>
        <v/>
      </c>
    </row>
    <row r="114" ht="15" customHeight="1">
      <c r="A114" t="inlineStr">
        <is>
          <t>A 7172-2022</t>
        </is>
      </c>
      <c r="B114" s="1" t="n">
        <v>44604</v>
      </c>
      <c r="C114" s="1" t="n">
        <v>45471</v>
      </c>
      <c r="D114" t="inlineStr">
        <is>
          <t>STOCKHOLMS LÄN</t>
        </is>
      </c>
      <c r="E114" t="inlineStr">
        <is>
          <t>NORRTÄLJE</t>
        </is>
      </c>
      <c r="G114" t="n">
        <v>4.8</v>
      </c>
      <c r="H114" t="n">
        <v>0</v>
      </c>
      <c r="I114" t="n">
        <v>1</v>
      </c>
      <c r="J114" t="n">
        <v>0</v>
      </c>
      <c r="K114" t="n">
        <v>0</v>
      </c>
      <c r="L114" t="n">
        <v>0</v>
      </c>
      <c r="M114" t="n">
        <v>0</v>
      </c>
      <c r="N114" t="n">
        <v>0</v>
      </c>
      <c r="O114" t="n">
        <v>0</v>
      </c>
      <c r="P114" t="n">
        <v>0</v>
      </c>
      <c r="Q114" t="n">
        <v>1</v>
      </c>
      <c r="R114" s="2" t="inlineStr">
        <is>
          <t>Trådticka</t>
        </is>
      </c>
      <c r="S114">
        <f>HYPERLINK("https://klasma.github.io/Logging_0188/artfynd/A 7172-2022 artfynd.xlsx", "A 7172-2022")</f>
        <v/>
      </c>
      <c r="T114">
        <f>HYPERLINK("https://klasma.github.io/Logging_0188/kartor/A 7172-2022 karta.png", "A 7172-2022")</f>
        <v/>
      </c>
      <c r="U114">
        <f>HYPERLINK("https://klasma.github.io/Logging_0188/knärot/A 7172-2022 karta knärot.png", "A 7172-2022")</f>
        <v/>
      </c>
      <c r="V114">
        <f>HYPERLINK("https://klasma.github.io/Logging_0188/klagomål/A 7172-2022 FSC-klagomål.docx", "A 7172-2022")</f>
        <v/>
      </c>
      <c r="W114">
        <f>HYPERLINK("https://klasma.github.io/Logging_0188/klagomålsmail/A 7172-2022 FSC-klagomål mail.docx", "A 7172-2022")</f>
        <v/>
      </c>
      <c r="X114">
        <f>HYPERLINK("https://klasma.github.io/Logging_0188/tillsyn/A 7172-2022 tillsynsbegäran.docx", "A 7172-2022")</f>
        <v/>
      </c>
      <c r="Y114">
        <f>HYPERLINK("https://klasma.github.io/Logging_0188/tillsynsmail/A 7172-2022 tillsynsbegäran mail.docx", "A 7172-2022")</f>
        <v/>
      </c>
    </row>
    <row r="115" ht="15" customHeight="1">
      <c r="A115" t="inlineStr">
        <is>
          <t>A 9955-2022</t>
        </is>
      </c>
      <c r="B115" s="1" t="n">
        <v>44620</v>
      </c>
      <c r="C115" s="1" t="n">
        <v>45471</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10712-2022</t>
        </is>
      </c>
      <c r="B116" s="1" t="n">
        <v>44626</v>
      </c>
      <c r="C116" s="1" t="n">
        <v>45471</v>
      </c>
      <c r="D116" t="inlineStr">
        <is>
          <t>STOCKHOLMS LÄN</t>
        </is>
      </c>
      <c r="E116" t="inlineStr">
        <is>
          <t>NORRTÄLJE</t>
        </is>
      </c>
      <c r="G116" t="n">
        <v>4.5</v>
      </c>
      <c r="H116" t="n">
        <v>1</v>
      </c>
      <c r="I116" t="n">
        <v>0</v>
      </c>
      <c r="J116" t="n">
        <v>0</v>
      </c>
      <c r="K116" t="n">
        <v>0</v>
      </c>
      <c r="L116" t="n">
        <v>0</v>
      </c>
      <c r="M116" t="n">
        <v>0</v>
      </c>
      <c r="N116" t="n">
        <v>0</v>
      </c>
      <c r="O116" t="n">
        <v>0</v>
      </c>
      <c r="P116" t="n">
        <v>0</v>
      </c>
      <c r="Q116" t="n">
        <v>1</v>
      </c>
      <c r="R116" s="2" t="inlineStr">
        <is>
          <t>Åkergroda</t>
        </is>
      </c>
      <c r="S116">
        <f>HYPERLINK("https://klasma.github.io/Logging_0188/artfynd/A 10712-2022 artfynd.xlsx", "A 10712-2022")</f>
        <v/>
      </c>
      <c r="T116">
        <f>HYPERLINK("https://klasma.github.io/Logging_0188/kartor/A 10712-2022 karta.png", "A 10712-2022")</f>
        <v/>
      </c>
      <c r="V116">
        <f>HYPERLINK("https://klasma.github.io/Logging_0188/klagomål/A 10712-2022 FSC-klagomål.docx", "A 10712-2022")</f>
        <v/>
      </c>
      <c r="W116">
        <f>HYPERLINK("https://klasma.github.io/Logging_0188/klagomålsmail/A 10712-2022 FSC-klagomål mail.docx", "A 10712-2022")</f>
        <v/>
      </c>
      <c r="X116">
        <f>HYPERLINK("https://klasma.github.io/Logging_0188/tillsyn/A 10712-2022 tillsynsbegäran.docx", "A 10712-2022")</f>
        <v/>
      </c>
      <c r="Y116">
        <f>HYPERLINK("https://klasma.github.io/Logging_0188/tillsynsmail/A 10712-2022 tillsynsbegäran mail.docx", "A 10712-2022")</f>
        <v/>
      </c>
    </row>
    <row r="117" ht="15" customHeight="1">
      <c r="A117" t="inlineStr">
        <is>
          <t>A 14720-2022</t>
        </is>
      </c>
      <c r="B117" s="1" t="n">
        <v>44656</v>
      </c>
      <c r="C117" s="1" t="n">
        <v>45471</v>
      </c>
      <c r="D117" t="inlineStr">
        <is>
          <t>STOCKHOLMS LÄN</t>
        </is>
      </c>
      <c r="E117" t="inlineStr">
        <is>
          <t>NORRTÄLJE</t>
        </is>
      </c>
      <c r="F117" t="inlineStr">
        <is>
          <t>Sveaskog</t>
        </is>
      </c>
      <c r="G117" t="n">
        <v>5.1</v>
      </c>
      <c r="H117" t="n">
        <v>0</v>
      </c>
      <c r="I117" t="n">
        <v>0</v>
      </c>
      <c r="J117" t="n">
        <v>1</v>
      </c>
      <c r="K117" t="n">
        <v>0</v>
      </c>
      <c r="L117" t="n">
        <v>0</v>
      </c>
      <c r="M117" t="n">
        <v>0</v>
      </c>
      <c r="N117" t="n">
        <v>0</v>
      </c>
      <c r="O117" t="n">
        <v>1</v>
      </c>
      <c r="P117" t="n">
        <v>0</v>
      </c>
      <c r="Q117" t="n">
        <v>1</v>
      </c>
      <c r="R117" s="2" t="inlineStr">
        <is>
          <t>Loppstarr</t>
        </is>
      </c>
      <c r="S117">
        <f>HYPERLINK("https://klasma.github.io/Logging_0188/artfynd/A 14720-2022 artfynd.xlsx", "A 14720-2022")</f>
        <v/>
      </c>
      <c r="T117">
        <f>HYPERLINK("https://klasma.github.io/Logging_0188/kartor/A 14720-2022 karta.png", "A 14720-2022")</f>
        <v/>
      </c>
      <c r="V117">
        <f>HYPERLINK("https://klasma.github.io/Logging_0188/klagomål/A 14720-2022 FSC-klagomål.docx", "A 14720-2022")</f>
        <v/>
      </c>
      <c r="W117">
        <f>HYPERLINK("https://klasma.github.io/Logging_0188/klagomålsmail/A 14720-2022 FSC-klagomål mail.docx", "A 14720-2022")</f>
        <v/>
      </c>
      <c r="X117">
        <f>HYPERLINK("https://klasma.github.io/Logging_0188/tillsyn/A 14720-2022 tillsynsbegäran.docx", "A 14720-2022")</f>
        <v/>
      </c>
      <c r="Y117">
        <f>HYPERLINK("https://klasma.github.io/Logging_0188/tillsynsmail/A 14720-2022 tillsynsbegäran mail.docx", "A 14720-2022")</f>
        <v/>
      </c>
    </row>
    <row r="118" ht="15" customHeight="1">
      <c r="A118" t="inlineStr">
        <is>
          <t>A 16539-2022</t>
        </is>
      </c>
      <c r="B118" s="1" t="n">
        <v>44672</v>
      </c>
      <c r="C118" s="1" t="n">
        <v>45471</v>
      </c>
      <c r="D118" t="inlineStr">
        <is>
          <t>STOCKHOLMS LÄN</t>
        </is>
      </c>
      <c r="E118" t="inlineStr">
        <is>
          <t>NORRTÄLJE</t>
        </is>
      </c>
      <c r="G118" t="n">
        <v>8.6</v>
      </c>
      <c r="H118" t="n">
        <v>1</v>
      </c>
      <c r="I118" t="n">
        <v>1</v>
      </c>
      <c r="J118" t="n">
        <v>0</v>
      </c>
      <c r="K118" t="n">
        <v>0</v>
      </c>
      <c r="L118" t="n">
        <v>0</v>
      </c>
      <c r="M118" t="n">
        <v>0</v>
      </c>
      <c r="N118" t="n">
        <v>0</v>
      </c>
      <c r="O118" t="n">
        <v>0</v>
      </c>
      <c r="P118" t="n">
        <v>0</v>
      </c>
      <c r="Q118" t="n">
        <v>1</v>
      </c>
      <c r="R118" s="2" t="inlineStr">
        <is>
          <t>Nästrot</t>
        </is>
      </c>
      <c r="S118">
        <f>HYPERLINK("https://klasma.github.io/Logging_0188/artfynd/A 16539-2022 artfynd.xlsx", "A 16539-2022")</f>
        <v/>
      </c>
      <c r="T118">
        <f>HYPERLINK("https://klasma.github.io/Logging_0188/kartor/A 16539-2022 karta.png", "A 16539-2022")</f>
        <v/>
      </c>
      <c r="V118">
        <f>HYPERLINK("https://klasma.github.io/Logging_0188/klagomål/A 16539-2022 FSC-klagomål.docx", "A 16539-2022")</f>
        <v/>
      </c>
      <c r="W118">
        <f>HYPERLINK("https://klasma.github.io/Logging_0188/klagomålsmail/A 16539-2022 FSC-klagomål mail.docx", "A 16539-2022")</f>
        <v/>
      </c>
      <c r="X118">
        <f>HYPERLINK("https://klasma.github.io/Logging_0188/tillsyn/A 16539-2022 tillsynsbegäran.docx", "A 16539-2022")</f>
        <v/>
      </c>
      <c r="Y118">
        <f>HYPERLINK("https://klasma.github.io/Logging_0188/tillsynsmail/A 16539-2022 tillsynsbegäran mail.docx", "A 16539-2022")</f>
        <v/>
      </c>
    </row>
    <row r="119" ht="15" customHeight="1">
      <c r="A119" t="inlineStr">
        <is>
          <t>A 19829-2022</t>
        </is>
      </c>
      <c r="B119" s="1" t="n">
        <v>44695</v>
      </c>
      <c r="C119" s="1" t="n">
        <v>45471</v>
      </c>
      <c r="D119" t="inlineStr">
        <is>
          <t>STOCKHOLMS LÄN</t>
        </is>
      </c>
      <c r="E119" t="inlineStr">
        <is>
          <t>NORRTÄLJE</t>
        </is>
      </c>
      <c r="G119" t="n">
        <v>2</v>
      </c>
      <c r="H119" t="n">
        <v>1</v>
      </c>
      <c r="I119" t="n">
        <v>1</v>
      </c>
      <c r="J119" t="n">
        <v>0</v>
      </c>
      <c r="K119" t="n">
        <v>0</v>
      </c>
      <c r="L119" t="n">
        <v>0</v>
      </c>
      <c r="M119" t="n">
        <v>0</v>
      </c>
      <c r="N119" t="n">
        <v>0</v>
      </c>
      <c r="O119" t="n">
        <v>0</v>
      </c>
      <c r="P119" t="n">
        <v>0</v>
      </c>
      <c r="Q119" t="n">
        <v>1</v>
      </c>
      <c r="R119" s="2" t="inlineStr">
        <is>
          <t>Guckusko</t>
        </is>
      </c>
      <c r="S119">
        <f>HYPERLINK("https://klasma.github.io/Logging_0188/artfynd/A 19829-2022 artfynd.xlsx", "A 19829-2022")</f>
        <v/>
      </c>
      <c r="T119">
        <f>HYPERLINK("https://klasma.github.io/Logging_0188/kartor/A 19829-2022 karta.png", "A 19829-2022")</f>
        <v/>
      </c>
      <c r="V119">
        <f>HYPERLINK("https://klasma.github.io/Logging_0188/klagomål/A 19829-2022 FSC-klagomål.docx", "A 19829-2022")</f>
        <v/>
      </c>
      <c r="W119">
        <f>HYPERLINK("https://klasma.github.io/Logging_0188/klagomålsmail/A 19829-2022 FSC-klagomål mail.docx", "A 19829-2022")</f>
        <v/>
      </c>
      <c r="X119">
        <f>HYPERLINK("https://klasma.github.io/Logging_0188/tillsyn/A 19829-2022 tillsynsbegäran.docx", "A 19829-2022")</f>
        <v/>
      </c>
      <c r="Y119">
        <f>HYPERLINK("https://klasma.github.io/Logging_0188/tillsynsmail/A 19829-2022 tillsynsbegäran mail.docx", "A 19829-2022")</f>
        <v/>
      </c>
    </row>
    <row r="120" ht="15" customHeight="1">
      <c r="A120" t="inlineStr">
        <is>
          <t>A 21150-2022</t>
        </is>
      </c>
      <c r="B120" s="1" t="n">
        <v>44704</v>
      </c>
      <c r="C120" s="1" t="n">
        <v>45471</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30693-2022</t>
        </is>
      </c>
      <c r="B121" s="1" t="n">
        <v>44763</v>
      </c>
      <c r="C121" s="1" t="n">
        <v>45471</v>
      </c>
      <c r="D121" t="inlineStr">
        <is>
          <t>STOCKHOLMS LÄN</t>
        </is>
      </c>
      <c r="E121" t="inlineStr">
        <is>
          <t>NORRTÄLJE</t>
        </is>
      </c>
      <c r="F121" t="inlineStr">
        <is>
          <t>Sveaskog</t>
        </is>
      </c>
      <c r="G121" t="n">
        <v>3.4</v>
      </c>
      <c r="H121" t="n">
        <v>1</v>
      </c>
      <c r="I121" t="n">
        <v>0</v>
      </c>
      <c r="J121" t="n">
        <v>1</v>
      </c>
      <c r="K121" t="n">
        <v>0</v>
      </c>
      <c r="L121" t="n">
        <v>0</v>
      </c>
      <c r="M121" t="n">
        <v>0</v>
      </c>
      <c r="N121" t="n">
        <v>0</v>
      </c>
      <c r="O121" t="n">
        <v>1</v>
      </c>
      <c r="P121" t="n">
        <v>0</v>
      </c>
      <c r="Q121" t="n">
        <v>1</v>
      </c>
      <c r="R121" s="2" t="inlineStr">
        <is>
          <t>Gulsparv</t>
        </is>
      </c>
      <c r="S121">
        <f>HYPERLINK("https://klasma.github.io/Logging_0188/artfynd/A 30693-2022 artfynd.xlsx", "A 30693-2022")</f>
        <v/>
      </c>
      <c r="T121">
        <f>HYPERLINK("https://klasma.github.io/Logging_0188/kartor/A 30693-2022 karta.png", "A 30693-2022")</f>
        <v/>
      </c>
      <c r="V121">
        <f>HYPERLINK("https://klasma.github.io/Logging_0188/klagomål/A 30693-2022 FSC-klagomål.docx", "A 30693-2022")</f>
        <v/>
      </c>
      <c r="W121">
        <f>HYPERLINK("https://klasma.github.io/Logging_0188/klagomålsmail/A 30693-2022 FSC-klagomål mail.docx", "A 30693-2022")</f>
        <v/>
      </c>
      <c r="X121">
        <f>HYPERLINK("https://klasma.github.io/Logging_0188/tillsyn/A 30693-2022 tillsynsbegäran.docx", "A 30693-2022")</f>
        <v/>
      </c>
      <c r="Y121">
        <f>HYPERLINK("https://klasma.github.io/Logging_0188/tillsynsmail/A 30693-2022 tillsynsbegäran mail.docx", "A 30693-2022")</f>
        <v/>
      </c>
      <c r="Z121">
        <f>HYPERLINK("https://klasma.github.io/Logging_0188/fåglar/A 30693-2022 prioriterade fågelarter.docx", "A 30693-2022")</f>
        <v/>
      </c>
    </row>
    <row r="122" ht="15" customHeight="1">
      <c r="A122" t="inlineStr">
        <is>
          <t>A 31194-2022</t>
        </is>
      </c>
      <c r="B122" s="1" t="n">
        <v>44770</v>
      </c>
      <c r="C122" s="1" t="n">
        <v>45471</v>
      </c>
      <c r="D122" t="inlineStr">
        <is>
          <t>STOCKHOLMS LÄN</t>
        </is>
      </c>
      <c r="E122" t="inlineStr">
        <is>
          <t>NORRTÄLJE</t>
        </is>
      </c>
      <c r="G122" t="n">
        <v>2.7</v>
      </c>
      <c r="H122" t="n">
        <v>1</v>
      </c>
      <c r="I122" t="n">
        <v>0</v>
      </c>
      <c r="J122" t="n">
        <v>0</v>
      </c>
      <c r="K122" t="n">
        <v>0</v>
      </c>
      <c r="L122" t="n">
        <v>1</v>
      </c>
      <c r="M122" t="n">
        <v>0</v>
      </c>
      <c r="N122" t="n">
        <v>0</v>
      </c>
      <c r="O122" t="n">
        <v>1</v>
      </c>
      <c r="P122" t="n">
        <v>1</v>
      </c>
      <c r="Q122" t="n">
        <v>1</v>
      </c>
      <c r="R122" s="2" t="inlineStr">
        <is>
          <t>Asknätfjäril</t>
        </is>
      </c>
      <c r="S122">
        <f>HYPERLINK("https://klasma.github.io/Logging_0188/artfynd/A 31194-2022 artfynd.xlsx", "A 31194-2022")</f>
        <v/>
      </c>
      <c r="T122">
        <f>HYPERLINK("https://klasma.github.io/Logging_0188/kartor/A 31194-2022 karta.png", "A 31194-2022")</f>
        <v/>
      </c>
      <c r="V122">
        <f>HYPERLINK("https://klasma.github.io/Logging_0188/klagomål/A 31194-2022 FSC-klagomål.docx", "A 31194-2022")</f>
        <v/>
      </c>
      <c r="W122">
        <f>HYPERLINK("https://klasma.github.io/Logging_0188/klagomålsmail/A 31194-2022 FSC-klagomål mail.docx", "A 31194-2022")</f>
        <v/>
      </c>
      <c r="X122">
        <f>HYPERLINK("https://klasma.github.io/Logging_0188/tillsyn/A 31194-2022 tillsynsbegäran.docx", "A 31194-2022")</f>
        <v/>
      </c>
      <c r="Y122">
        <f>HYPERLINK("https://klasma.github.io/Logging_0188/tillsynsmail/A 31194-2022 tillsynsbegäran mail.docx", "A 31194-2022")</f>
        <v/>
      </c>
    </row>
    <row r="123" ht="15" customHeight="1">
      <c r="A123" t="inlineStr">
        <is>
          <t>A 33477-2022</t>
        </is>
      </c>
      <c r="B123" s="1" t="n">
        <v>44788</v>
      </c>
      <c r="C123" s="1" t="n">
        <v>45471</v>
      </c>
      <c r="D123" t="inlineStr">
        <is>
          <t>STOCKHOLMS LÄN</t>
        </is>
      </c>
      <c r="E123" t="inlineStr">
        <is>
          <t>NORRTÄLJE</t>
        </is>
      </c>
      <c r="G123" t="n">
        <v>5.7</v>
      </c>
      <c r="H123" t="n">
        <v>1</v>
      </c>
      <c r="I123" t="n">
        <v>1</v>
      </c>
      <c r="J123" t="n">
        <v>0</v>
      </c>
      <c r="K123" t="n">
        <v>0</v>
      </c>
      <c r="L123" t="n">
        <v>0</v>
      </c>
      <c r="M123" t="n">
        <v>0</v>
      </c>
      <c r="N123" t="n">
        <v>0</v>
      </c>
      <c r="O123" t="n">
        <v>0</v>
      </c>
      <c r="P123" t="n">
        <v>0</v>
      </c>
      <c r="Q123" t="n">
        <v>1</v>
      </c>
      <c r="R123" s="2" t="inlineStr">
        <is>
          <t>Nästrot</t>
        </is>
      </c>
      <c r="S123">
        <f>HYPERLINK("https://klasma.github.io/Logging_0188/artfynd/A 33477-2022 artfynd.xlsx", "A 33477-2022")</f>
        <v/>
      </c>
      <c r="T123">
        <f>HYPERLINK("https://klasma.github.io/Logging_0188/kartor/A 33477-2022 karta.png", "A 33477-2022")</f>
        <v/>
      </c>
      <c r="V123">
        <f>HYPERLINK("https://klasma.github.io/Logging_0188/klagomål/A 33477-2022 FSC-klagomål.docx", "A 33477-2022")</f>
        <v/>
      </c>
      <c r="W123">
        <f>HYPERLINK("https://klasma.github.io/Logging_0188/klagomålsmail/A 33477-2022 FSC-klagomål mail.docx", "A 33477-2022")</f>
        <v/>
      </c>
      <c r="X123">
        <f>HYPERLINK("https://klasma.github.io/Logging_0188/tillsyn/A 33477-2022 tillsynsbegäran.docx", "A 33477-2022")</f>
        <v/>
      </c>
      <c r="Y123">
        <f>HYPERLINK("https://klasma.github.io/Logging_0188/tillsynsmail/A 33477-2022 tillsynsbegäran mail.docx", "A 33477-2022")</f>
        <v/>
      </c>
    </row>
    <row r="124" ht="15" customHeight="1">
      <c r="A124" t="inlineStr">
        <is>
          <t>A 37522-2022</t>
        </is>
      </c>
      <c r="B124" s="1" t="n">
        <v>44809</v>
      </c>
      <c r="C124" s="1" t="n">
        <v>45471</v>
      </c>
      <c r="D124" t="inlineStr">
        <is>
          <t>STOCKHOLMS LÄN</t>
        </is>
      </c>
      <c r="E124" t="inlineStr">
        <is>
          <t>NORRTÄLJE</t>
        </is>
      </c>
      <c r="G124" t="n">
        <v>2.4</v>
      </c>
      <c r="H124" t="n">
        <v>1</v>
      </c>
      <c r="I124" t="n">
        <v>0</v>
      </c>
      <c r="J124" t="n">
        <v>0</v>
      </c>
      <c r="K124" t="n">
        <v>0</v>
      </c>
      <c r="L124" t="n">
        <v>0</v>
      </c>
      <c r="M124" t="n">
        <v>0</v>
      </c>
      <c r="N124" t="n">
        <v>0</v>
      </c>
      <c r="O124" t="n">
        <v>0</v>
      </c>
      <c r="P124" t="n">
        <v>0</v>
      </c>
      <c r="Q124" t="n">
        <v>1</v>
      </c>
      <c r="R124" s="2" t="inlineStr">
        <is>
          <t>Blåsippa</t>
        </is>
      </c>
      <c r="S124">
        <f>HYPERLINK("https://klasma.github.io/Logging_0188/artfynd/A 37522-2022 artfynd.xlsx", "A 37522-2022")</f>
        <v/>
      </c>
      <c r="T124">
        <f>HYPERLINK("https://klasma.github.io/Logging_0188/kartor/A 37522-2022 karta.png", "A 37522-2022")</f>
        <v/>
      </c>
      <c r="V124">
        <f>HYPERLINK("https://klasma.github.io/Logging_0188/klagomål/A 37522-2022 FSC-klagomål.docx", "A 37522-2022")</f>
        <v/>
      </c>
      <c r="W124">
        <f>HYPERLINK("https://klasma.github.io/Logging_0188/klagomålsmail/A 37522-2022 FSC-klagomål mail.docx", "A 37522-2022")</f>
        <v/>
      </c>
      <c r="X124">
        <f>HYPERLINK("https://klasma.github.io/Logging_0188/tillsyn/A 37522-2022 tillsynsbegäran.docx", "A 37522-2022")</f>
        <v/>
      </c>
      <c r="Y124">
        <f>HYPERLINK("https://klasma.github.io/Logging_0188/tillsynsmail/A 37522-2022 tillsynsbegäran mail.docx", "A 37522-2022")</f>
        <v/>
      </c>
    </row>
    <row r="125" ht="15" customHeight="1">
      <c r="A125" t="inlineStr">
        <is>
          <t>A 40672-2022</t>
        </is>
      </c>
      <c r="B125" s="1" t="n">
        <v>44824</v>
      </c>
      <c r="C125" s="1" t="n">
        <v>45471</v>
      </c>
      <c r="D125" t="inlineStr">
        <is>
          <t>STOCKHOLMS LÄN</t>
        </is>
      </c>
      <c r="E125" t="inlineStr">
        <is>
          <t>NORRTÄLJE</t>
        </is>
      </c>
      <c r="F125" t="inlineStr">
        <is>
          <t>Övriga Aktiebolag</t>
        </is>
      </c>
      <c r="G125" t="n">
        <v>1.3</v>
      </c>
      <c r="H125" t="n">
        <v>0</v>
      </c>
      <c r="I125" t="n">
        <v>0</v>
      </c>
      <c r="J125" t="n">
        <v>1</v>
      </c>
      <c r="K125" t="n">
        <v>0</v>
      </c>
      <c r="L125" t="n">
        <v>0</v>
      </c>
      <c r="M125" t="n">
        <v>0</v>
      </c>
      <c r="N125" t="n">
        <v>0</v>
      </c>
      <c r="O125" t="n">
        <v>1</v>
      </c>
      <c r="P125" t="n">
        <v>0</v>
      </c>
      <c r="Q125" t="n">
        <v>1</v>
      </c>
      <c r="R125" s="2" t="inlineStr">
        <is>
          <t>Månlåsbräken</t>
        </is>
      </c>
      <c r="S125">
        <f>HYPERLINK("https://klasma.github.io/Logging_0188/artfynd/A 40672-2022 artfynd.xlsx", "A 40672-2022")</f>
        <v/>
      </c>
      <c r="T125">
        <f>HYPERLINK("https://klasma.github.io/Logging_0188/kartor/A 40672-2022 karta.png", "A 40672-2022")</f>
        <v/>
      </c>
      <c r="V125">
        <f>HYPERLINK("https://klasma.github.io/Logging_0188/klagomål/A 40672-2022 FSC-klagomål.docx", "A 40672-2022")</f>
        <v/>
      </c>
      <c r="W125">
        <f>HYPERLINK("https://klasma.github.io/Logging_0188/klagomålsmail/A 40672-2022 FSC-klagomål mail.docx", "A 40672-2022")</f>
        <v/>
      </c>
      <c r="X125">
        <f>HYPERLINK("https://klasma.github.io/Logging_0188/tillsyn/A 40672-2022 tillsynsbegäran.docx", "A 40672-2022")</f>
        <v/>
      </c>
      <c r="Y125">
        <f>HYPERLINK("https://klasma.github.io/Logging_0188/tillsynsmail/A 40672-2022 tillsynsbegäran mail.docx", "A 40672-2022")</f>
        <v/>
      </c>
    </row>
    <row r="126" ht="15" customHeight="1">
      <c r="A126" t="inlineStr">
        <is>
          <t>A 44709-2022</t>
        </is>
      </c>
      <c r="B126" s="1" t="n">
        <v>44839</v>
      </c>
      <c r="C126" s="1" t="n">
        <v>45471</v>
      </c>
      <c r="D126" t="inlineStr">
        <is>
          <t>STOCKHOLMS LÄN</t>
        </is>
      </c>
      <c r="E126" t="inlineStr">
        <is>
          <t>NORRTÄLJE</t>
        </is>
      </c>
      <c r="G126" t="n">
        <v>16.3</v>
      </c>
      <c r="H126" t="n">
        <v>0</v>
      </c>
      <c r="I126" t="n">
        <v>0</v>
      </c>
      <c r="J126" t="n">
        <v>1</v>
      </c>
      <c r="K126" t="n">
        <v>0</v>
      </c>
      <c r="L126" t="n">
        <v>0</v>
      </c>
      <c r="M126" t="n">
        <v>0</v>
      </c>
      <c r="N126" t="n">
        <v>0</v>
      </c>
      <c r="O126" t="n">
        <v>1</v>
      </c>
      <c r="P126" t="n">
        <v>0</v>
      </c>
      <c r="Q126" t="n">
        <v>1</v>
      </c>
      <c r="R126" s="2" t="inlineStr">
        <is>
          <t>Asppraktbagge</t>
        </is>
      </c>
      <c r="S126">
        <f>HYPERLINK("https://klasma.github.io/Logging_0188/artfynd/A 44709-2022 artfynd.xlsx", "A 44709-2022")</f>
        <v/>
      </c>
      <c r="T126">
        <f>HYPERLINK("https://klasma.github.io/Logging_0188/kartor/A 44709-2022 karta.png", "A 44709-2022")</f>
        <v/>
      </c>
      <c r="V126">
        <f>HYPERLINK("https://klasma.github.io/Logging_0188/klagomål/A 44709-2022 FSC-klagomål.docx", "A 44709-2022")</f>
        <v/>
      </c>
      <c r="W126">
        <f>HYPERLINK("https://klasma.github.io/Logging_0188/klagomålsmail/A 44709-2022 FSC-klagomål mail.docx", "A 44709-2022")</f>
        <v/>
      </c>
      <c r="X126">
        <f>HYPERLINK("https://klasma.github.io/Logging_0188/tillsyn/A 44709-2022 tillsynsbegäran.docx", "A 44709-2022")</f>
        <v/>
      </c>
      <c r="Y126">
        <f>HYPERLINK("https://klasma.github.io/Logging_0188/tillsynsmail/A 44709-2022 tillsynsbegäran mail.docx", "A 44709-2022")</f>
        <v/>
      </c>
    </row>
    <row r="127" ht="15" customHeight="1">
      <c r="A127" t="inlineStr">
        <is>
          <t>A 47898-2022</t>
        </is>
      </c>
      <c r="B127" s="1" t="n">
        <v>44855</v>
      </c>
      <c r="C127" s="1" t="n">
        <v>45471</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50854-2022</t>
        </is>
      </c>
      <c r="B128" s="1" t="n">
        <v>44863</v>
      </c>
      <c r="C128" s="1" t="n">
        <v>45471</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52130-2022</t>
        </is>
      </c>
      <c r="B129" s="1" t="n">
        <v>44868</v>
      </c>
      <c r="C129" s="1" t="n">
        <v>45471</v>
      </c>
      <c r="D129" t="inlineStr">
        <is>
          <t>STOCKHOLMS LÄN</t>
        </is>
      </c>
      <c r="E129" t="inlineStr">
        <is>
          <t>NORRTÄLJE</t>
        </is>
      </c>
      <c r="G129" t="n">
        <v>3.7</v>
      </c>
      <c r="H129" t="n">
        <v>0</v>
      </c>
      <c r="I129" t="n">
        <v>0</v>
      </c>
      <c r="J129" t="n">
        <v>1</v>
      </c>
      <c r="K129" t="n">
        <v>0</v>
      </c>
      <c r="L129" t="n">
        <v>0</v>
      </c>
      <c r="M129" t="n">
        <v>0</v>
      </c>
      <c r="N129" t="n">
        <v>0</v>
      </c>
      <c r="O129" t="n">
        <v>1</v>
      </c>
      <c r="P129" t="n">
        <v>0</v>
      </c>
      <c r="Q129" t="n">
        <v>1</v>
      </c>
      <c r="R129" s="2" t="inlineStr">
        <is>
          <t>Flattoppad klubbsvamp</t>
        </is>
      </c>
      <c r="S129">
        <f>HYPERLINK("https://klasma.github.io/Logging_0188/artfynd/A 52130-2022 artfynd.xlsx", "A 52130-2022")</f>
        <v/>
      </c>
      <c r="T129">
        <f>HYPERLINK("https://klasma.github.io/Logging_0188/kartor/A 52130-2022 karta.png", "A 52130-2022")</f>
        <v/>
      </c>
      <c r="V129">
        <f>HYPERLINK("https://klasma.github.io/Logging_0188/klagomål/A 52130-2022 FSC-klagomål.docx", "A 52130-2022")</f>
        <v/>
      </c>
      <c r="W129">
        <f>HYPERLINK("https://klasma.github.io/Logging_0188/klagomålsmail/A 52130-2022 FSC-klagomål mail.docx", "A 52130-2022")</f>
        <v/>
      </c>
      <c r="X129">
        <f>HYPERLINK("https://klasma.github.io/Logging_0188/tillsyn/A 52130-2022 tillsynsbegäran.docx", "A 52130-2022")</f>
        <v/>
      </c>
      <c r="Y129">
        <f>HYPERLINK("https://klasma.github.io/Logging_0188/tillsynsmail/A 52130-2022 tillsynsbegäran mail.docx", "A 52130-2022")</f>
        <v/>
      </c>
    </row>
    <row r="130" ht="15" customHeight="1">
      <c r="A130" t="inlineStr">
        <is>
          <t>A 61011-2022</t>
        </is>
      </c>
      <c r="B130" s="1" t="n">
        <v>44914</v>
      </c>
      <c r="C130" s="1" t="n">
        <v>45471</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61011-2022 artfynd.xlsx", "A 61011-2022")</f>
        <v/>
      </c>
      <c r="T130">
        <f>HYPERLINK("https://klasma.github.io/Logging_0188/kartor/A 61011-2022 karta.png", "A 61011-2022")</f>
        <v/>
      </c>
      <c r="V130">
        <f>HYPERLINK("https://klasma.github.io/Logging_0188/klagomål/A 61011-2022 FSC-klagomål.docx", "A 61011-2022")</f>
        <v/>
      </c>
      <c r="W130">
        <f>HYPERLINK("https://klasma.github.io/Logging_0188/klagomålsmail/A 61011-2022 FSC-klagomål mail.docx", "A 61011-2022")</f>
        <v/>
      </c>
      <c r="X130">
        <f>HYPERLINK("https://klasma.github.io/Logging_0188/tillsyn/A 61011-2022 tillsynsbegäran.docx", "A 61011-2022")</f>
        <v/>
      </c>
      <c r="Y130">
        <f>HYPERLINK("https://klasma.github.io/Logging_0188/tillsynsmail/A 61011-2022 tillsynsbegäran mail.docx", "A 61011-2022")</f>
        <v/>
      </c>
    </row>
    <row r="131" ht="15" customHeight="1">
      <c r="A131" t="inlineStr">
        <is>
          <t>A 4595-2023</t>
        </is>
      </c>
      <c r="B131" s="1" t="n">
        <v>44956</v>
      </c>
      <c r="C131" s="1" t="n">
        <v>45471</v>
      </c>
      <c r="D131" t="inlineStr">
        <is>
          <t>STOCKHOLMS LÄN</t>
        </is>
      </c>
      <c r="E131" t="inlineStr">
        <is>
          <t>NORRTÄLJE</t>
        </is>
      </c>
      <c r="G131" t="n">
        <v>0.6</v>
      </c>
      <c r="H131" t="n">
        <v>1</v>
      </c>
      <c r="I131" t="n">
        <v>0</v>
      </c>
      <c r="J131" t="n">
        <v>0</v>
      </c>
      <c r="K131" t="n">
        <v>0</v>
      </c>
      <c r="L131" t="n">
        <v>0</v>
      </c>
      <c r="M131" t="n">
        <v>0</v>
      </c>
      <c r="N131" t="n">
        <v>0</v>
      </c>
      <c r="O131" t="n">
        <v>0</v>
      </c>
      <c r="P131" t="n">
        <v>0</v>
      </c>
      <c r="Q131" t="n">
        <v>1</v>
      </c>
      <c r="R131" s="2" t="inlineStr">
        <is>
          <t>Blåsippa</t>
        </is>
      </c>
      <c r="S131">
        <f>HYPERLINK("https://klasma.github.io/Logging_0188/artfynd/A 4595-2023 artfynd.xlsx", "A 4595-2023")</f>
        <v/>
      </c>
      <c r="T131">
        <f>HYPERLINK("https://klasma.github.io/Logging_0188/kartor/A 4595-2023 karta.png", "A 4595-2023")</f>
        <v/>
      </c>
      <c r="V131">
        <f>HYPERLINK("https://klasma.github.io/Logging_0188/klagomål/A 4595-2023 FSC-klagomål.docx", "A 4595-2023")</f>
        <v/>
      </c>
      <c r="W131">
        <f>HYPERLINK("https://klasma.github.io/Logging_0188/klagomålsmail/A 4595-2023 FSC-klagomål mail.docx", "A 4595-2023")</f>
        <v/>
      </c>
      <c r="X131">
        <f>HYPERLINK("https://klasma.github.io/Logging_0188/tillsyn/A 4595-2023 tillsynsbegäran.docx", "A 4595-2023")</f>
        <v/>
      </c>
      <c r="Y131">
        <f>HYPERLINK("https://klasma.github.io/Logging_0188/tillsynsmail/A 4595-2023 tillsynsbegäran mail.docx", "A 4595-2023")</f>
        <v/>
      </c>
    </row>
    <row r="132" ht="15" customHeight="1">
      <c r="A132" t="inlineStr">
        <is>
          <t>A 6381-2023</t>
        </is>
      </c>
      <c r="B132" s="1" t="n">
        <v>44965</v>
      </c>
      <c r="C132" s="1" t="n">
        <v>45471</v>
      </c>
      <c r="D132" t="inlineStr">
        <is>
          <t>STOCKHOLMS LÄN</t>
        </is>
      </c>
      <c r="E132" t="inlineStr">
        <is>
          <t>NORRTÄLJE</t>
        </is>
      </c>
      <c r="G132" t="n">
        <v>3.5</v>
      </c>
      <c r="H132" t="n">
        <v>1</v>
      </c>
      <c r="I132" t="n">
        <v>1</v>
      </c>
      <c r="J132" t="n">
        <v>0</v>
      </c>
      <c r="K132" t="n">
        <v>0</v>
      </c>
      <c r="L132" t="n">
        <v>0</v>
      </c>
      <c r="M132" t="n">
        <v>0</v>
      </c>
      <c r="N132" t="n">
        <v>0</v>
      </c>
      <c r="O132" t="n">
        <v>0</v>
      </c>
      <c r="P132" t="n">
        <v>0</v>
      </c>
      <c r="Q132" t="n">
        <v>1</v>
      </c>
      <c r="R132" s="2" t="inlineStr">
        <is>
          <t>Guckusko</t>
        </is>
      </c>
      <c r="S132">
        <f>HYPERLINK("https://klasma.github.io/Logging_0188/artfynd/A 6381-2023 artfynd.xlsx", "A 6381-2023")</f>
        <v/>
      </c>
      <c r="T132">
        <f>HYPERLINK("https://klasma.github.io/Logging_0188/kartor/A 6381-2023 karta.png", "A 6381-2023")</f>
        <v/>
      </c>
      <c r="V132">
        <f>HYPERLINK("https://klasma.github.io/Logging_0188/klagomål/A 6381-2023 FSC-klagomål.docx", "A 6381-2023")</f>
        <v/>
      </c>
      <c r="W132">
        <f>HYPERLINK("https://klasma.github.io/Logging_0188/klagomålsmail/A 6381-2023 FSC-klagomål mail.docx", "A 6381-2023")</f>
        <v/>
      </c>
      <c r="X132">
        <f>HYPERLINK("https://klasma.github.io/Logging_0188/tillsyn/A 6381-2023 tillsynsbegäran.docx", "A 6381-2023")</f>
        <v/>
      </c>
      <c r="Y132">
        <f>HYPERLINK("https://klasma.github.io/Logging_0188/tillsynsmail/A 6381-2023 tillsynsbegäran mail.docx", "A 6381-2023")</f>
        <v/>
      </c>
    </row>
    <row r="133" ht="15" customHeight="1">
      <c r="A133" t="inlineStr">
        <is>
          <t>A 9214-2023</t>
        </is>
      </c>
      <c r="B133" s="1" t="n">
        <v>44980</v>
      </c>
      <c r="C133" s="1" t="n">
        <v>45471</v>
      </c>
      <c r="D133" t="inlineStr">
        <is>
          <t>STOCKHOLMS LÄN</t>
        </is>
      </c>
      <c r="E133" t="inlineStr">
        <is>
          <t>NORRTÄLJE</t>
        </is>
      </c>
      <c r="G133" t="n">
        <v>10.6</v>
      </c>
      <c r="H133" t="n">
        <v>1</v>
      </c>
      <c r="I133" t="n">
        <v>1</v>
      </c>
      <c r="J133" t="n">
        <v>0</v>
      </c>
      <c r="K133" t="n">
        <v>0</v>
      </c>
      <c r="L133" t="n">
        <v>0</v>
      </c>
      <c r="M133" t="n">
        <v>0</v>
      </c>
      <c r="N133" t="n">
        <v>0</v>
      </c>
      <c r="O133" t="n">
        <v>0</v>
      </c>
      <c r="P133" t="n">
        <v>0</v>
      </c>
      <c r="Q133" t="n">
        <v>1</v>
      </c>
      <c r="R133" s="2" t="inlineStr">
        <is>
          <t>Guckusko</t>
        </is>
      </c>
      <c r="S133">
        <f>HYPERLINK("https://klasma.github.io/Logging_0188/artfynd/A 9214-2023 artfynd.xlsx", "A 9214-2023")</f>
        <v/>
      </c>
      <c r="T133">
        <f>HYPERLINK("https://klasma.github.io/Logging_0188/kartor/A 9214-2023 karta.png", "A 9214-2023")</f>
        <v/>
      </c>
      <c r="V133">
        <f>HYPERLINK("https://klasma.github.io/Logging_0188/klagomål/A 9214-2023 FSC-klagomål.docx", "A 9214-2023")</f>
        <v/>
      </c>
      <c r="W133">
        <f>HYPERLINK("https://klasma.github.io/Logging_0188/klagomålsmail/A 9214-2023 FSC-klagomål mail.docx", "A 9214-2023")</f>
        <v/>
      </c>
      <c r="X133">
        <f>HYPERLINK("https://klasma.github.io/Logging_0188/tillsyn/A 9214-2023 tillsynsbegäran.docx", "A 9214-2023")</f>
        <v/>
      </c>
      <c r="Y133">
        <f>HYPERLINK("https://klasma.github.io/Logging_0188/tillsynsmail/A 9214-2023 tillsynsbegäran mail.docx", "A 9214-2023")</f>
        <v/>
      </c>
    </row>
    <row r="134" ht="15" customHeight="1">
      <c r="A134" t="inlineStr">
        <is>
          <t>A 9271-2023</t>
        </is>
      </c>
      <c r="B134" s="1" t="n">
        <v>44980</v>
      </c>
      <c r="C134" s="1" t="n">
        <v>45471</v>
      </c>
      <c r="D134" t="inlineStr">
        <is>
          <t>STOCKHOLMS LÄN</t>
        </is>
      </c>
      <c r="E134" t="inlineStr">
        <is>
          <t>NORRTÄLJE</t>
        </is>
      </c>
      <c r="G134" t="n">
        <v>5.3</v>
      </c>
      <c r="H134" t="n">
        <v>1</v>
      </c>
      <c r="I134" t="n">
        <v>0</v>
      </c>
      <c r="J134" t="n">
        <v>0</v>
      </c>
      <c r="K134" t="n">
        <v>1</v>
      </c>
      <c r="L134" t="n">
        <v>0</v>
      </c>
      <c r="M134" t="n">
        <v>0</v>
      </c>
      <c r="N134" t="n">
        <v>0</v>
      </c>
      <c r="O134" t="n">
        <v>1</v>
      </c>
      <c r="P134" t="n">
        <v>1</v>
      </c>
      <c r="Q134" t="n">
        <v>1</v>
      </c>
      <c r="R134" s="2" t="inlineStr">
        <is>
          <t>Hällebräcka</t>
        </is>
      </c>
      <c r="S134">
        <f>HYPERLINK("https://klasma.github.io/Logging_0188/artfynd/A 9271-2023 artfynd.xlsx", "A 9271-2023")</f>
        <v/>
      </c>
      <c r="T134">
        <f>HYPERLINK("https://klasma.github.io/Logging_0188/kartor/A 9271-2023 karta.png", "A 9271-2023")</f>
        <v/>
      </c>
      <c r="V134">
        <f>HYPERLINK("https://klasma.github.io/Logging_0188/klagomål/A 9271-2023 FSC-klagomål.docx", "A 9271-2023")</f>
        <v/>
      </c>
      <c r="W134">
        <f>HYPERLINK("https://klasma.github.io/Logging_0188/klagomålsmail/A 9271-2023 FSC-klagomål mail.docx", "A 9271-2023")</f>
        <v/>
      </c>
      <c r="X134">
        <f>HYPERLINK("https://klasma.github.io/Logging_0188/tillsyn/A 9271-2023 tillsynsbegäran.docx", "A 9271-2023")</f>
        <v/>
      </c>
      <c r="Y134">
        <f>HYPERLINK("https://klasma.github.io/Logging_0188/tillsynsmail/A 9271-2023 tillsynsbegäran mail.docx", "A 9271-2023")</f>
        <v/>
      </c>
    </row>
    <row r="135" ht="15" customHeight="1">
      <c r="A135" t="inlineStr">
        <is>
          <t>A 9522-2023</t>
        </is>
      </c>
      <c r="B135" s="1" t="n">
        <v>44981</v>
      </c>
      <c r="C135" s="1" t="n">
        <v>45471</v>
      </c>
      <c r="D135" t="inlineStr">
        <is>
          <t>STOCKHOLMS LÄN</t>
        </is>
      </c>
      <c r="E135" t="inlineStr">
        <is>
          <t>NORRTÄLJE</t>
        </is>
      </c>
      <c r="F135" t="inlineStr">
        <is>
          <t>Holmen skog AB</t>
        </is>
      </c>
      <c r="G135" t="n">
        <v>7.5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9522-2023 artfynd.xlsx", "A 9522-2023")</f>
        <v/>
      </c>
      <c r="T135">
        <f>HYPERLINK("https://klasma.github.io/Logging_0188/kartor/A 9522-2023 karta.png", "A 9522-2023")</f>
        <v/>
      </c>
      <c r="V135">
        <f>HYPERLINK("https://klasma.github.io/Logging_0188/klagomål/A 9522-2023 FSC-klagomål.docx", "A 9522-2023")</f>
        <v/>
      </c>
      <c r="W135">
        <f>HYPERLINK("https://klasma.github.io/Logging_0188/klagomålsmail/A 9522-2023 FSC-klagomål mail.docx", "A 9522-2023")</f>
        <v/>
      </c>
      <c r="X135">
        <f>HYPERLINK("https://klasma.github.io/Logging_0188/tillsyn/A 9522-2023 tillsynsbegäran.docx", "A 9522-2023")</f>
        <v/>
      </c>
      <c r="Y135">
        <f>HYPERLINK("https://klasma.github.io/Logging_0188/tillsynsmail/A 9522-2023 tillsynsbegäran mail.docx", "A 9522-2023")</f>
        <v/>
      </c>
    </row>
    <row r="136" ht="15" customHeight="1">
      <c r="A136" t="inlineStr">
        <is>
          <t>A 10019-2023</t>
        </is>
      </c>
      <c r="B136" s="1" t="n">
        <v>44985</v>
      </c>
      <c r="C136" s="1" t="n">
        <v>45471</v>
      </c>
      <c r="D136" t="inlineStr">
        <is>
          <t>STOCKHOLMS LÄN</t>
        </is>
      </c>
      <c r="E136" t="inlineStr">
        <is>
          <t>NORRTÄLJE</t>
        </is>
      </c>
      <c r="G136" t="n">
        <v>8.4</v>
      </c>
      <c r="H136" t="n">
        <v>0</v>
      </c>
      <c r="I136" t="n">
        <v>1</v>
      </c>
      <c r="J136" t="n">
        <v>0</v>
      </c>
      <c r="K136" t="n">
        <v>0</v>
      </c>
      <c r="L136" t="n">
        <v>0</v>
      </c>
      <c r="M136" t="n">
        <v>0</v>
      </c>
      <c r="N136" t="n">
        <v>0</v>
      </c>
      <c r="O136" t="n">
        <v>0</v>
      </c>
      <c r="P136" t="n">
        <v>0</v>
      </c>
      <c r="Q136" t="n">
        <v>1</v>
      </c>
      <c r="R136" s="2" t="inlineStr">
        <is>
          <t>Underviol</t>
        </is>
      </c>
      <c r="S136">
        <f>HYPERLINK("https://klasma.github.io/Logging_0188/artfynd/A 10019-2023 artfynd.xlsx", "A 10019-2023")</f>
        <v/>
      </c>
      <c r="T136">
        <f>HYPERLINK("https://klasma.github.io/Logging_0188/kartor/A 10019-2023 karta.png", "A 10019-2023")</f>
        <v/>
      </c>
      <c r="V136">
        <f>HYPERLINK("https://klasma.github.io/Logging_0188/klagomål/A 10019-2023 FSC-klagomål.docx", "A 10019-2023")</f>
        <v/>
      </c>
      <c r="W136">
        <f>HYPERLINK("https://klasma.github.io/Logging_0188/klagomålsmail/A 10019-2023 FSC-klagomål mail.docx", "A 10019-2023")</f>
        <v/>
      </c>
      <c r="X136">
        <f>HYPERLINK("https://klasma.github.io/Logging_0188/tillsyn/A 10019-2023 tillsynsbegäran.docx", "A 10019-2023")</f>
        <v/>
      </c>
      <c r="Y136">
        <f>HYPERLINK("https://klasma.github.io/Logging_0188/tillsynsmail/A 10019-2023 tillsynsbegäran mail.docx", "A 10019-2023")</f>
        <v/>
      </c>
    </row>
    <row r="137" ht="15" customHeight="1">
      <c r="A137" t="inlineStr">
        <is>
          <t>A 11429-2023</t>
        </is>
      </c>
      <c r="B137" s="1" t="n">
        <v>44993</v>
      </c>
      <c r="C137" s="1" t="n">
        <v>45471</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12442-2023</t>
        </is>
      </c>
      <c r="B138" s="1" t="n">
        <v>44999</v>
      </c>
      <c r="C138" s="1" t="n">
        <v>45471</v>
      </c>
      <c r="D138" t="inlineStr">
        <is>
          <t>STOCKHOLMS LÄN</t>
        </is>
      </c>
      <c r="E138" t="inlineStr">
        <is>
          <t>NORRTÄLJE</t>
        </is>
      </c>
      <c r="G138" t="n">
        <v>1.9</v>
      </c>
      <c r="H138" t="n">
        <v>1</v>
      </c>
      <c r="I138" t="n">
        <v>0</v>
      </c>
      <c r="J138" t="n">
        <v>0</v>
      </c>
      <c r="K138" t="n">
        <v>0</v>
      </c>
      <c r="L138" t="n">
        <v>0</v>
      </c>
      <c r="M138" t="n">
        <v>0</v>
      </c>
      <c r="N138" t="n">
        <v>0</v>
      </c>
      <c r="O138" t="n">
        <v>0</v>
      </c>
      <c r="P138" t="n">
        <v>0</v>
      </c>
      <c r="Q138" t="n">
        <v>1</v>
      </c>
      <c r="R138" s="2" t="inlineStr">
        <is>
          <t>Gullviva</t>
        </is>
      </c>
      <c r="S138">
        <f>HYPERLINK("https://klasma.github.io/Logging_0188/artfynd/A 12442-2023 artfynd.xlsx", "A 12442-2023")</f>
        <v/>
      </c>
      <c r="T138">
        <f>HYPERLINK("https://klasma.github.io/Logging_0188/kartor/A 12442-2023 karta.png", "A 12442-2023")</f>
        <v/>
      </c>
      <c r="V138">
        <f>HYPERLINK("https://klasma.github.io/Logging_0188/klagomål/A 12442-2023 FSC-klagomål.docx", "A 12442-2023")</f>
        <v/>
      </c>
      <c r="W138">
        <f>HYPERLINK("https://klasma.github.io/Logging_0188/klagomålsmail/A 12442-2023 FSC-klagomål mail.docx", "A 12442-2023")</f>
        <v/>
      </c>
      <c r="X138">
        <f>HYPERLINK("https://klasma.github.io/Logging_0188/tillsyn/A 12442-2023 tillsynsbegäran.docx", "A 12442-2023")</f>
        <v/>
      </c>
      <c r="Y138">
        <f>HYPERLINK("https://klasma.github.io/Logging_0188/tillsynsmail/A 12442-2023 tillsynsbegäran mail.docx", "A 12442-2023")</f>
        <v/>
      </c>
    </row>
    <row r="139" ht="15" customHeight="1">
      <c r="A139" t="inlineStr">
        <is>
          <t>A 15644-2023</t>
        </is>
      </c>
      <c r="B139" s="1" t="n">
        <v>45021</v>
      </c>
      <c r="C139" s="1" t="n">
        <v>45471</v>
      </c>
      <c r="D139" t="inlineStr">
        <is>
          <t>STOCKHOLMS LÄN</t>
        </is>
      </c>
      <c r="E139" t="inlineStr">
        <is>
          <t>NORRTÄLJE</t>
        </is>
      </c>
      <c r="F139" t="inlineStr">
        <is>
          <t>Holmen skog AB</t>
        </is>
      </c>
      <c r="G139" t="n">
        <v>13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15644-2023 artfynd.xlsx", "A 15644-2023")</f>
        <v/>
      </c>
      <c r="T139">
        <f>HYPERLINK("https://klasma.github.io/Logging_0188/kartor/A 15644-2023 karta.png", "A 15644-2023")</f>
        <v/>
      </c>
      <c r="V139">
        <f>HYPERLINK("https://klasma.github.io/Logging_0188/klagomål/A 15644-2023 FSC-klagomål.docx", "A 15644-2023")</f>
        <v/>
      </c>
      <c r="W139">
        <f>HYPERLINK("https://klasma.github.io/Logging_0188/klagomålsmail/A 15644-2023 FSC-klagomål mail.docx", "A 15644-2023")</f>
        <v/>
      </c>
      <c r="X139">
        <f>HYPERLINK("https://klasma.github.io/Logging_0188/tillsyn/A 15644-2023 tillsynsbegäran.docx", "A 15644-2023")</f>
        <v/>
      </c>
      <c r="Y139">
        <f>HYPERLINK("https://klasma.github.io/Logging_0188/tillsynsmail/A 15644-2023 tillsynsbegäran mail.docx", "A 15644-2023")</f>
        <v/>
      </c>
    </row>
    <row r="140" ht="15" customHeight="1">
      <c r="A140" t="inlineStr">
        <is>
          <t>A 18216-2023</t>
        </is>
      </c>
      <c r="B140" s="1" t="n">
        <v>45041</v>
      </c>
      <c r="C140" s="1" t="n">
        <v>45471</v>
      </c>
      <c r="D140" t="inlineStr">
        <is>
          <t>STOCKHOLMS LÄN</t>
        </is>
      </c>
      <c r="E140" t="inlineStr">
        <is>
          <t>NORRTÄLJE</t>
        </is>
      </c>
      <c r="F140" t="inlineStr">
        <is>
          <t>Holmen skog AB</t>
        </is>
      </c>
      <c r="G140" t="n">
        <v>1.9</v>
      </c>
      <c r="H140" t="n">
        <v>0</v>
      </c>
      <c r="I140" t="n">
        <v>1</v>
      </c>
      <c r="J140" t="n">
        <v>0</v>
      </c>
      <c r="K140" t="n">
        <v>0</v>
      </c>
      <c r="L140" t="n">
        <v>0</v>
      </c>
      <c r="M140" t="n">
        <v>0</v>
      </c>
      <c r="N140" t="n">
        <v>0</v>
      </c>
      <c r="O140" t="n">
        <v>0</v>
      </c>
      <c r="P140" t="n">
        <v>0</v>
      </c>
      <c r="Q140" t="n">
        <v>1</v>
      </c>
      <c r="R140" s="2" t="inlineStr">
        <is>
          <t>Vårärt</t>
        </is>
      </c>
      <c r="S140">
        <f>HYPERLINK("https://klasma.github.io/Logging_0188/artfynd/A 18216-2023 artfynd.xlsx", "A 18216-2023")</f>
        <v/>
      </c>
      <c r="T140">
        <f>HYPERLINK("https://klasma.github.io/Logging_0188/kartor/A 18216-2023 karta.png", "A 18216-2023")</f>
        <v/>
      </c>
      <c r="V140">
        <f>HYPERLINK("https://klasma.github.io/Logging_0188/klagomål/A 18216-2023 FSC-klagomål.docx", "A 18216-2023")</f>
        <v/>
      </c>
      <c r="W140">
        <f>HYPERLINK("https://klasma.github.io/Logging_0188/klagomålsmail/A 18216-2023 FSC-klagomål mail.docx", "A 18216-2023")</f>
        <v/>
      </c>
      <c r="X140">
        <f>HYPERLINK("https://klasma.github.io/Logging_0188/tillsyn/A 18216-2023 tillsynsbegäran.docx", "A 18216-2023")</f>
        <v/>
      </c>
      <c r="Y140">
        <f>HYPERLINK("https://klasma.github.io/Logging_0188/tillsynsmail/A 18216-2023 tillsynsbegäran mail.docx", "A 18216-2023")</f>
        <v/>
      </c>
    </row>
    <row r="141" ht="15" customHeight="1">
      <c r="A141" t="inlineStr">
        <is>
          <t>A 21431-2023</t>
        </is>
      </c>
      <c r="B141" s="1" t="n">
        <v>45063</v>
      </c>
      <c r="C141" s="1" t="n">
        <v>45471</v>
      </c>
      <c r="D141" t="inlineStr">
        <is>
          <t>STOCKHOLMS LÄN</t>
        </is>
      </c>
      <c r="E141" t="inlineStr">
        <is>
          <t>NORRTÄLJE</t>
        </is>
      </c>
      <c r="F141" t="inlineStr">
        <is>
          <t>Holmen skog AB</t>
        </is>
      </c>
      <c r="G141" t="n">
        <v>4</v>
      </c>
      <c r="H141" t="n">
        <v>1</v>
      </c>
      <c r="I141" t="n">
        <v>1</v>
      </c>
      <c r="J141" t="n">
        <v>0</v>
      </c>
      <c r="K141" t="n">
        <v>0</v>
      </c>
      <c r="L141" t="n">
        <v>0</v>
      </c>
      <c r="M141" t="n">
        <v>0</v>
      </c>
      <c r="N141" t="n">
        <v>0</v>
      </c>
      <c r="O141" t="n">
        <v>0</v>
      </c>
      <c r="P141" t="n">
        <v>0</v>
      </c>
      <c r="Q141" t="n">
        <v>1</v>
      </c>
      <c r="R141" s="2" t="inlineStr">
        <is>
          <t>Nästrot</t>
        </is>
      </c>
      <c r="S141">
        <f>HYPERLINK("https://klasma.github.io/Logging_0188/artfynd/A 21431-2023 artfynd.xlsx", "A 21431-2023")</f>
        <v/>
      </c>
      <c r="T141">
        <f>HYPERLINK("https://klasma.github.io/Logging_0188/kartor/A 21431-2023 karta.png", "A 21431-2023")</f>
        <v/>
      </c>
      <c r="V141">
        <f>HYPERLINK("https://klasma.github.io/Logging_0188/klagomål/A 21431-2023 FSC-klagomål.docx", "A 21431-2023")</f>
        <v/>
      </c>
      <c r="W141">
        <f>HYPERLINK("https://klasma.github.io/Logging_0188/klagomålsmail/A 21431-2023 FSC-klagomål mail.docx", "A 21431-2023")</f>
        <v/>
      </c>
      <c r="X141">
        <f>HYPERLINK("https://klasma.github.io/Logging_0188/tillsyn/A 21431-2023 tillsynsbegäran.docx", "A 21431-2023")</f>
        <v/>
      </c>
      <c r="Y141">
        <f>HYPERLINK("https://klasma.github.io/Logging_0188/tillsynsmail/A 21431-2023 tillsynsbegäran mail.docx", "A 21431-2023")</f>
        <v/>
      </c>
    </row>
    <row r="142" ht="15" customHeight="1">
      <c r="A142" t="inlineStr">
        <is>
          <t>A 21744-2023</t>
        </is>
      </c>
      <c r="B142" s="1" t="n">
        <v>45065</v>
      </c>
      <c r="C142" s="1" t="n">
        <v>45471</v>
      </c>
      <c r="D142" t="inlineStr">
        <is>
          <t>STOCKHOLMS LÄN</t>
        </is>
      </c>
      <c r="E142" t="inlineStr">
        <is>
          <t>NORRTÄLJE</t>
        </is>
      </c>
      <c r="F142" t="inlineStr">
        <is>
          <t>Holmen skog AB</t>
        </is>
      </c>
      <c r="G142" t="n">
        <v>4.2</v>
      </c>
      <c r="H142" t="n">
        <v>0</v>
      </c>
      <c r="I142" t="n">
        <v>1</v>
      </c>
      <c r="J142" t="n">
        <v>0</v>
      </c>
      <c r="K142" t="n">
        <v>0</v>
      </c>
      <c r="L142" t="n">
        <v>0</v>
      </c>
      <c r="M142" t="n">
        <v>0</v>
      </c>
      <c r="N142" t="n">
        <v>0</v>
      </c>
      <c r="O142" t="n">
        <v>0</v>
      </c>
      <c r="P142" t="n">
        <v>0</v>
      </c>
      <c r="Q142" t="n">
        <v>1</v>
      </c>
      <c r="R142" s="2" t="inlineStr">
        <is>
          <t>Korallblylav</t>
        </is>
      </c>
      <c r="S142">
        <f>HYPERLINK("https://klasma.github.io/Logging_0188/artfynd/A 21744-2023 artfynd.xlsx", "A 21744-2023")</f>
        <v/>
      </c>
      <c r="T142">
        <f>HYPERLINK("https://klasma.github.io/Logging_0188/kartor/A 21744-2023 karta.png", "A 21744-2023")</f>
        <v/>
      </c>
      <c r="V142">
        <f>HYPERLINK("https://klasma.github.io/Logging_0188/klagomål/A 21744-2023 FSC-klagomål.docx", "A 21744-2023")</f>
        <v/>
      </c>
      <c r="W142">
        <f>HYPERLINK("https://klasma.github.io/Logging_0188/klagomålsmail/A 21744-2023 FSC-klagomål mail.docx", "A 21744-2023")</f>
        <v/>
      </c>
      <c r="X142">
        <f>HYPERLINK("https://klasma.github.io/Logging_0188/tillsyn/A 21744-2023 tillsynsbegäran.docx", "A 21744-2023")</f>
        <v/>
      </c>
      <c r="Y142">
        <f>HYPERLINK("https://klasma.github.io/Logging_0188/tillsynsmail/A 21744-2023 tillsynsbegäran mail.docx", "A 21744-2023")</f>
        <v/>
      </c>
    </row>
    <row r="143" ht="15" customHeight="1">
      <c r="A143" t="inlineStr">
        <is>
          <t>A 24535-2023</t>
        </is>
      </c>
      <c r="B143" s="1" t="n">
        <v>45082</v>
      </c>
      <c r="C143" s="1" t="n">
        <v>45471</v>
      </c>
      <c r="D143" t="inlineStr">
        <is>
          <t>STOCKHOLMS LÄN</t>
        </is>
      </c>
      <c r="E143" t="inlineStr">
        <is>
          <t>NORRTÄLJE</t>
        </is>
      </c>
      <c r="F143" t="inlineStr">
        <is>
          <t>Kommuner</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HYPERLINK("https://klasma.github.io/Logging_0188/artfynd/A 24535-2023 artfynd.xlsx", "A 24535-2023")</f>
        <v/>
      </c>
      <c r="T143">
        <f>HYPERLINK("https://klasma.github.io/Logging_0188/kartor/A 24535-2023 karta.png", "A 24535-2023")</f>
        <v/>
      </c>
      <c r="V143">
        <f>HYPERLINK("https://klasma.github.io/Logging_0188/klagomål/A 24535-2023 FSC-klagomål.docx", "A 24535-2023")</f>
        <v/>
      </c>
      <c r="W143">
        <f>HYPERLINK("https://klasma.github.io/Logging_0188/klagomålsmail/A 24535-2023 FSC-klagomål mail.docx", "A 24535-2023")</f>
        <v/>
      </c>
      <c r="X143">
        <f>HYPERLINK("https://klasma.github.io/Logging_0188/tillsyn/A 24535-2023 tillsynsbegäran.docx", "A 24535-2023")</f>
        <v/>
      </c>
      <c r="Y143">
        <f>HYPERLINK("https://klasma.github.io/Logging_0188/tillsynsmail/A 24535-2023 tillsynsbegäran mail.docx", "A 24535-2023")</f>
        <v/>
      </c>
    </row>
    <row r="144" ht="15" customHeight="1">
      <c r="A144" t="inlineStr">
        <is>
          <t>A 26635-2023</t>
        </is>
      </c>
      <c r="B144" s="1" t="n">
        <v>45092</v>
      </c>
      <c r="C144" s="1" t="n">
        <v>45471</v>
      </c>
      <c r="D144" t="inlineStr">
        <is>
          <t>STOCKHOLMS LÄN</t>
        </is>
      </c>
      <c r="E144" t="inlineStr">
        <is>
          <t>NORRTÄLJE</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HYPERLINK("https://klasma.github.io/Logging_0188/artfynd/A 26635-2023 artfynd.xlsx", "A 26635-2023")</f>
        <v/>
      </c>
      <c r="T144">
        <f>HYPERLINK("https://klasma.github.io/Logging_0188/kartor/A 26635-2023 karta.png", "A 26635-2023")</f>
        <v/>
      </c>
      <c r="V144">
        <f>HYPERLINK("https://klasma.github.io/Logging_0188/klagomål/A 26635-2023 FSC-klagomål.docx", "A 26635-2023")</f>
        <v/>
      </c>
      <c r="W144">
        <f>HYPERLINK("https://klasma.github.io/Logging_0188/klagomålsmail/A 26635-2023 FSC-klagomål mail.docx", "A 26635-2023")</f>
        <v/>
      </c>
      <c r="X144">
        <f>HYPERLINK("https://klasma.github.io/Logging_0188/tillsyn/A 26635-2023 tillsynsbegäran.docx", "A 26635-2023")</f>
        <v/>
      </c>
      <c r="Y144">
        <f>HYPERLINK("https://klasma.github.io/Logging_0188/tillsynsmail/A 26635-2023 tillsynsbegäran mail.docx", "A 26635-2023")</f>
        <v/>
      </c>
    </row>
    <row r="145" ht="15" customHeight="1">
      <c r="A145" t="inlineStr">
        <is>
          <t>A 35649-2023</t>
        </is>
      </c>
      <c r="B145" s="1" t="n">
        <v>45146</v>
      </c>
      <c r="C145" s="1" t="n">
        <v>45471</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39255-2023</t>
        </is>
      </c>
      <c r="B146" s="1" t="n">
        <v>45166</v>
      </c>
      <c r="C146" s="1" t="n">
        <v>45471</v>
      </c>
      <c r="D146" t="inlineStr">
        <is>
          <t>STOCKHOLMS LÄN</t>
        </is>
      </c>
      <c r="E146" t="inlineStr">
        <is>
          <t>NORRTÄLJE</t>
        </is>
      </c>
      <c r="G146" t="n">
        <v>14.2</v>
      </c>
      <c r="H146" t="n">
        <v>1</v>
      </c>
      <c r="I146" t="n">
        <v>0</v>
      </c>
      <c r="J146" t="n">
        <v>0</v>
      </c>
      <c r="K146" t="n">
        <v>0</v>
      </c>
      <c r="L146" t="n">
        <v>0</v>
      </c>
      <c r="M146" t="n">
        <v>0</v>
      </c>
      <c r="N146" t="n">
        <v>0</v>
      </c>
      <c r="O146" t="n">
        <v>0</v>
      </c>
      <c r="P146" t="n">
        <v>0</v>
      </c>
      <c r="Q146" t="n">
        <v>1</v>
      </c>
      <c r="R146" s="2" t="inlineStr">
        <is>
          <t>Lopplummer</t>
        </is>
      </c>
      <c r="S146">
        <f>HYPERLINK("https://klasma.github.io/Logging_0188/artfynd/A 39255-2023 artfynd.xlsx", "A 39255-2023")</f>
        <v/>
      </c>
      <c r="T146">
        <f>HYPERLINK("https://klasma.github.io/Logging_0188/kartor/A 39255-2023 karta.png", "A 39255-2023")</f>
        <v/>
      </c>
      <c r="V146">
        <f>HYPERLINK("https://klasma.github.io/Logging_0188/klagomål/A 39255-2023 FSC-klagomål.docx", "A 39255-2023")</f>
        <v/>
      </c>
      <c r="W146">
        <f>HYPERLINK("https://klasma.github.io/Logging_0188/klagomålsmail/A 39255-2023 FSC-klagomål mail.docx", "A 39255-2023")</f>
        <v/>
      </c>
      <c r="X146">
        <f>HYPERLINK("https://klasma.github.io/Logging_0188/tillsyn/A 39255-2023 tillsynsbegäran.docx", "A 39255-2023")</f>
        <v/>
      </c>
      <c r="Y146">
        <f>HYPERLINK("https://klasma.github.io/Logging_0188/tillsynsmail/A 39255-2023 tillsynsbegäran mail.docx", "A 39255-2023")</f>
        <v/>
      </c>
    </row>
    <row r="147" ht="15" customHeight="1">
      <c r="A147" t="inlineStr">
        <is>
          <t>A 43178-2023</t>
        </is>
      </c>
      <c r="B147" s="1" t="n">
        <v>45183</v>
      </c>
      <c r="C147" s="1" t="n">
        <v>45471</v>
      </c>
      <c r="D147" t="inlineStr">
        <is>
          <t>STOCKHOLMS LÄN</t>
        </is>
      </c>
      <c r="E147" t="inlineStr">
        <is>
          <t>NORRTÄLJE</t>
        </is>
      </c>
      <c r="F147" t="inlineStr">
        <is>
          <t>Kyrkan</t>
        </is>
      </c>
      <c r="G147" t="n">
        <v>1.5</v>
      </c>
      <c r="H147" t="n">
        <v>0</v>
      </c>
      <c r="I147" t="n">
        <v>0</v>
      </c>
      <c r="J147" t="n">
        <v>1</v>
      </c>
      <c r="K147" t="n">
        <v>0</v>
      </c>
      <c r="L147" t="n">
        <v>0</v>
      </c>
      <c r="M147" t="n">
        <v>0</v>
      </c>
      <c r="N147" t="n">
        <v>0</v>
      </c>
      <c r="O147" t="n">
        <v>1</v>
      </c>
      <c r="P147" t="n">
        <v>0</v>
      </c>
      <c r="Q147" t="n">
        <v>1</v>
      </c>
      <c r="R147" s="2" t="inlineStr">
        <is>
          <t>Mindre bastardsvärmare</t>
        </is>
      </c>
      <c r="S147">
        <f>HYPERLINK("https://klasma.github.io/Logging_0188/artfynd/A 43178-2023 artfynd.xlsx", "A 43178-2023")</f>
        <v/>
      </c>
      <c r="T147">
        <f>HYPERLINK("https://klasma.github.io/Logging_0188/kartor/A 43178-2023 karta.png", "A 43178-2023")</f>
        <v/>
      </c>
      <c r="V147">
        <f>HYPERLINK("https://klasma.github.io/Logging_0188/klagomål/A 43178-2023 FSC-klagomål.docx", "A 43178-2023")</f>
        <v/>
      </c>
      <c r="W147">
        <f>HYPERLINK("https://klasma.github.io/Logging_0188/klagomålsmail/A 43178-2023 FSC-klagomål mail.docx", "A 43178-2023")</f>
        <v/>
      </c>
      <c r="X147">
        <f>HYPERLINK("https://klasma.github.io/Logging_0188/tillsyn/A 43178-2023 tillsynsbegäran.docx", "A 43178-2023")</f>
        <v/>
      </c>
      <c r="Y147">
        <f>HYPERLINK("https://klasma.github.io/Logging_0188/tillsynsmail/A 43178-2023 tillsynsbegäran mail.docx", "A 43178-2023")</f>
        <v/>
      </c>
    </row>
    <row r="148" ht="15" customHeight="1">
      <c r="A148" t="inlineStr">
        <is>
          <t>A 43171-2023</t>
        </is>
      </c>
      <c r="B148" s="1" t="n">
        <v>45183</v>
      </c>
      <c r="C148" s="1" t="n">
        <v>45471</v>
      </c>
      <c r="D148" t="inlineStr">
        <is>
          <t>STOCKHOLMS LÄN</t>
        </is>
      </c>
      <c r="E148" t="inlineStr">
        <is>
          <t>NORRTÄLJE</t>
        </is>
      </c>
      <c r="F148" t="inlineStr">
        <is>
          <t>Kyrkan</t>
        </is>
      </c>
      <c r="G148" t="n">
        <v>1.3</v>
      </c>
      <c r="H148" t="n">
        <v>0</v>
      </c>
      <c r="I148" t="n">
        <v>0</v>
      </c>
      <c r="J148" t="n">
        <v>0</v>
      </c>
      <c r="K148" t="n">
        <v>0</v>
      </c>
      <c r="L148" t="n">
        <v>1</v>
      </c>
      <c r="M148" t="n">
        <v>0</v>
      </c>
      <c r="N148" t="n">
        <v>0</v>
      </c>
      <c r="O148" t="n">
        <v>1</v>
      </c>
      <c r="P148" t="n">
        <v>1</v>
      </c>
      <c r="Q148" t="n">
        <v>1</v>
      </c>
      <c r="R148" s="2" t="inlineStr">
        <is>
          <t>Ryl</t>
        </is>
      </c>
      <c r="S148">
        <f>HYPERLINK("https://klasma.github.io/Logging_0188/artfynd/A 43171-2023 artfynd.xlsx", "A 43171-2023")</f>
        <v/>
      </c>
      <c r="T148">
        <f>HYPERLINK("https://klasma.github.io/Logging_0188/kartor/A 43171-2023 karta.png", "A 43171-2023")</f>
        <v/>
      </c>
      <c r="U148">
        <f>HYPERLINK("https://klasma.github.io/Logging_0188/knärot/A 43171-2023 karta knärot.png", "A 43171-2023")</f>
        <v/>
      </c>
      <c r="V148">
        <f>HYPERLINK("https://klasma.github.io/Logging_0188/klagomål/A 43171-2023 FSC-klagomål.docx", "A 43171-2023")</f>
        <v/>
      </c>
      <c r="W148">
        <f>HYPERLINK("https://klasma.github.io/Logging_0188/klagomålsmail/A 43171-2023 FSC-klagomål mail.docx", "A 43171-2023")</f>
        <v/>
      </c>
      <c r="X148">
        <f>HYPERLINK("https://klasma.github.io/Logging_0188/tillsyn/A 43171-2023 tillsynsbegäran.docx", "A 43171-2023")</f>
        <v/>
      </c>
      <c r="Y148">
        <f>HYPERLINK("https://klasma.github.io/Logging_0188/tillsynsmail/A 43171-2023 tillsynsbegäran mail.docx", "A 43171-2023")</f>
        <v/>
      </c>
    </row>
    <row r="149" ht="15" customHeight="1">
      <c r="A149" t="inlineStr">
        <is>
          <t>A 43350-2023</t>
        </is>
      </c>
      <c r="B149" s="1" t="n">
        <v>45183</v>
      </c>
      <c r="C149" s="1" t="n">
        <v>45471</v>
      </c>
      <c r="D149" t="inlineStr">
        <is>
          <t>STOCKHOLMS LÄN</t>
        </is>
      </c>
      <c r="E149" t="inlineStr">
        <is>
          <t>NORRTÄLJE</t>
        </is>
      </c>
      <c r="F149" t="inlineStr">
        <is>
          <t>Holmen skog AB</t>
        </is>
      </c>
      <c r="G149" t="n">
        <v>4.2</v>
      </c>
      <c r="H149" t="n">
        <v>1</v>
      </c>
      <c r="I149" t="n">
        <v>0</v>
      </c>
      <c r="J149" t="n">
        <v>0</v>
      </c>
      <c r="K149" t="n">
        <v>0</v>
      </c>
      <c r="L149" t="n">
        <v>0</v>
      </c>
      <c r="M149" t="n">
        <v>0</v>
      </c>
      <c r="N149" t="n">
        <v>0</v>
      </c>
      <c r="O149" t="n">
        <v>0</v>
      </c>
      <c r="P149" t="n">
        <v>0</v>
      </c>
      <c r="Q149" t="n">
        <v>1</v>
      </c>
      <c r="R149" s="2" t="inlineStr">
        <is>
          <t>Revlummer</t>
        </is>
      </c>
      <c r="S149">
        <f>HYPERLINK("https://klasma.github.io/Logging_0188/artfynd/A 43350-2023 artfynd.xlsx", "A 43350-2023")</f>
        <v/>
      </c>
      <c r="T149">
        <f>HYPERLINK("https://klasma.github.io/Logging_0188/kartor/A 43350-2023 karta.png", "A 43350-2023")</f>
        <v/>
      </c>
      <c r="V149">
        <f>HYPERLINK("https://klasma.github.io/Logging_0188/klagomål/A 43350-2023 FSC-klagomål.docx", "A 43350-2023")</f>
        <v/>
      </c>
      <c r="W149">
        <f>HYPERLINK("https://klasma.github.io/Logging_0188/klagomålsmail/A 43350-2023 FSC-klagomål mail.docx", "A 43350-2023")</f>
        <v/>
      </c>
      <c r="X149">
        <f>HYPERLINK("https://klasma.github.io/Logging_0188/tillsyn/A 43350-2023 tillsynsbegäran.docx", "A 43350-2023")</f>
        <v/>
      </c>
      <c r="Y149">
        <f>HYPERLINK("https://klasma.github.io/Logging_0188/tillsynsmail/A 43350-2023 tillsynsbegäran mail.docx", "A 43350-2023")</f>
        <v/>
      </c>
    </row>
    <row r="150" ht="15" customHeight="1">
      <c r="A150" t="inlineStr">
        <is>
          <t>A 43354-2023</t>
        </is>
      </c>
      <c r="B150" s="1" t="n">
        <v>45183</v>
      </c>
      <c r="C150" s="1" t="n">
        <v>45471</v>
      </c>
      <c r="D150" t="inlineStr">
        <is>
          <t>STOCKHOLMS LÄN</t>
        </is>
      </c>
      <c r="E150" t="inlineStr">
        <is>
          <t>NORRTÄLJE</t>
        </is>
      </c>
      <c r="F150" t="inlineStr">
        <is>
          <t>Holmen skog AB</t>
        </is>
      </c>
      <c r="G150" t="n">
        <v>9.9</v>
      </c>
      <c r="H150" t="n">
        <v>0</v>
      </c>
      <c r="I150" t="n">
        <v>1</v>
      </c>
      <c r="J150" t="n">
        <v>0</v>
      </c>
      <c r="K150" t="n">
        <v>0</v>
      </c>
      <c r="L150" t="n">
        <v>0</v>
      </c>
      <c r="M150" t="n">
        <v>0</v>
      </c>
      <c r="N150" t="n">
        <v>0</v>
      </c>
      <c r="O150" t="n">
        <v>0</v>
      </c>
      <c r="P150" t="n">
        <v>0</v>
      </c>
      <c r="Q150" t="n">
        <v>1</v>
      </c>
      <c r="R150" s="2" t="inlineStr">
        <is>
          <t>Tibast</t>
        </is>
      </c>
      <c r="S150">
        <f>HYPERLINK("https://klasma.github.io/Logging_0188/artfynd/A 43354-2023 artfynd.xlsx", "A 43354-2023")</f>
        <v/>
      </c>
      <c r="T150">
        <f>HYPERLINK("https://klasma.github.io/Logging_0188/kartor/A 43354-2023 karta.png", "A 43354-2023")</f>
        <v/>
      </c>
      <c r="V150">
        <f>HYPERLINK("https://klasma.github.io/Logging_0188/klagomål/A 43354-2023 FSC-klagomål.docx", "A 43354-2023")</f>
        <v/>
      </c>
      <c r="W150">
        <f>HYPERLINK("https://klasma.github.io/Logging_0188/klagomålsmail/A 43354-2023 FSC-klagomål mail.docx", "A 43354-2023")</f>
        <v/>
      </c>
      <c r="X150">
        <f>HYPERLINK("https://klasma.github.io/Logging_0188/tillsyn/A 43354-2023 tillsynsbegäran.docx", "A 43354-2023")</f>
        <v/>
      </c>
      <c r="Y150">
        <f>HYPERLINK("https://klasma.github.io/Logging_0188/tillsynsmail/A 43354-2023 tillsynsbegäran mail.docx", "A 43354-2023")</f>
        <v/>
      </c>
    </row>
    <row r="151" ht="15" customHeight="1">
      <c r="A151" t="inlineStr">
        <is>
          <t>A 45172-2023</t>
        </is>
      </c>
      <c r="B151" s="1" t="n">
        <v>45191</v>
      </c>
      <c r="C151" s="1" t="n">
        <v>45471</v>
      </c>
      <c r="D151" t="inlineStr">
        <is>
          <t>STOCKHOLMS LÄN</t>
        </is>
      </c>
      <c r="E151" t="inlineStr">
        <is>
          <t>NORRTÄLJE</t>
        </is>
      </c>
      <c r="F151" t="inlineStr">
        <is>
          <t>Sveaskog</t>
        </is>
      </c>
      <c r="G151" t="n">
        <v>3.8</v>
      </c>
      <c r="H151" t="n">
        <v>1</v>
      </c>
      <c r="I151" t="n">
        <v>0</v>
      </c>
      <c r="J151" t="n">
        <v>1</v>
      </c>
      <c r="K151" t="n">
        <v>0</v>
      </c>
      <c r="L151" t="n">
        <v>0</v>
      </c>
      <c r="M151" t="n">
        <v>0</v>
      </c>
      <c r="N151" t="n">
        <v>0</v>
      </c>
      <c r="O151" t="n">
        <v>1</v>
      </c>
      <c r="P151" t="n">
        <v>0</v>
      </c>
      <c r="Q151" t="n">
        <v>1</v>
      </c>
      <c r="R151" s="2" t="inlineStr">
        <is>
          <t>Slaguggla</t>
        </is>
      </c>
      <c r="S151">
        <f>HYPERLINK("https://klasma.github.io/Logging_0188/artfynd/A 45172-2023 artfynd.xlsx", "A 45172-2023")</f>
        <v/>
      </c>
      <c r="T151">
        <f>HYPERLINK("https://klasma.github.io/Logging_0188/kartor/A 45172-2023 karta.png", "A 45172-2023")</f>
        <v/>
      </c>
      <c r="V151">
        <f>HYPERLINK("https://klasma.github.io/Logging_0188/klagomål/A 45172-2023 FSC-klagomål.docx", "A 45172-2023")</f>
        <v/>
      </c>
      <c r="W151">
        <f>HYPERLINK("https://klasma.github.io/Logging_0188/klagomålsmail/A 45172-2023 FSC-klagomål mail.docx", "A 45172-2023")</f>
        <v/>
      </c>
      <c r="X151">
        <f>HYPERLINK("https://klasma.github.io/Logging_0188/tillsyn/A 45172-2023 tillsynsbegäran.docx", "A 45172-2023")</f>
        <v/>
      </c>
      <c r="Y151">
        <f>HYPERLINK("https://klasma.github.io/Logging_0188/tillsynsmail/A 45172-2023 tillsynsbegäran mail.docx", "A 45172-2023")</f>
        <v/>
      </c>
      <c r="Z151">
        <f>HYPERLINK("https://klasma.github.io/Logging_0188/fåglar/A 45172-2023 prioriterade fågelarter.docx", "A 45172-2023")</f>
        <v/>
      </c>
    </row>
    <row r="152" ht="15" customHeight="1">
      <c r="A152" t="inlineStr">
        <is>
          <t>A 48131-2023</t>
        </is>
      </c>
      <c r="B152" s="1" t="n">
        <v>45205</v>
      </c>
      <c r="C152" s="1" t="n">
        <v>45471</v>
      </c>
      <c r="D152" t="inlineStr">
        <is>
          <t>STOCKHOLMS LÄN</t>
        </is>
      </c>
      <c r="E152" t="inlineStr">
        <is>
          <t>NORRTÄLJE</t>
        </is>
      </c>
      <c r="G152" t="n">
        <v>2.3</v>
      </c>
      <c r="H152" t="n">
        <v>0</v>
      </c>
      <c r="I152" t="n">
        <v>0</v>
      </c>
      <c r="J152" t="n">
        <v>1</v>
      </c>
      <c r="K152" t="n">
        <v>0</v>
      </c>
      <c r="L152" t="n">
        <v>0</v>
      </c>
      <c r="M152" t="n">
        <v>0</v>
      </c>
      <c r="N152" t="n">
        <v>0</v>
      </c>
      <c r="O152" t="n">
        <v>1</v>
      </c>
      <c r="P152" t="n">
        <v>0</v>
      </c>
      <c r="Q152" t="n">
        <v>1</v>
      </c>
      <c r="R152" s="2" t="inlineStr">
        <is>
          <t>Slåtterfibbla</t>
        </is>
      </c>
      <c r="S152">
        <f>HYPERLINK("https://klasma.github.io/Logging_0188/artfynd/A 48131-2023 artfynd.xlsx", "A 48131-2023")</f>
        <v/>
      </c>
      <c r="T152">
        <f>HYPERLINK("https://klasma.github.io/Logging_0188/kartor/A 48131-2023 karta.png", "A 48131-2023")</f>
        <v/>
      </c>
      <c r="V152">
        <f>HYPERLINK("https://klasma.github.io/Logging_0188/klagomål/A 48131-2023 FSC-klagomål.docx", "A 48131-2023")</f>
        <v/>
      </c>
      <c r="W152">
        <f>HYPERLINK("https://klasma.github.io/Logging_0188/klagomålsmail/A 48131-2023 FSC-klagomål mail.docx", "A 48131-2023")</f>
        <v/>
      </c>
      <c r="X152">
        <f>HYPERLINK("https://klasma.github.io/Logging_0188/tillsyn/A 48131-2023 tillsynsbegäran.docx", "A 48131-2023")</f>
        <v/>
      </c>
      <c r="Y152">
        <f>HYPERLINK("https://klasma.github.io/Logging_0188/tillsynsmail/A 48131-2023 tillsynsbegäran mail.docx", "A 48131-2023")</f>
        <v/>
      </c>
    </row>
    <row r="153" ht="15" customHeight="1">
      <c r="A153" t="inlineStr">
        <is>
          <t>A 51695-2023</t>
        </is>
      </c>
      <c r="B153" s="1" t="n">
        <v>45222</v>
      </c>
      <c r="C153" s="1" t="n">
        <v>45471</v>
      </c>
      <c r="D153" t="inlineStr">
        <is>
          <t>STOCKHOLMS LÄN</t>
        </is>
      </c>
      <c r="E153" t="inlineStr">
        <is>
          <t>NORRTÄLJE</t>
        </is>
      </c>
      <c r="G153" t="n">
        <v>4.9</v>
      </c>
      <c r="H153" t="n">
        <v>0</v>
      </c>
      <c r="I153" t="n">
        <v>1</v>
      </c>
      <c r="J153" t="n">
        <v>0</v>
      </c>
      <c r="K153" t="n">
        <v>0</v>
      </c>
      <c r="L153" t="n">
        <v>0</v>
      </c>
      <c r="M153" t="n">
        <v>0</v>
      </c>
      <c r="N153" t="n">
        <v>0</v>
      </c>
      <c r="O153" t="n">
        <v>0</v>
      </c>
      <c r="P153" t="n">
        <v>0</v>
      </c>
      <c r="Q153" t="n">
        <v>1</v>
      </c>
      <c r="R153" s="2" t="inlineStr">
        <is>
          <t>Fjällig taggsvamp s.str.</t>
        </is>
      </c>
      <c r="S153">
        <f>HYPERLINK("https://klasma.github.io/Logging_0188/artfynd/A 51695-2023 artfynd.xlsx", "A 51695-2023")</f>
        <v/>
      </c>
      <c r="T153">
        <f>HYPERLINK("https://klasma.github.io/Logging_0188/kartor/A 51695-2023 karta.png", "A 51695-2023")</f>
        <v/>
      </c>
      <c r="V153">
        <f>HYPERLINK("https://klasma.github.io/Logging_0188/klagomål/A 51695-2023 FSC-klagomål.docx", "A 51695-2023")</f>
        <v/>
      </c>
      <c r="W153">
        <f>HYPERLINK("https://klasma.github.io/Logging_0188/klagomålsmail/A 51695-2023 FSC-klagomål mail.docx", "A 51695-2023")</f>
        <v/>
      </c>
      <c r="X153">
        <f>HYPERLINK("https://klasma.github.io/Logging_0188/tillsyn/A 51695-2023 tillsynsbegäran.docx", "A 51695-2023")</f>
        <v/>
      </c>
      <c r="Y153">
        <f>HYPERLINK("https://klasma.github.io/Logging_0188/tillsynsmail/A 51695-2023 tillsynsbegäran mail.docx", "A 51695-2023")</f>
        <v/>
      </c>
    </row>
    <row r="154" ht="15" customHeight="1">
      <c r="A154" t="inlineStr">
        <is>
          <t>A 51909-2023</t>
        </is>
      </c>
      <c r="B154" s="1" t="n">
        <v>45223</v>
      </c>
      <c r="C154" s="1" t="n">
        <v>45471</v>
      </c>
      <c r="D154" t="inlineStr">
        <is>
          <t>STOCKHOLMS LÄN</t>
        </is>
      </c>
      <c r="E154" t="inlineStr">
        <is>
          <t>NORRTÄLJE</t>
        </is>
      </c>
      <c r="G154" t="n">
        <v>8.1</v>
      </c>
      <c r="H154" t="n">
        <v>1</v>
      </c>
      <c r="I154" t="n">
        <v>1</v>
      </c>
      <c r="J154" t="n">
        <v>0</v>
      </c>
      <c r="K154" t="n">
        <v>0</v>
      </c>
      <c r="L154" t="n">
        <v>0</v>
      </c>
      <c r="M154" t="n">
        <v>0</v>
      </c>
      <c r="N154" t="n">
        <v>0</v>
      </c>
      <c r="O154" t="n">
        <v>0</v>
      </c>
      <c r="P154" t="n">
        <v>0</v>
      </c>
      <c r="Q154" t="n">
        <v>1</v>
      </c>
      <c r="R154" s="2" t="inlineStr">
        <is>
          <t>Skogsknipprot</t>
        </is>
      </c>
      <c r="S154">
        <f>HYPERLINK("https://klasma.github.io/Logging_0188/artfynd/A 51909-2023 artfynd.xlsx", "A 51909-2023")</f>
        <v/>
      </c>
      <c r="T154">
        <f>HYPERLINK("https://klasma.github.io/Logging_0188/kartor/A 51909-2023 karta.png", "A 51909-2023")</f>
        <v/>
      </c>
      <c r="V154">
        <f>HYPERLINK("https://klasma.github.io/Logging_0188/klagomål/A 51909-2023 FSC-klagomål.docx", "A 51909-2023")</f>
        <v/>
      </c>
      <c r="W154">
        <f>HYPERLINK("https://klasma.github.io/Logging_0188/klagomålsmail/A 51909-2023 FSC-klagomål mail.docx", "A 51909-2023")</f>
        <v/>
      </c>
      <c r="X154">
        <f>HYPERLINK("https://klasma.github.io/Logging_0188/tillsyn/A 51909-2023 tillsynsbegäran.docx", "A 51909-2023")</f>
        <v/>
      </c>
      <c r="Y154">
        <f>HYPERLINK("https://klasma.github.io/Logging_0188/tillsynsmail/A 51909-2023 tillsynsbegäran mail.docx", "A 51909-2023")</f>
        <v/>
      </c>
    </row>
    <row r="155" ht="15" customHeight="1">
      <c r="A155" t="inlineStr">
        <is>
          <t>A 52508-2023</t>
        </is>
      </c>
      <c r="B155" s="1" t="n">
        <v>45225</v>
      </c>
      <c r="C155" s="1" t="n">
        <v>45471</v>
      </c>
      <c r="D155" t="inlineStr">
        <is>
          <t>STOCKHOLMS LÄN</t>
        </is>
      </c>
      <c r="E155" t="inlineStr">
        <is>
          <t>NORRTÄLJE</t>
        </is>
      </c>
      <c r="G155" t="n">
        <v>19.7</v>
      </c>
      <c r="H155" t="n">
        <v>1</v>
      </c>
      <c r="I155" t="n">
        <v>0</v>
      </c>
      <c r="J155" t="n">
        <v>0</v>
      </c>
      <c r="K155" t="n">
        <v>1</v>
      </c>
      <c r="L155" t="n">
        <v>0</v>
      </c>
      <c r="M155" t="n">
        <v>0</v>
      </c>
      <c r="N155" t="n">
        <v>0</v>
      </c>
      <c r="O155" t="n">
        <v>1</v>
      </c>
      <c r="P155" t="n">
        <v>1</v>
      </c>
      <c r="Q155" t="n">
        <v>1</v>
      </c>
      <c r="R155" s="2" t="inlineStr">
        <is>
          <t>Svärta</t>
        </is>
      </c>
      <c r="S155">
        <f>HYPERLINK("https://klasma.github.io/Logging_0188/artfynd/A 52508-2023 artfynd.xlsx", "A 52508-2023")</f>
        <v/>
      </c>
      <c r="T155">
        <f>HYPERLINK("https://klasma.github.io/Logging_0188/kartor/A 52508-2023 karta.png", "A 52508-2023")</f>
        <v/>
      </c>
      <c r="V155">
        <f>HYPERLINK("https://klasma.github.io/Logging_0188/klagomål/A 52508-2023 FSC-klagomål.docx", "A 52508-2023")</f>
        <v/>
      </c>
      <c r="W155">
        <f>HYPERLINK("https://klasma.github.io/Logging_0188/klagomålsmail/A 52508-2023 FSC-klagomål mail.docx", "A 52508-2023")</f>
        <v/>
      </c>
      <c r="X155">
        <f>HYPERLINK("https://klasma.github.io/Logging_0188/tillsyn/A 52508-2023 tillsynsbegäran.docx", "A 52508-2023")</f>
        <v/>
      </c>
      <c r="Y155">
        <f>HYPERLINK("https://klasma.github.io/Logging_0188/tillsynsmail/A 52508-2023 tillsynsbegäran mail.docx", "A 52508-2023")</f>
        <v/>
      </c>
    </row>
    <row r="156" ht="15" customHeight="1">
      <c r="A156" t="inlineStr">
        <is>
          <t>A 55767-2023</t>
        </is>
      </c>
      <c r="B156" s="1" t="n">
        <v>45239</v>
      </c>
      <c r="C156" s="1" t="n">
        <v>45471</v>
      </c>
      <c r="D156" t="inlineStr">
        <is>
          <t>STOCKHOLMS LÄN</t>
        </is>
      </c>
      <c r="E156" t="inlineStr">
        <is>
          <t>NORRTÄLJE</t>
        </is>
      </c>
      <c r="G156" t="n">
        <v>3.7</v>
      </c>
      <c r="H156" t="n">
        <v>0</v>
      </c>
      <c r="I156" t="n">
        <v>1</v>
      </c>
      <c r="J156" t="n">
        <v>0</v>
      </c>
      <c r="K156" t="n">
        <v>0</v>
      </c>
      <c r="L156" t="n">
        <v>0</v>
      </c>
      <c r="M156" t="n">
        <v>0</v>
      </c>
      <c r="N156" t="n">
        <v>0</v>
      </c>
      <c r="O156" t="n">
        <v>0</v>
      </c>
      <c r="P156" t="n">
        <v>0</v>
      </c>
      <c r="Q156" t="n">
        <v>1</v>
      </c>
      <c r="R156" s="2" t="inlineStr">
        <is>
          <t>Ögonpyrola</t>
        </is>
      </c>
      <c r="S156">
        <f>HYPERLINK("https://klasma.github.io/Logging_0188/artfynd/A 55767-2023 artfynd.xlsx", "A 55767-2023")</f>
        <v/>
      </c>
      <c r="T156">
        <f>HYPERLINK("https://klasma.github.io/Logging_0188/kartor/A 55767-2023 karta.png", "A 55767-2023")</f>
        <v/>
      </c>
      <c r="V156">
        <f>HYPERLINK("https://klasma.github.io/Logging_0188/klagomål/A 55767-2023 FSC-klagomål.docx", "A 55767-2023")</f>
        <v/>
      </c>
      <c r="W156">
        <f>HYPERLINK("https://klasma.github.io/Logging_0188/klagomålsmail/A 55767-2023 FSC-klagomål mail.docx", "A 55767-2023")</f>
        <v/>
      </c>
      <c r="X156">
        <f>HYPERLINK("https://klasma.github.io/Logging_0188/tillsyn/A 55767-2023 tillsynsbegäran.docx", "A 55767-2023")</f>
        <v/>
      </c>
      <c r="Y156">
        <f>HYPERLINK("https://klasma.github.io/Logging_0188/tillsynsmail/A 55767-2023 tillsynsbegäran mail.docx", "A 55767-2023")</f>
        <v/>
      </c>
    </row>
    <row r="157" ht="15" customHeight="1">
      <c r="A157" t="inlineStr">
        <is>
          <t>A 59580-2023</t>
        </is>
      </c>
      <c r="B157" s="1" t="n">
        <v>45254</v>
      </c>
      <c r="C157" s="1" t="n">
        <v>45471</v>
      </c>
      <c r="D157" t="inlineStr">
        <is>
          <t>STOCKHOLMS LÄN</t>
        </is>
      </c>
      <c r="E157" t="inlineStr">
        <is>
          <t>NORRTÄLJE</t>
        </is>
      </c>
      <c r="G157" t="n">
        <v>3.2</v>
      </c>
      <c r="H157" t="n">
        <v>0</v>
      </c>
      <c r="I157" t="n">
        <v>1</v>
      </c>
      <c r="J157" t="n">
        <v>0</v>
      </c>
      <c r="K157" t="n">
        <v>0</v>
      </c>
      <c r="L157" t="n">
        <v>0</v>
      </c>
      <c r="M157" t="n">
        <v>0</v>
      </c>
      <c r="N157" t="n">
        <v>0</v>
      </c>
      <c r="O157" t="n">
        <v>0</v>
      </c>
      <c r="P157" t="n">
        <v>0</v>
      </c>
      <c r="Q157" t="n">
        <v>1</v>
      </c>
      <c r="R157" s="2" t="inlineStr">
        <is>
          <t>Trådticka</t>
        </is>
      </c>
      <c r="S157">
        <f>HYPERLINK("https://klasma.github.io/Logging_0188/artfynd/A 59580-2023 artfynd.xlsx", "A 59580-2023")</f>
        <v/>
      </c>
      <c r="T157">
        <f>HYPERLINK("https://klasma.github.io/Logging_0188/kartor/A 59580-2023 karta.png", "A 59580-2023")</f>
        <v/>
      </c>
      <c r="V157">
        <f>HYPERLINK("https://klasma.github.io/Logging_0188/klagomål/A 59580-2023 FSC-klagomål.docx", "A 59580-2023")</f>
        <v/>
      </c>
      <c r="W157">
        <f>HYPERLINK("https://klasma.github.io/Logging_0188/klagomålsmail/A 59580-2023 FSC-klagomål mail.docx", "A 59580-2023")</f>
        <v/>
      </c>
      <c r="X157">
        <f>HYPERLINK("https://klasma.github.io/Logging_0188/tillsyn/A 59580-2023 tillsynsbegäran.docx", "A 59580-2023")</f>
        <v/>
      </c>
      <c r="Y157">
        <f>HYPERLINK("https://klasma.github.io/Logging_0188/tillsynsmail/A 59580-2023 tillsynsbegäran mail.docx", "A 59580-2023")</f>
        <v/>
      </c>
    </row>
    <row r="158" ht="15" customHeight="1">
      <c r="A158" t="inlineStr">
        <is>
          <t>A 63851-2023</t>
        </is>
      </c>
      <c r="B158" s="1" t="n">
        <v>45278</v>
      </c>
      <c r="C158" s="1" t="n">
        <v>45471</v>
      </c>
      <c r="D158" t="inlineStr">
        <is>
          <t>STOCKHOLMS LÄN</t>
        </is>
      </c>
      <c r="E158" t="inlineStr">
        <is>
          <t>NORRTÄLJE</t>
        </is>
      </c>
      <c r="G158" t="n">
        <v>5.6</v>
      </c>
      <c r="H158" t="n">
        <v>1</v>
      </c>
      <c r="I158" t="n">
        <v>0</v>
      </c>
      <c r="J158" t="n">
        <v>0</v>
      </c>
      <c r="K158" t="n">
        <v>0</v>
      </c>
      <c r="L158" t="n">
        <v>0</v>
      </c>
      <c r="M158" t="n">
        <v>0</v>
      </c>
      <c r="N158" t="n">
        <v>0</v>
      </c>
      <c r="O158" t="n">
        <v>0</v>
      </c>
      <c r="P158" t="n">
        <v>0</v>
      </c>
      <c r="Q158" t="n">
        <v>1</v>
      </c>
      <c r="R158" s="2" t="inlineStr">
        <is>
          <t>Tjäder</t>
        </is>
      </c>
      <c r="S158">
        <f>HYPERLINK("https://klasma.github.io/Logging_0188/artfynd/A 63851-2023 artfynd.xlsx", "A 63851-2023")</f>
        <v/>
      </c>
      <c r="T158">
        <f>HYPERLINK("https://klasma.github.io/Logging_0188/kartor/A 63851-2023 karta.png", "A 63851-2023")</f>
        <v/>
      </c>
      <c r="V158">
        <f>HYPERLINK("https://klasma.github.io/Logging_0188/klagomål/A 63851-2023 FSC-klagomål.docx", "A 63851-2023")</f>
        <v/>
      </c>
      <c r="W158">
        <f>HYPERLINK("https://klasma.github.io/Logging_0188/klagomålsmail/A 63851-2023 FSC-klagomål mail.docx", "A 63851-2023")</f>
        <v/>
      </c>
      <c r="X158">
        <f>HYPERLINK("https://klasma.github.io/Logging_0188/tillsyn/A 63851-2023 tillsynsbegäran.docx", "A 63851-2023")</f>
        <v/>
      </c>
      <c r="Y158">
        <f>HYPERLINK("https://klasma.github.io/Logging_0188/tillsynsmail/A 63851-2023 tillsynsbegäran mail.docx", "A 63851-2023")</f>
        <v/>
      </c>
      <c r="Z158">
        <f>HYPERLINK("https://klasma.github.io/Logging_0188/fåglar/A 63851-2023 prioriterade fågelarter.docx", "A 63851-2023")</f>
        <v/>
      </c>
    </row>
    <row r="159" ht="15" customHeight="1">
      <c r="A159" t="inlineStr">
        <is>
          <t>A 64456-2023</t>
        </is>
      </c>
      <c r="B159" s="1" t="n">
        <v>45280</v>
      </c>
      <c r="C159" s="1" t="n">
        <v>45471</v>
      </c>
      <c r="D159" t="inlineStr">
        <is>
          <t>STOCKHOLMS LÄN</t>
        </is>
      </c>
      <c r="E159" t="inlineStr">
        <is>
          <t>NORRTÄLJE</t>
        </is>
      </c>
      <c r="G159" t="n">
        <v>2.5</v>
      </c>
      <c r="H159" t="n">
        <v>0</v>
      </c>
      <c r="I159" t="n">
        <v>1</v>
      </c>
      <c r="J159" t="n">
        <v>0</v>
      </c>
      <c r="K159" t="n">
        <v>0</v>
      </c>
      <c r="L159" t="n">
        <v>0</v>
      </c>
      <c r="M159" t="n">
        <v>0</v>
      </c>
      <c r="N159" t="n">
        <v>0</v>
      </c>
      <c r="O159" t="n">
        <v>0</v>
      </c>
      <c r="P159" t="n">
        <v>0</v>
      </c>
      <c r="Q159" t="n">
        <v>1</v>
      </c>
      <c r="R159" s="2" t="inlineStr">
        <is>
          <t>Rödgul trumpetsvamp</t>
        </is>
      </c>
      <c r="S159">
        <f>HYPERLINK("https://klasma.github.io/Logging_0188/artfynd/A 64456-2023 artfynd.xlsx", "A 64456-2023")</f>
        <v/>
      </c>
      <c r="T159">
        <f>HYPERLINK("https://klasma.github.io/Logging_0188/kartor/A 64456-2023 karta.png", "A 64456-2023")</f>
        <v/>
      </c>
      <c r="V159">
        <f>HYPERLINK("https://klasma.github.io/Logging_0188/klagomål/A 64456-2023 FSC-klagomål.docx", "A 64456-2023")</f>
        <v/>
      </c>
      <c r="W159">
        <f>HYPERLINK("https://klasma.github.io/Logging_0188/klagomålsmail/A 64456-2023 FSC-klagomål mail.docx", "A 64456-2023")</f>
        <v/>
      </c>
      <c r="X159">
        <f>HYPERLINK("https://klasma.github.io/Logging_0188/tillsyn/A 64456-2023 tillsynsbegäran.docx", "A 64456-2023")</f>
        <v/>
      </c>
      <c r="Y159">
        <f>HYPERLINK("https://klasma.github.io/Logging_0188/tillsynsmail/A 64456-2023 tillsynsbegäran mail.docx", "A 64456-2023")</f>
        <v/>
      </c>
    </row>
    <row r="160" ht="15" customHeight="1">
      <c r="A160" t="inlineStr">
        <is>
          <t>A 6950-2024</t>
        </is>
      </c>
      <c r="B160" s="1" t="n">
        <v>45343</v>
      </c>
      <c r="C160" s="1" t="n">
        <v>45471</v>
      </c>
      <c r="D160" t="inlineStr">
        <is>
          <t>STOCKHOLMS LÄN</t>
        </is>
      </c>
      <c r="E160" t="inlineStr">
        <is>
          <t>NORRTÄLJE</t>
        </is>
      </c>
      <c r="G160" t="n">
        <v>26.8</v>
      </c>
      <c r="H160" t="n">
        <v>1</v>
      </c>
      <c r="I160" t="n">
        <v>0</v>
      </c>
      <c r="J160" t="n">
        <v>0</v>
      </c>
      <c r="K160" t="n">
        <v>0</v>
      </c>
      <c r="L160" t="n">
        <v>0</v>
      </c>
      <c r="M160" t="n">
        <v>0</v>
      </c>
      <c r="N160" t="n">
        <v>0</v>
      </c>
      <c r="O160" t="n">
        <v>0</v>
      </c>
      <c r="P160" t="n">
        <v>0</v>
      </c>
      <c r="Q160" t="n">
        <v>1</v>
      </c>
      <c r="R160" s="2" t="inlineStr">
        <is>
          <t>Blåsippa</t>
        </is>
      </c>
      <c r="S160">
        <f>HYPERLINK("https://klasma.github.io/Logging_0188/artfynd/A 6950-2024 artfynd.xlsx", "A 6950-2024")</f>
        <v/>
      </c>
      <c r="T160">
        <f>HYPERLINK("https://klasma.github.io/Logging_0188/kartor/A 6950-2024 karta.png", "A 6950-2024")</f>
        <v/>
      </c>
      <c r="V160">
        <f>HYPERLINK("https://klasma.github.io/Logging_0188/klagomål/A 6950-2024 FSC-klagomål.docx", "A 6950-2024")</f>
        <v/>
      </c>
      <c r="W160">
        <f>HYPERLINK("https://klasma.github.io/Logging_0188/klagomålsmail/A 6950-2024 FSC-klagomål mail.docx", "A 6950-2024")</f>
        <v/>
      </c>
      <c r="X160">
        <f>HYPERLINK("https://klasma.github.io/Logging_0188/tillsyn/A 6950-2024 tillsynsbegäran.docx", "A 6950-2024")</f>
        <v/>
      </c>
      <c r="Y160">
        <f>HYPERLINK("https://klasma.github.io/Logging_0188/tillsynsmail/A 6950-2024 tillsynsbegäran mail.docx", "A 6950-2024")</f>
        <v/>
      </c>
    </row>
    <row r="161" ht="15" customHeight="1">
      <c r="A161" t="inlineStr">
        <is>
          <t>A 20468-2024</t>
        </is>
      </c>
      <c r="B161" s="1" t="n">
        <v>45435</v>
      </c>
      <c r="C161" s="1" t="n">
        <v>45471</v>
      </c>
      <c r="D161" t="inlineStr">
        <is>
          <t>STOCKHOLMS LÄN</t>
        </is>
      </c>
      <c r="E161" t="inlineStr">
        <is>
          <t>NORRTÄLJE</t>
        </is>
      </c>
      <c r="G161" t="n">
        <v>2.2</v>
      </c>
      <c r="H161" t="n">
        <v>0</v>
      </c>
      <c r="I161" t="n">
        <v>0</v>
      </c>
      <c r="J161" t="n">
        <v>0</v>
      </c>
      <c r="K161" t="n">
        <v>0</v>
      </c>
      <c r="L161" t="n">
        <v>1</v>
      </c>
      <c r="M161" t="n">
        <v>0</v>
      </c>
      <c r="N161" t="n">
        <v>0</v>
      </c>
      <c r="O161" t="n">
        <v>1</v>
      </c>
      <c r="P161" t="n">
        <v>1</v>
      </c>
      <c r="Q161" t="n">
        <v>1</v>
      </c>
      <c r="R161" s="2" t="inlineStr">
        <is>
          <t>Fältgentiana</t>
        </is>
      </c>
      <c r="S161">
        <f>HYPERLINK("https://klasma.github.io/Logging_0188/artfynd/A 20468-2024 artfynd.xlsx", "A 20468-2024")</f>
        <v/>
      </c>
      <c r="T161">
        <f>HYPERLINK("https://klasma.github.io/Logging_0188/kartor/A 20468-2024 karta.png", "A 20468-2024")</f>
        <v/>
      </c>
      <c r="V161">
        <f>HYPERLINK("https://klasma.github.io/Logging_0188/klagomål/A 20468-2024 FSC-klagomål.docx", "A 20468-2024")</f>
        <v/>
      </c>
      <c r="W161">
        <f>HYPERLINK("https://klasma.github.io/Logging_0188/klagomålsmail/A 20468-2024 FSC-klagomål mail.docx", "A 20468-2024")</f>
        <v/>
      </c>
      <c r="X161">
        <f>HYPERLINK("https://klasma.github.io/Logging_0188/tillsyn/A 20468-2024 tillsynsbegäran.docx", "A 20468-2024")</f>
        <v/>
      </c>
      <c r="Y161">
        <f>HYPERLINK("https://klasma.github.io/Logging_0188/tillsynsmail/A 20468-2024 tillsynsbegäran mail.docx", "A 20468-2024")</f>
        <v/>
      </c>
    </row>
    <row r="162" ht="15" customHeight="1">
      <c r="A162" t="inlineStr">
        <is>
          <t>A 23146-2024</t>
        </is>
      </c>
      <c r="B162" s="1" t="n">
        <v>45450</v>
      </c>
      <c r="C162" s="1" t="n">
        <v>45471</v>
      </c>
      <c r="D162" t="inlineStr">
        <is>
          <t>STOCKHOLMS LÄN</t>
        </is>
      </c>
      <c r="E162" t="inlineStr">
        <is>
          <t>NORRTÄLJE</t>
        </is>
      </c>
      <c r="F162" t="inlineStr">
        <is>
          <t>Kommuner</t>
        </is>
      </c>
      <c r="G162" t="n">
        <v>6</v>
      </c>
      <c r="H162" t="n">
        <v>0</v>
      </c>
      <c r="I162" t="n">
        <v>0</v>
      </c>
      <c r="J162" t="n">
        <v>1</v>
      </c>
      <c r="K162" t="n">
        <v>0</v>
      </c>
      <c r="L162" t="n">
        <v>0</v>
      </c>
      <c r="M162" t="n">
        <v>0</v>
      </c>
      <c r="N162" t="n">
        <v>0</v>
      </c>
      <c r="O162" t="n">
        <v>1</v>
      </c>
      <c r="P162" t="n">
        <v>0</v>
      </c>
      <c r="Q162" t="n">
        <v>1</v>
      </c>
      <c r="R162" s="2" t="inlineStr">
        <is>
          <t>Motaggsvamp</t>
        </is>
      </c>
      <c r="S162">
        <f>HYPERLINK("https://klasma.github.io/Logging_0188/artfynd/A 23146-2024 artfynd.xlsx", "A 23146-2024")</f>
        <v/>
      </c>
      <c r="T162">
        <f>HYPERLINK("https://klasma.github.io/Logging_0188/kartor/A 23146-2024 karta.png", "A 23146-2024")</f>
        <v/>
      </c>
      <c r="V162">
        <f>HYPERLINK("https://klasma.github.io/Logging_0188/klagomål/A 23146-2024 FSC-klagomål.docx", "A 23146-2024")</f>
        <v/>
      </c>
      <c r="W162">
        <f>HYPERLINK("https://klasma.github.io/Logging_0188/klagomålsmail/A 23146-2024 FSC-klagomål mail.docx", "A 23146-2024")</f>
        <v/>
      </c>
      <c r="X162">
        <f>HYPERLINK("https://klasma.github.io/Logging_0188/tillsyn/A 23146-2024 tillsynsbegäran.docx", "A 23146-2024")</f>
        <v/>
      </c>
      <c r="Y162">
        <f>HYPERLINK("https://klasma.github.io/Logging_0188/tillsynsmail/A 23146-2024 tillsynsbegäran mail.docx", "A 23146-2024")</f>
        <v/>
      </c>
    </row>
    <row r="163" ht="15" customHeight="1">
      <c r="A163" t="inlineStr">
        <is>
          <t>A 24528-2024</t>
        </is>
      </c>
      <c r="B163" s="1" t="n">
        <v>45460</v>
      </c>
      <c r="C163" s="1" t="n">
        <v>45471</v>
      </c>
      <c r="D163" t="inlineStr">
        <is>
          <t>STOCKHOLMS LÄN</t>
        </is>
      </c>
      <c r="E163" t="inlineStr">
        <is>
          <t>NORRTÄLJE</t>
        </is>
      </c>
      <c r="G163" t="n">
        <v>1.4</v>
      </c>
      <c r="H163" t="n">
        <v>1</v>
      </c>
      <c r="I163" t="n">
        <v>0</v>
      </c>
      <c r="J163" t="n">
        <v>0</v>
      </c>
      <c r="K163" t="n">
        <v>1</v>
      </c>
      <c r="L163" t="n">
        <v>0</v>
      </c>
      <c r="M163" t="n">
        <v>0</v>
      </c>
      <c r="N163" t="n">
        <v>0</v>
      </c>
      <c r="O163" t="n">
        <v>1</v>
      </c>
      <c r="P163" t="n">
        <v>1</v>
      </c>
      <c r="Q163" t="n">
        <v>1</v>
      </c>
      <c r="R163" s="2" t="inlineStr">
        <is>
          <t>Hällebräcka</t>
        </is>
      </c>
      <c r="S163">
        <f>HYPERLINK("https://klasma.github.io/Logging_0188/artfynd/A 24528-2024 artfynd.xlsx", "A 24528-2024")</f>
        <v/>
      </c>
      <c r="T163">
        <f>HYPERLINK("https://klasma.github.io/Logging_0188/kartor/A 24528-2024 karta.png", "A 24528-2024")</f>
        <v/>
      </c>
      <c r="V163">
        <f>HYPERLINK("https://klasma.github.io/Logging_0188/klagomål/A 24528-2024 FSC-klagomål.docx", "A 24528-2024")</f>
        <v/>
      </c>
      <c r="W163">
        <f>HYPERLINK("https://klasma.github.io/Logging_0188/klagomålsmail/A 24528-2024 FSC-klagomål mail.docx", "A 24528-2024")</f>
        <v/>
      </c>
      <c r="X163">
        <f>HYPERLINK("https://klasma.github.io/Logging_0188/tillsyn/A 24528-2024 tillsynsbegäran.docx", "A 24528-2024")</f>
        <v/>
      </c>
      <c r="Y163">
        <f>HYPERLINK("https://klasma.github.io/Logging_0188/tillsynsmail/A 24528-2024 tillsynsbegäran mail.docx", "A 24528-2024")</f>
        <v/>
      </c>
    </row>
    <row r="164" ht="15" customHeight="1">
      <c r="A164" t="inlineStr">
        <is>
          <t>A 24577-2024</t>
        </is>
      </c>
      <c r="B164" s="1" t="n">
        <v>45460</v>
      </c>
      <c r="C164" s="1" t="n">
        <v>45471</v>
      </c>
      <c r="D164" t="inlineStr">
        <is>
          <t>STOCKHOLMS LÄN</t>
        </is>
      </c>
      <c r="E164" t="inlineStr">
        <is>
          <t>NORRTÄLJE</t>
        </is>
      </c>
      <c r="G164" t="n">
        <v>3.8</v>
      </c>
      <c r="H164" t="n">
        <v>0</v>
      </c>
      <c r="I164" t="n">
        <v>1</v>
      </c>
      <c r="J164" t="n">
        <v>0</v>
      </c>
      <c r="K164" t="n">
        <v>0</v>
      </c>
      <c r="L164" t="n">
        <v>0</v>
      </c>
      <c r="M164" t="n">
        <v>0</v>
      </c>
      <c r="N164" t="n">
        <v>0</v>
      </c>
      <c r="O164" t="n">
        <v>0</v>
      </c>
      <c r="P164" t="n">
        <v>0</v>
      </c>
      <c r="Q164" t="n">
        <v>1</v>
      </c>
      <c r="R164" s="2" t="inlineStr">
        <is>
          <t>Rostfläck</t>
        </is>
      </c>
      <c r="S164">
        <f>HYPERLINK("https://klasma.github.io/Logging_0188/artfynd/A 24577-2024 artfynd.xlsx", "A 24577-2024")</f>
        <v/>
      </c>
      <c r="T164">
        <f>HYPERLINK("https://klasma.github.io/Logging_0188/kartor/A 24577-2024 karta.png", "A 24577-2024")</f>
        <v/>
      </c>
      <c r="V164">
        <f>HYPERLINK("https://klasma.github.io/Logging_0188/klagomål/A 24577-2024 FSC-klagomål.docx", "A 24577-2024")</f>
        <v/>
      </c>
      <c r="W164">
        <f>HYPERLINK("https://klasma.github.io/Logging_0188/klagomålsmail/A 24577-2024 FSC-klagomål mail.docx", "A 24577-2024")</f>
        <v/>
      </c>
      <c r="X164">
        <f>HYPERLINK("https://klasma.github.io/Logging_0188/tillsyn/A 24577-2024 tillsynsbegäran.docx", "A 24577-2024")</f>
        <v/>
      </c>
      <c r="Y164">
        <f>HYPERLINK("https://klasma.github.io/Logging_0188/tillsynsmail/A 24577-2024 tillsynsbegäran mail.docx", "A 24577-2024")</f>
        <v/>
      </c>
    </row>
    <row r="165" ht="15" customHeight="1">
      <c r="A165" t="inlineStr">
        <is>
          <t>A 26120-2024</t>
        </is>
      </c>
      <c r="B165" s="1" t="n">
        <v>45468</v>
      </c>
      <c r="C165" s="1" t="n">
        <v>45471</v>
      </c>
      <c r="D165" t="inlineStr">
        <is>
          <t>STOCKHOLMS LÄN</t>
        </is>
      </c>
      <c r="E165" t="inlineStr">
        <is>
          <t>NORRTÄLJE</t>
        </is>
      </c>
      <c r="G165" t="n">
        <v>1.8</v>
      </c>
      <c r="H165" t="n">
        <v>0</v>
      </c>
      <c r="I165" t="n">
        <v>0</v>
      </c>
      <c r="J165" t="n">
        <v>1</v>
      </c>
      <c r="K165" t="n">
        <v>0</v>
      </c>
      <c r="L165" t="n">
        <v>0</v>
      </c>
      <c r="M165" t="n">
        <v>0</v>
      </c>
      <c r="N165" t="n">
        <v>0</v>
      </c>
      <c r="O165" t="n">
        <v>1</v>
      </c>
      <c r="P165" t="n">
        <v>0</v>
      </c>
      <c r="Q165" t="n">
        <v>1</v>
      </c>
      <c r="R165" s="2" t="inlineStr">
        <is>
          <t>Majviva</t>
        </is>
      </c>
      <c r="S165">
        <f>HYPERLINK("https://klasma.github.io/Logging_0188/artfynd/A 26120-2024 artfynd.xlsx", "A 26120-2024")</f>
        <v/>
      </c>
      <c r="T165">
        <f>HYPERLINK("https://klasma.github.io/Logging_0188/kartor/A 26120-2024 karta.png", "A 26120-2024")</f>
        <v/>
      </c>
      <c r="V165">
        <f>HYPERLINK("https://klasma.github.io/Logging_0188/klagomål/A 26120-2024 FSC-klagomål.docx", "A 26120-2024")</f>
        <v/>
      </c>
      <c r="W165">
        <f>HYPERLINK("https://klasma.github.io/Logging_0188/klagomålsmail/A 26120-2024 FSC-klagomål mail.docx", "A 26120-2024")</f>
        <v/>
      </c>
      <c r="X165">
        <f>HYPERLINK("https://klasma.github.io/Logging_0188/tillsyn/A 26120-2024 tillsynsbegäran.docx", "A 26120-2024")</f>
        <v/>
      </c>
      <c r="Y165">
        <f>HYPERLINK("https://klasma.github.io/Logging_0188/tillsynsmail/A 26120-2024 tillsynsbegäran mail.docx", "A 26120-2024")</f>
        <v/>
      </c>
    </row>
    <row r="166" ht="15" customHeight="1">
      <c r="A166" t="inlineStr">
        <is>
          <t>A 17752-2019</t>
        </is>
      </c>
      <c r="B166" s="1" t="n">
        <v>43556</v>
      </c>
      <c r="C166" s="1" t="n">
        <v>45471</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17795-2019</t>
        </is>
      </c>
      <c r="B167" s="1" t="n">
        <v>43556</v>
      </c>
      <c r="C167" s="1" t="n">
        <v>45471</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17757-2019</t>
        </is>
      </c>
      <c r="B168" s="1" t="n">
        <v>43556</v>
      </c>
      <c r="C168" s="1" t="n">
        <v>45471</v>
      </c>
      <c r="D168" t="inlineStr">
        <is>
          <t>STOCKHOLMS LÄN</t>
        </is>
      </c>
      <c r="E168" t="inlineStr">
        <is>
          <t>NORRTÄLJE</t>
        </is>
      </c>
      <c r="G168" t="n">
        <v>2.5</v>
      </c>
      <c r="H168" t="n">
        <v>0</v>
      </c>
      <c r="I168" t="n">
        <v>0</v>
      </c>
      <c r="J168" t="n">
        <v>0</v>
      </c>
      <c r="K168" t="n">
        <v>0</v>
      </c>
      <c r="L168" t="n">
        <v>0</v>
      </c>
      <c r="M168" t="n">
        <v>0</v>
      </c>
      <c r="N168" t="n">
        <v>0</v>
      </c>
      <c r="O168" t="n">
        <v>0</v>
      </c>
      <c r="P168" t="n">
        <v>0</v>
      </c>
      <c r="Q168" t="n">
        <v>0</v>
      </c>
      <c r="R168" s="2" t="inlineStr"/>
    </row>
    <row r="169" ht="15" customHeight="1">
      <c r="A169" t="inlineStr">
        <is>
          <t>A 17963-2019</t>
        </is>
      </c>
      <c r="B169" s="1" t="n">
        <v>43557</v>
      </c>
      <c r="C169" s="1" t="n">
        <v>45471</v>
      </c>
      <c r="D169" t="inlineStr">
        <is>
          <t>STOCKHOLMS LÄN</t>
        </is>
      </c>
      <c r="E169" t="inlineStr">
        <is>
          <t>NORRTÄLJE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18378-2019</t>
        </is>
      </c>
      <c r="B170" s="1" t="n">
        <v>43559</v>
      </c>
      <c r="C170" s="1" t="n">
        <v>45471</v>
      </c>
      <c r="D170" t="inlineStr">
        <is>
          <t>STOCKHOLMS LÄN</t>
        </is>
      </c>
      <c r="E170" t="inlineStr">
        <is>
          <t>NORRTÄLJE</t>
        </is>
      </c>
      <c r="G170" t="n">
        <v>5.8</v>
      </c>
      <c r="H170" t="n">
        <v>0</v>
      </c>
      <c r="I170" t="n">
        <v>0</v>
      </c>
      <c r="J170" t="n">
        <v>0</v>
      </c>
      <c r="K170" t="n">
        <v>0</v>
      </c>
      <c r="L170" t="n">
        <v>0</v>
      </c>
      <c r="M170" t="n">
        <v>0</v>
      </c>
      <c r="N170" t="n">
        <v>0</v>
      </c>
      <c r="O170" t="n">
        <v>0</v>
      </c>
      <c r="P170" t="n">
        <v>0</v>
      </c>
      <c r="Q170" t="n">
        <v>0</v>
      </c>
      <c r="R170" s="2" t="inlineStr"/>
    </row>
    <row r="171" ht="15" customHeight="1">
      <c r="A171" t="inlineStr">
        <is>
          <t>A 18664-2019</t>
        </is>
      </c>
      <c r="B171" s="1" t="n">
        <v>43560</v>
      </c>
      <c r="C171" s="1" t="n">
        <v>45471</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18767-2019</t>
        </is>
      </c>
      <c r="B172" s="1" t="n">
        <v>43560</v>
      </c>
      <c r="C172" s="1" t="n">
        <v>45471</v>
      </c>
      <c r="D172" t="inlineStr">
        <is>
          <t>STOCKHOLMS LÄN</t>
        </is>
      </c>
      <c r="E172" t="inlineStr">
        <is>
          <t>NORRTÄLJE</t>
        </is>
      </c>
      <c r="G172" t="n">
        <v>4</v>
      </c>
      <c r="H172" t="n">
        <v>0</v>
      </c>
      <c r="I172" t="n">
        <v>0</v>
      </c>
      <c r="J172" t="n">
        <v>0</v>
      </c>
      <c r="K172" t="n">
        <v>0</v>
      </c>
      <c r="L172" t="n">
        <v>0</v>
      </c>
      <c r="M172" t="n">
        <v>0</v>
      </c>
      <c r="N172" t="n">
        <v>0</v>
      </c>
      <c r="O172" t="n">
        <v>0</v>
      </c>
      <c r="P172" t="n">
        <v>0</v>
      </c>
      <c r="Q172" t="n">
        <v>0</v>
      </c>
      <c r="R172" s="2" t="inlineStr"/>
    </row>
    <row r="173" ht="15" customHeight="1">
      <c r="A173" t="inlineStr">
        <is>
          <t>A 18820-2019</t>
        </is>
      </c>
      <c r="B173" s="1" t="n">
        <v>43563</v>
      </c>
      <c r="C173" s="1" t="n">
        <v>45471</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18890-2019</t>
        </is>
      </c>
      <c r="B174" s="1" t="n">
        <v>43563</v>
      </c>
      <c r="C174" s="1" t="n">
        <v>45471</v>
      </c>
      <c r="D174" t="inlineStr">
        <is>
          <t>STOCKHOLMS LÄN</t>
        </is>
      </c>
      <c r="E174" t="inlineStr">
        <is>
          <t>NORRTÄLJE</t>
        </is>
      </c>
      <c r="G174" t="n">
        <v>4.7</v>
      </c>
      <c r="H174" t="n">
        <v>0</v>
      </c>
      <c r="I174" t="n">
        <v>0</v>
      </c>
      <c r="J174" t="n">
        <v>0</v>
      </c>
      <c r="K174" t="n">
        <v>0</v>
      </c>
      <c r="L174" t="n">
        <v>0</v>
      </c>
      <c r="M174" t="n">
        <v>0</v>
      </c>
      <c r="N174" t="n">
        <v>0</v>
      </c>
      <c r="O174" t="n">
        <v>0</v>
      </c>
      <c r="P174" t="n">
        <v>0</v>
      </c>
      <c r="Q174" t="n">
        <v>0</v>
      </c>
      <c r="R174" s="2" t="inlineStr"/>
    </row>
    <row r="175" ht="15" customHeight="1">
      <c r="A175" t="inlineStr">
        <is>
          <t>A 18909-2019</t>
        </is>
      </c>
      <c r="B175" s="1" t="n">
        <v>43563</v>
      </c>
      <c r="C175" s="1" t="n">
        <v>45471</v>
      </c>
      <c r="D175" t="inlineStr">
        <is>
          <t>STOCKHOLMS LÄN</t>
        </is>
      </c>
      <c r="E175" t="inlineStr">
        <is>
          <t>NORRTÄLJE</t>
        </is>
      </c>
      <c r="G175" t="n">
        <v>2.9</v>
      </c>
      <c r="H175" t="n">
        <v>0</v>
      </c>
      <c r="I175" t="n">
        <v>0</v>
      </c>
      <c r="J175" t="n">
        <v>0</v>
      </c>
      <c r="K175" t="n">
        <v>0</v>
      </c>
      <c r="L175" t="n">
        <v>0</v>
      </c>
      <c r="M175" t="n">
        <v>0</v>
      </c>
      <c r="N175" t="n">
        <v>0</v>
      </c>
      <c r="O175" t="n">
        <v>0</v>
      </c>
      <c r="P175" t="n">
        <v>0</v>
      </c>
      <c r="Q175" t="n">
        <v>0</v>
      </c>
      <c r="R175" s="2" t="inlineStr"/>
    </row>
    <row r="176" ht="15" customHeight="1">
      <c r="A176" t="inlineStr">
        <is>
          <t>A 19026-2019</t>
        </is>
      </c>
      <c r="B176" s="1" t="n">
        <v>43563</v>
      </c>
      <c r="C176" s="1" t="n">
        <v>45471</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19014-2019</t>
        </is>
      </c>
      <c r="B177" s="1" t="n">
        <v>43563</v>
      </c>
      <c r="C177" s="1" t="n">
        <v>45471</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19247-2019</t>
        </is>
      </c>
      <c r="B178" s="1" t="n">
        <v>43564</v>
      </c>
      <c r="C178" s="1" t="n">
        <v>45471</v>
      </c>
      <c r="D178" t="inlineStr">
        <is>
          <t>STOCKHOLMS LÄN</t>
        </is>
      </c>
      <c r="E178" t="inlineStr">
        <is>
          <t>NORRTÄLJE</t>
        </is>
      </c>
      <c r="G178" t="n">
        <v>1.8</v>
      </c>
      <c r="H178" t="n">
        <v>0</v>
      </c>
      <c r="I178" t="n">
        <v>0</v>
      </c>
      <c r="J178" t="n">
        <v>0</v>
      </c>
      <c r="K178" t="n">
        <v>0</v>
      </c>
      <c r="L178" t="n">
        <v>0</v>
      </c>
      <c r="M178" t="n">
        <v>0</v>
      </c>
      <c r="N178" t="n">
        <v>0</v>
      </c>
      <c r="O178" t="n">
        <v>0</v>
      </c>
      <c r="P178" t="n">
        <v>0</v>
      </c>
      <c r="Q178" t="n">
        <v>0</v>
      </c>
      <c r="R178" s="2" t="inlineStr"/>
    </row>
    <row r="179" ht="15" customHeight="1">
      <c r="A179" t="inlineStr">
        <is>
          <t>A 19255-2019</t>
        </is>
      </c>
      <c r="B179" s="1" t="n">
        <v>43564</v>
      </c>
      <c r="C179" s="1" t="n">
        <v>45471</v>
      </c>
      <c r="D179" t="inlineStr">
        <is>
          <t>STOCKHOLMS LÄN</t>
        </is>
      </c>
      <c r="E179" t="inlineStr">
        <is>
          <t>NORRTÄLJE</t>
        </is>
      </c>
      <c r="G179" t="n">
        <v>2.6</v>
      </c>
      <c r="H179" t="n">
        <v>0</v>
      </c>
      <c r="I179" t="n">
        <v>0</v>
      </c>
      <c r="J179" t="n">
        <v>0</v>
      </c>
      <c r="K179" t="n">
        <v>0</v>
      </c>
      <c r="L179" t="n">
        <v>0</v>
      </c>
      <c r="M179" t="n">
        <v>0</v>
      </c>
      <c r="N179" t="n">
        <v>0</v>
      </c>
      <c r="O179" t="n">
        <v>0</v>
      </c>
      <c r="P179" t="n">
        <v>0</v>
      </c>
      <c r="Q179" t="n">
        <v>0</v>
      </c>
      <c r="R179" s="2" t="inlineStr"/>
    </row>
    <row r="180" ht="15" customHeight="1">
      <c r="A180" t="inlineStr">
        <is>
          <t>A 19302-2019</t>
        </is>
      </c>
      <c r="B180" s="1" t="n">
        <v>43565</v>
      </c>
      <c r="C180" s="1" t="n">
        <v>45471</v>
      </c>
      <c r="D180" t="inlineStr">
        <is>
          <t>STOCKHOLMS LÄN</t>
        </is>
      </c>
      <c r="E180" t="inlineStr">
        <is>
          <t>NORRTÄLJE</t>
        </is>
      </c>
      <c r="F180" t="inlineStr">
        <is>
          <t>Kommuner</t>
        </is>
      </c>
      <c r="G180" t="n">
        <v>4.2</v>
      </c>
      <c r="H180" t="n">
        <v>0</v>
      </c>
      <c r="I180" t="n">
        <v>0</v>
      </c>
      <c r="J180" t="n">
        <v>0</v>
      </c>
      <c r="K180" t="n">
        <v>0</v>
      </c>
      <c r="L180" t="n">
        <v>0</v>
      </c>
      <c r="M180" t="n">
        <v>0</v>
      </c>
      <c r="N180" t="n">
        <v>0</v>
      </c>
      <c r="O180" t="n">
        <v>0</v>
      </c>
      <c r="P180" t="n">
        <v>0</v>
      </c>
      <c r="Q180" t="n">
        <v>0</v>
      </c>
      <c r="R180" s="2" t="inlineStr"/>
    </row>
    <row r="181" ht="15" customHeight="1">
      <c r="A181" t="inlineStr">
        <is>
          <t>A 19301-2019</t>
        </is>
      </c>
      <c r="B181" s="1" t="n">
        <v>43565</v>
      </c>
      <c r="C181" s="1" t="n">
        <v>45471</v>
      </c>
      <c r="D181" t="inlineStr">
        <is>
          <t>STOCKHOLMS LÄN</t>
        </is>
      </c>
      <c r="E181" t="inlineStr">
        <is>
          <t>NORRTÄLJE</t>
        </is>
      </c>
      <c r="F181" t="inlineStr">
        <is>
          <t>Kommuner</t>
        </is>
      </c>
      <c r="G181" t="n">
        <v>3.9</v>
      </c>
      <c r="H181" t="n">
        <v>0</v>
      </c>
      <c r="I181" t="n">
        <v>0</v>
      </c>
      <c r="J181" t="n">
        <v>0</v>
      </c>
      <c r="K181" t="n">
        <v>0</v>
      </c>
      <c r="L181" t="n">
        <v>0</v>
      </c>
      <c r="M181" t="n">
        <v>0</v>
      </c>
      <c r="N181" t="n">
        <v>0</v>
      </c>
      <c r="O181" t="n">
        <v>0</v>
      </c>
      <c r="P181" t="n">
        <v>0</v>
      </c>
      <c r="Q181" t="n">
        <v>0</v>
      </c>
      <c r="R181" s="2" t="inlineStr"/>
    </row>
    <row r="182" ht="15" customHeight="1">
      <c r="A182" t="inlineStr">
        <is>
          <t>A 19297-2019</t>
        </is>
      </c>
      <c r="B182" s="1" t="n">
        <v>43565</v>
      </c>
      <c r="C182" s="1" t="n">
        <v>45471</v>
      </c>
      <c r="D182" t="inlineStr">
        <is>
          <t>STOCKHOLMS LÄN</t>
        </is>
      </c>
      <c r="E182" t="inlineStr">
        <is>
          <t>NORRTÄLJE</t>
        </is>
      </c>
      <c r="F182" t="inlineStr">
        <is>
          <t>Kommuner</t>
        </is>
      </c>
      <c r="G182" t="n">
        <v>1.2</v>
      </c>
      <c r="H182" t="n">
        <v>0</v>
      </c>
      <c r="I182" t="n">
        <v>0</v>
      </c>
      <c r="J182" t="n">
        <v>0</v>
      </c>
      <c r="K182" t="n">
        <v>0</v>
      </c>
      <c r="L182" t="n">
        <v>0</v>
      </c>
      <c r="M182" t="n">
        <v>0</v>
      </c>
      <c r="N182" t="n">
        <v>0</v>
      </c>
      <c r="O182" t="n">
        <v>0</v>
      </c>
      <c r="P182" t="n">
        <v>0</v>
      </c>
      <c r="Q182" t="n">
        <v>0</v>
      </c>
      <c r="R182" s="2" t="inlineStr"/>
    </row>
    <row r="183" ht="15" customHeight="1">
      <c r="A183" t="inlineStr">
        <is>
          <t>A 19537-2019</t>
        </is>
      </c>
      <c r="B183" s="1" t="n">
        <v>43565</v>
      </c>
      <c r="C183" s="1" t="n">
        <v>45471</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19539-2019</t>
        </is>
      </c>
      <c r="B184" s="1" t="n">
        <v>43565</v>
      </c>
      <c r="C184" s="1" t="n">
        <v>45471</v>
      </c>
      <c r="D184" t="inlineStr">
        <is>
          <t>STOCKHOLMS LÄN</t>
        </is>
      </c>
      <c r="E184" t="inlineStr">
        <is>
          <t>NORRTÄLJE</t>
        </is>
      </c>
      <c r="G184" t="n">
        <v>2.4</v>
      </c>
      <c r="H184" t="n">
        <v>0</v>
      </c>
      <c r="I184" t="n">
        <v>0</v>
      </c>
      <c r="J184" t="n">
        <v>0</v>
      </c>
      <c r="K184" t="n">
        <v>0</v>
      </c>
      <c r="L184" t="n">
        <v>0</v>
      </c>
      <c r="M184" t="n">
        <v>0</v>
      </c>
      <c r="N184" t="n">
        <v>0</v>
      </c>
      <c r="O184" t="n">
        <v>0</v>
      </c>
      <c r="P184" t="n">
        <v>0</v>
      </c>
      <c r="Q184" t="n">
        <v>0</v>
      </c>
      <c r="R184" s="2" t="inlineStr"/>
    </row>
    <row r="185" ht="15" customHeight="1">
      <c r="A185" t="inlineStr">
        <is>
          <t>A 19540-2019</t>
        </is>
      </c>
      <c r="B185" s="1" t="n">
        <v>43565</v>
      </c>
      <c r="C185" s="1" t="n">
        <v>45471</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19638-2019</t>
        </is>
      </c>
      <c r="B186" s="1" t="n">
        <v>43566</v>
      </c>
      <c r="C186" s="1" t="n">
        <v>45471</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19593-2019</t>
        </is>
      </c>
      <c r="B187" s="1" t="n">
        <v>43566</v>
      </c>
      <c r="C187" s="1" t="n">
        <v>45471</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19872-2019</t>
        </is>
      </c>
      <c r="B188" s="1" t="n">
        <v>43567</v>
      </c>
      <c r="C188" s="1" t="n">
        <v>45471</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19811-2019</t>
        </is>
      </c>
      <c r="B189" s="1" t="n">
        <v>43567</v>
      </c>
      <c r="C189" s="1" t="n">
        <v>45471</v>
      </c>
      <c r="D189" t="inlineStr">
        <is>
          <t>STOCKHOLMS LÄN</t>
        </is>
      </c>
      <c r="E189" t="inlineStr">
        <is>
          <t>NORRTÄLJE</t>
        </is>
      </c>
      <c r="F189" t="inlineStr">
        <is>
          <t>Kommuner</t>
        </is>
      </c>
      <c r="G189" t="n">
        <v>1.6</v>
      </c>
      <c r="H189" t="n">
        <v>0</v>
      </c>
      <c r="I189" t="n">
        <v>0</v>
      </c>
      <c r="J189" t="n">
        <v>0</v>
      </c>
      <c r="K189" t="n">
        <v>0</v>
      </c>
      <c r="L189" t="n">
        <v>0</v>
      </c>
      <c r="M189" t="n">
        <v>0</v>
      </c>
      <c r="N189" t="n">
        <v>0</v>
      </c>
      <c r="O189" t="n">
        <v>0</v>
      </c>
      <c r="P189" t="n">
        <v>0</v>
      </c>
      <c r="Q189" t="n">
        <v>0</v>
      </c>
      <c r="R189" s="2" t="inlineStr"/>
    </row>
    <row r="190" ht="15" customHeight="1">
      <c r="A190" t="inlineStr">
        <is>
          <t>A 19812-2019</t>
        </is>
      </c>
      <c r="B190" s="1" t="n">
        <v>43567</v>
      </c>
      <c r="C190" s="1" t="n">
        <v>45471</v>
      </c>
      <c r="D190" t="inlineStr">
        <is>
          <t>STOCKHOLMS LÄN</t>
        </is>
      </c>
      <c r="E190" t="inlineStr">
        <is>
          <t>NORRTÄLJE</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19931-2019</t>
        </is>
      </c>
      <c r="B191" s="1" t="n">
        <v>43568</v>
      </c>
      <c r="C191" s="1" t="n">
        <v>45471</v>
      </c>
      <c r="D191" t="inlineStr">
        <is>
          <t>STOCKHOLMS LÄN</t>
        </is>
      </c>
      <c r="E191" t="inlineStr">
        <is>
          <t>NORRTÄLJE</t>
        </is>
      </c>
      <c r="G191" t="n">
        <v>4.2</v>
      </c>
      <c r="H191" t="n">
        <v>0</v>
      </c>
      <c r="I191" t="n">
        <v>0</v>
      </c>
      <c r="J191" t="n">
        <v>0</v>
      </c>
      <c r="K191" t="n">
        <v>0</v>
      </c>
      <c r="L191" t="n">
        <v>0</v>
      </c>
      <c r="M191" t="n">
        <v>0</v>
      </c>
      <c r="N191" t="n">
        <v>0</v>
      </c>
      <c r="O191" t="n">
        <v>0</v>
      </c>
      <c r="P191" t="n">
        <v>0</v>
      </c>
      <c r="Q191" t="n">
        <v>0</v>
      </c>
      <c r="R191" s="2" t="inlineStr"/>
    </row>
    <row r="192" ht="15" customHeight="1">
      <c r="A192" t="inlineStr">
        <is>
          <t>A 20033-2019</t>
        </is>
      </c>
      <c r="B192" s="1" t="n">
        <v>43570</v>
      </c>
      <c r="C192" s="1" t="n">
        <v>45471</v>
      </c>
      <c r="D192" t="inlineStr">
        <is>
          <t>STOCKHOLMS LÄN</t>
        </is>
      </c>
      <c r="E192" t="inlineStr">
        <is>
          <t>NORRTÄLJE</t>
        </is>
      </c>
      <c r="G192" t="n">
        <v>1.3</v>
      </c>
      <c r="H192" t="n">
        <v>0</v>
      </c>
      <c r="I192" t="n">
        <v>0</v>
      </c>
      <c r="J192" t="n">
        <v>0</v>
      </c>
      <c r="K192" t="n">
        <v>0</v>
      </c>
      <c r="L192" t="n">
        <v>0</v>
      </c>
      <c r="M192" t="n">
        <v>0</v>
      </c>
      <c r="N192" t="n">
        <v>0</v>
      </c>
      <c r="O192" t="n">
        <v>0</v>
      </c>
      <c r="P192" t="n">
        <v>0</v>
      </c>
      <c r="Q192" t="n">
        <v>0</v>
      </c>
      <c r="R192" s="2" t="inlineStr"/>
    </row>
    <row r="193" ht="15" customHeight="1">
      <c r="A193" t="inlineStr">
        <is>
          <t>A 20020-2019</t>
        </is>
      </c>
      <c r="B193" s="1" t="n">
        <v>43570</v>
      </c>
      <c r="C193" s="1" t="n">
        <v>45471</v>
      </c>
      <c r="D193" t="inlineStr">
        <is>
          <t>STOCKHOLMS LÄN</t>
        </is>
      </c>
      <c r="E193" t="inlineStr">
        <is>
          <t>NORRTÄLJE</t>
        </is>
      </c>
      <c r="G193" t="n">
        <v>0.9</v>
      </c>
      <c r="H193" t="n">
        <v>0</v>
      </c>
      <c r="I193" t="n">
        <v>0</v>
      </c>
      <c r="J193" t="n">
        <v>0</v>
      </c>
      <c r="K193" t="n">
        <v>0</v>
      </c>
      <c r="L193" t="n">
        <v>0</v>
      </c>
      <c r="M193" t="n">
        <v>0</v>
      </c>
      <c r="N193" t="n">
        <v>0</v>
      </c>
      <c r="O193" t="n">
        <v>0</v>
      </c>
      <c r="P193" t="n">
        <v>0</v>
      </c>
      <c r="Q193" t="n">
        <v>0</v>
      </c>
      <c r="R193" s="2" t="inlineStr"/>
    </row>
    <row r="194" ht="15" customHeight="1">
      <c r="A194" t="inlineStr">
        <is>
          <t>A 20051-2019</t>
        </is>
      </c>
      <c r="B194" s="1" t="n">
        <v>43570</v>
      </c>
      <c r="C194" s="1" t="n">
        <v>45471</v>
      </c>
      <c r="D194" t="inlineStr">
        <is>
          <t>STOCKHOLMS LÄN</t>
        </is>
      </c>
      <c r="E194" t="inlineStr">
        <is>
          <t>NORRTÄLJE</t>
        </is>
      </c>
      <c r="G194" t="n">
        <v>1.4</v>
      </c>
      <c r="H194" t="n">
        <v>0</v>
      </c>
      <c r="I194" t="n">
        <v>0</v>
      </c>
      <c r="J194" t="n">
        <v>0</v>
      </c>
      <c r="K194" t="n">
        <v>0</v>
      </c>
      <c r="L194" t="n">
        <v>0</v>
      </c>
      <c r="M194" t="n">
        <v>0</v>
      </c>
      <c r="N194" t="n">
        <v>0</v>
      </c>
      <c r="O194" t="n">
        <v>0</v>
      </c>
      <c r="P194" t="n">
        <v>0</v>
      </c>
      <c r="Q194" t="n">
        <v>0</v>
      </c>
      <c r="R194" s="2" t="inlineStr"/>
    </row>
    <row r="195" ht="15" customHeight="1">
      <c r="A195" t="inlineStr">
        <is>
          <t>A 20137-2019</t>
        </is>
      </c>
      <c r="B195" s="1" t="n">
        <v>43570</v>
      </c>
      <c r="C195" s="1" t="n">
        <v>45471</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20007-2019</t>
        </is>
      </c>
      <c r="B196" s="1" t="n">
        <v>43570</v>
      </c>
      <c r="C196" s="1" t="n">
        <v>45471</v>
      </c>
      <c r="D196" t="inlineStr">
        <is>
          <t>STOCKHOLMS LÄN</t>
        </is>
      </c>
      <c r="E196" t="inlineStr">
        <is>
          <t>NORRTÄLJE</t>
        </is>
      </c>
      <c r="G196" t="n">
        <v>1</v>
      </c>
      <c r="H196" t="n">
        <v>0</v>
      </c>
      <c r="I196" t="n">
        <v>0</v>
      </c>
      <c r="J196" t="n">
        <v>0</v>
      </c>
      <c r="K196" t="n">
        <v>0</v>
      </c>
      <c r="L196" t="n">
        <v>0</v>
      </c>
      <c r="M196" t="n">
        <v>0</v>
      </c>
      <c r="N196" t="n">
        <v>0</v>
      </c>
      <c r="O196" t="n">
        <v>0</v>
      </c>
      <c r="P196" t="n">
        <v>0</v>
      </c>
      <c r="Q196" t="n">
        <v>0</v>
      </c>
      <c r="R196" s="2" t="inlineStr"/>
    </row>
    <row r="197" ht="15" customHeight="1">
      <c r="A197" t="inlineStr">
        <is>
          <t>A 20052-2019</t>
        </is>
      </c>
      <c r="B197" s="1" t="n">
        <v>43570</v>
      </c>
      <c r="C197" s="1" t="n">
        <v>45471</v>
      </c>
      <c r="D197" t="inlineStr">
        <is>
          <t>STOCKHOLMS LÄN</t>
        </is>
      </c>
      <c r="E197" t="inlineStr">
        <is>
          <t>NORRTÄLJE</t>
        </is>
      </c>
      <c r="G197" t="n">
        <v>0.5</v>
      </c>
      <c r="H197" t="n">
        <v>0</v>
      </c>
      <c r="I197" t="n">
        <v>0</v>
      </c>
      <c r="J197" t="n">
        <v>0</v>
      </c>
      <c r="K197" t="n">
        <v>0</v>
      </c>
      <c r="L197" t="n">
        <v>0</v>
      </c>
      <c r="M197" t="n">
        <v>0</v>
      </c>
      <c r="N197" t="n">
        <v>0</v>
      </c>
      <c r="O197" t="n">
        <v>0</v>
      </c>
      <c r="P197" t="n">
        <v>0</v>
      </c>
      <c r="Q197" t="n">
        <v>0</v>
      </c>
      <c r="R197" s="2" t="inlineStr"/>
    </row>
    <row r="198" ht="15" customHeight="1">
      <c r="A198" t="inlineStr">
        <is>
          <t>A 20159-2019</t>
        </is>
      </c>
      <c r="B198" s="1" t="n">
        <v>43570</v>
      </c>
      <c r="C198" s="1" t="n">
        <v>45471</v>
      </c>
      <c r="D198" t="inlineStr">
        <is>
          <t>STOCKHOLMS LÄN</t>
        </is>
      </c>
      <c r="E198" t="inlineStr">
        <is>
          <t>NORRTÄLJE</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20181-2019</t>
        </is>
      </c>
      <c r="B199" s="1" t="n">
        <v>43570</v>
      </c>
      <c r="C199" s="1" t="n">
        <v>45471</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20184-2019</t>
        </is>
      </c>
      <c r="B200" s="1" t="n">
        <v>43570</v>
      </c>
      <c r="C200" s="1" t="n">
        <v>45471</v>
      </c>
      <c r="D200" t="inlineStr">
        <is>
          <t>STOCKHOLMS LÄN</t>
        </is>
      </c>
      <c r="E200" t="inlineStr">
        <is>
          <t>NORRTÄLJE</t>
        </is>
      </c>
      <c r="G200" t="n">
        <v>2.8</v>
      </c>
      <c r="H200" t="n">
        <v>0</v>
      </c>
      <c r="I200" t="n">
        <v>0</v>
      </c>
      <c r="J200" t="n">
        <v>0</v>
      </c>
      <c r="K200" t="n">
        <v>0</v>
      </c>
      <c r="L200" t="n">
        <v>0</v>
      </c>
      <c r="M200" t="n">
        <v>0</v>
      </c>
      <c r="N200" t="n">
        <v>0</v>
      </c>
      <c r="O200" t="n">
        <v>0</v>
      </c>
      <c r="P200" t="n">
        <v>0</v>
      </c>
      <c r="Q200" t="n">
        <v>0</v>
      </c>
      <c r="R200" s="2" t="inlineStr"/>
    </row>
    <row r="201" ht="15" customHeight="1">
      <c r="A201" t="inlineStr">
        <is>
          <t>A 20193-2019</t>
        </is>
      </c>
      <c r="B201" s="1" t="n">
        <v>43570</v>
      </c>
      <c r="C201" s="1" t="n">
        <v>45471</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20090-2019</t>
        </is>
      </c>
      <c r="B202" s="1" t="n">
        <v>43570</v>
      </c>
      <c r="C202" s="1" t="n">
        <v>45471</v>
      </c>
      <c r="D202" t="inlineStr">
        <is>
          <t>STOCKHOLMS LÄN</t>
        </is>
      </c>
      <c r="E202" t="inlineStr">
        <is>
          <t>NORRTÄLJE</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20165-2019</t>
        </is>
      </c>
      <c r="B203" s="1" t="n">
        <v>43570</v>
      </c>
      <c r="C203" s="1" t="n">
        <v>45471</v>
      </c>
      <c r="D203" t="inlineStr">
        <is>
          <t>STOCKHOLMS LÄN</t>
        </is>
      </c>
      <c r="E203" t="inlineStr">
        <is>
          <t>NORRTÄLJE</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20023-2019</t>
        </is>
      </c>
      <c r="B204" s="1" t="n">
        <v>43570</v>
      </c>
      <c r="C204" s="1" t="n">
        <v>45471</v>
      </c>
      <c r="D204" t="inlineStr">
        <is>
          <t>STOCKHOLMS LÄN</t>
        </is>
      </c>
      <c r="E204" t="inlineStr">
        <is>
          <t>NORRTÄLJE</t>
        </is>
      </c>
      <c r="G204" t="n">
        <v>5.1</v>
      </c>
      <c r="H204" t="n">
        <v>0</v>
      </c>
      <c r="I204" t="n">
        <v>0</v>
      </c>
      <c r="J204" t="n">
        <v>0</v>
      </c>
      <c r="K204" t="n">
        <v>0</v>
      </c>
      <c r="L204" t="n">
        <v>0</v>
      </c>
      <c r="M204" t="n">
        <v>0</v>
      </c>
      <c r="N204" t="n">
        <v>0</v>
      </c>
      <c r="O204" t="n">
        <v>0</v>
      </c>
      <c r="P204" t="n">
        <v>0</v>
      </c>
      <c r="Q204" t="n">
        <v>0</v>
      </c>
      <c r="R204" s="2" t="inlineStr"/>
    </row>
    <row r="205" ht="15" customHeight="1">
      <c r="A205" t="inlineStr">
        <is>
          <t>A 20531-2019</t>
        </is>
      </c>
      <c r="B205" s="1" t="n">
        <v>43572</v>
      </c>
      <c r="C205" s="1" t="n">
        <v>45471</v>
      </c>
      <c r="D205" t="inlineStr">
        <is>
          <t>STOCKHOLMS LÄN</t>
        </is>
      </c>
      <c r="E205" t="inlineStr">
        <is>
          <t>NORRTÄLJE</t>
        </is>
      </c>
      <c r="G205" t="n">
        <v>2</v>
      </c>
      <c r="H205" t="n">
        <v>0</v>
      </c>
      <c r="I205" t="n">
        <v>0</v>
      </c>
      <c r="J205" t="n">
        <v>0</v>
      </c>
      <c r="K205" t="n">
        <v>0</v>
      </c>
      <c r="L205" t="n">
        <v>0</v>
      </c>
      <c r="M205" t="n">
        <v>0</v>
      </c>
      <c r="N205" t="n">
        <v>0</v>
      </c>
      <c r="O205" t="n">
        <v>0</v>
      </c>
      <c r="P205" t="n">
        <v>0</v>
      </c>
      <c r="Q205" t="n">
        <v>0</v>
      </c>
      <c r="R205" s="2" t="inlineStr"/>
    </row>
    <row r="206" ht="15" customHeight="1">
      <c r="A206" t="inlineStr">
        <is>
          <t>A 20743-2019</t>
        </is>
      </c>
      <c r="B206" s="1" t="n">
        <v>43573</v>
      </c>
      <c r="C206" s="1" t="n">
        <v>45471</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20809-2019</t>
        </is>
      </c>
      <c r="B207" s="1" t="n">
        <v>43573</v>
      </c>
      <c r="C207" s="1" t="n">
        <v>45471</v>
      </c>
      <c r="D207" t="inlineStr">
        <is>
          <t>STOCKHOLMS LÄN</t>
        </is>
      </c>
      <c r="E207" t="inlineStr">
        <is>
          <t>NORRTÄLJE</t>
        </is>
      </c>
      <c r="F207" t="inlineStr">
        <is>
          <t>Kommuner</t>
        </is>
      </c>
      <c r="G207" t="n">
        <v>2.2</v>
      </c>
      <c r="H207" t="n">
        <v>0</v>
      </c>
      <c r="I207" t="n">
        <v>0</v>
      </c>
      <c r="J207" t="n">
        <v>0</v>
      </c>
      <c r="K207" t="n">
        <v>0</v>
      </c>
      <c r="L207" t="n">
        <v>0</v>
      </c>
      <c r="M207" t="n">
        <v>0</v>
      </c>
      <c r="N207" t="n">
        <v>0</v>
      </c>
      <c r="O207" t="n">
        <v>0</v>
      </c>
      <c r="P207" t="n">
        <v>0</v>
      </c>
      <c r="Q207" t="n">
        <v>0</v>
      </c>
      <c r="R207" s="2" t="inlineStr"/>
    </row>
    <row r="208" ht="15" customHeight="1">
      <c r="A208" t="inlineStr">
        <is>
          <t>A 20925-2019</t>
        </is>
      </c>
      <c r="B208" s="1" t="n">
        <v>43578</v>
      </c>
      <c r="C208" s="1" t="n">
        <v>45471</v>
      </c>
      <c r="D208" t="inlineStr">
        <is>
          <t>STOCKHOLMS LÄN</t>
        </is>
      </c>
      <c r="E208" t="inlineStr">
        <is>
          <t>NORRTÄLJE</t>
        </is>
      </c>
      <c r="G208" t="n">
        <v>5</v>
      </c>
      <c r="H208" t="n">
        <v>0</v>
      </c>
      <c r="I208" t="n">
        <v>0</v>
      </c>
      <c r="J208" t="n">
        <v>0</v>
      </c>
      <c r="K208" t="n">
        <v>0</v>
      </c>
      <c r="L208" t="n">
        <v>0</v>
      </c>
      <c r="M208" t="n">
        <v>0</v>
      </c>
      <c r="N208" t="n">
        <v>0</v>
      </c>
      <c r="O208" t="n">
        <v>0</v>
      </c>
      <c r="P208" t="n">
        <v>0</v>
      </c>
      <c r="Q208" t="n">
        <v>0</v>
      </c>
      <c r="R208" s="2" t="inlineStr"/>
    </row>
    <row r="209" ht="15" customHeight="1">
      <c r="A209" t="inlineStr">
        <is>
          <t>A 21062-2019</t>
        </is>
      </c>
      <c r="B209" s="1" t="n">
        <v>43578</v>
      </c>
      <c r="C209" s="1" t="n">
        <v>45471</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21441-2019</t>
        </is>
      </c>
      <c r="B210" s="1" t="n">
        <v>43580</v>
      </c>
      <c r="C210" s="1" t="n">
        <v>45471</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21521-2019</t>
        </is>
      </c>
      <c r="B211" s="1" t="n">
        <v>43580</v>
      </c>
      <c r="C211" s="1" t="n">
        <v>45471</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21508-2019</t>
        </is>
      </c>
      <c r="B212" s="1" t="n">
        <v>43580</v>
      </c>
      <c r="C212" s="1" t="n">
        <v>45471</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21457-2019</t>
        </is>
      </c>
      <c r="B213" s="1" t="n">
        <v>43580</v>
      </c>
      <c r="C213" s="1" t="n">
        <v>45471</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21501-2019</t>
        </is>
      </c>
      <c r="B214" s="1" t="n">
        <v>43580</v>
      </c>
      <c r="C214" s="1" t="n">
        <v>45471</v>
      </c>
      <c r="D214" t="inlineStr">
        <is>
          <t>STOCKHOLMS LÄN</t>
        </is>
      </c>
      <c r="E214" t="inlineStr">
        <is>
          <t>NORRTÄLJE</t>
        </is>
      </c>
      <c r="G214" t="n">
        <v>3.6</v>
      </c>
      <c r="H214" t="n">
        <v>0</v>
      </c>
      <c r="I214" t="n">
        <v>0</v>
      </c>
      <c r="J214" t="n">
        <v>0</v>
      </c>
      <c r="K214" t="n">
        <v>0</v>
      </c>
      <c r="L214" t="n">
        <v>0</v>
      </c>
      <c r="M214" t="n">
        <v>0</v>
      </c>
      <c r="N214" t="n">
        <v>0</v>
      </c>
      <c r="O214" t="n">
        <v>0</v>
      </c>
      <c r="P214" t="n">
        <v>0</v>
      </c>
      <c r="Q214" t="n">
        <v>0</v>
      </c>
      <c r="R214" s="2" t="inlineStr"/>
    </row>
    <row r="215" ht="15" customHeight="1">
      <c r="A215" t="inlineStr">
        <is>
          <t>A 21616-2019</t>
        </is>
      </c>
      <c r="B215" s="1" t="n">
        <v>43581</v>
      </c>
      <c r="C215" s="1" t="n">
        <v>45471</v>
      </c>
      <c r="D215" t="inlineStr">
        <is>
          <t>STOCKHOLMS LÄN</t>
        </is>
      </c>
      <c r="E215" t="inlineStr">
        <is>
          <t>NORRTÄLJE</t>
        </is>
      </c>
      <c r="G215" t="n">
        <v>5.3</v>
      </c>
      <c r="H215" t="n">
        <v>0</v>
      </c>
      <c r="I215" t="n">
        <v>0</v>
      </c>
      <c r="J215" t="n">
        <v>0</v>
      </c>
      <c r="K215" t="n">
        <v>0</v>
      </c>
      <c r="L215" t="n">
        <v>0</v>
      </c>
      <c r="M215" t="n">
        <v>0</v>
      </c>
      <c r="N215" t="n">
        <v>0</v>
      </c>
      <c r="O215" t="n">
        <v>0</v>
      </c>
      <c r="P215" t="n">
        <v>0</v>
      </c>
      <c r="Q215" t="n">
        <v>0</v>
      </c>
      <c r="R215" s="2" t="inlineStr"/>
    </row>
    <row r="216" ht="15" customHeight="1">
      <c r="A216" t="inlineStr">
        <is>
          <t>A 21662-2019</t>
        </is>
      </c>
      <c r="B216" s="1" t="n">
        <v>43581</v>
      </c>
      <c r="C216" s="1" t="n">
        <v>45471</v>
      </c>
      <c r="D216" t="inlineStr">
        <is>
          <t>STOCKHOLMS LÄN</t>
        </is>
      </c>
      <c r="E216" t="inlineStr">
        <is>
          <t>NORRTÄLJE</t>
        </is>
      </c>
      <c r="G216" t="n">
        <v>1.5</v>
      </c>
      <c r="H216" t="n">
        <v>0</v>
      </c>
      <c r="I216" t="n">
        <v>0</v>
      </c>
      <c r="J216" t="n">
        <v>0</v>
      </c>
      <c r="K216" t="n">
        <v>0</v>
      </c>
      <c r="L216" t="n">
        <v>0</v>
      </c>
      <c r="M216" t="n">
        <v>0</v>
      </c>
      <c r="N216" t="n">
        <v>0</v>
      </c>
      <c r="O216" t="n">
        <v>0</v>
      </c>
      <c r="P216" t="n">
        <v>0</v>
      </c>
      <c r="Q216" t="n">
        <v>0</v>
      </c>
      <c r="R216" s="2" t="inlineStr"/>
    </row>
    <row r="217" ht="15" customHeight="1">
      <c r="A217" t="inlineStr">
        <is>
          <t>A 21720-2019</t>
        </is>
      </c>
      <c r="B217" s="1" t="n">
        <v>43581</v>
      </c>
      <c r="C217" s="1" t="n">
        <v>45471</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21692-2019</t>
        </is>
      </c>
      <c r="B218" s="1" t="n">
        <v>43581</v>
      </c>
      <c r="C218" s="1" t="n">
        <v>45471</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21811-2019</t>
        </is>
      </c>
      <c r="B219" s="1" t="n">
        <v>43582</v>
      </c>
      <c r="C219" s="1" t="n">
        <v>45471</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22207-2019</t>
        </is>
      </c>
      <c r="B220" s="1" t="n">
        <v>43585</v>
      </c>
      <c r="C220" s="1" t="n">
        <v>45471</v>
      </c>
      <c r="D220" t="inlineStr">
        <is>
          <t>STOCKHOLMS LÄN</t>
        </is>
      </c>
      <c r="E220" t="inlineStr">
        <is>
          <t>NORRTÄLJE</t>
        </is>
      </c>
      <c r="G220" t="n">
        <v>0.8</v>
      </c>
      <c r="H220" t="n">
        <v>0</v>
      </c>
      <c r="I220" t="n">
        <v>0</v>
      </c>
      <c r="J220" t="n">
        <v>0</v>
      </c>
      <c r="K220" t="n">
        <v>0</v>
      </c>
      <c r="L220" t="n">
        <v>0</v>
      </c>
      <c r="M220" t="n">
        <v>0</v>
      </c>
      <c r="N220" t="n">
        <v>0</v>
      </c>
      <c r="O220" t="n">
        <v>0</v>
      </c>
      <c r="P220" t="n">
        <v>0</v>
      </c>
      <c r="Q220" t="n">
        <v>0</v>
      </c>
      <c r="R220" s="2" t="inlineStr"/>
    </row>
    <row r="221" ht="15" customHeight="1">
      <c r="A221" t="inlineStr">
        <is>
          <t>A 22211-2019</t>
        </is>
      </c>
      <c r="B221" s="1" t="n">
        <v>43585</v>
      </c>
      <c r="C221" s="1" t="n">
        <v>45471</v>
      </c>
      <c r="D221" t="inlineStr">
        <is>
          <t>STOCKHOLMS LÄN</t>
        </is>
      </c>
      <c r="E221" t="inlineStr">
        <is>
          <t>NORRTÄLJE</t>
        </is>
      </c>
      <c r="G221" t="n">
        <v>6.8</v>
      </c>
      <c r="H221" t="n">
        <v>0</v>
      </c>
      <c r="I221" t="n">
        <v>0</v>
      </c>
      <c r="J221" t="n">
        <v>0</v>
      </c>
      <c r="K221" t="n">
        <v>0</v>
      </c>
      <c r="L221" t="n">
        <v>0</v>
      </c>
      <c r="M221" t="n">
        <v>0</v>
      </c>
      <c r="N221" t="n">
        <v>0</v>
      </c>
      <c r="O221" t="n">
        <v>0</v>
      </c>
      <c r="P221" t="n">
        <v>0</v>
      </c>
      <c r="Q221" t="n">
        <v>0</v>
      </c>
      <c r="R221" s="2" t="inlineStr"/>
    </row>
    <row r="222" ht="15" customHeight="1">
      <c r="A222" t="inlineStr">
        <is>
          <t>A 22254-2019</t>
        </is>
      </c>
      <c r="B222" s="1" t="n">
        <v>43585</v>
      </c>
      <c r="C222" s="1" t="n">
        <v>45471</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22218-2019</t>
        </is>
      </c>
      <c r="B223" s="1" t="n">
        <v>43585</v>
      </c>
      <c r="C223" s="1" t="n">
        <v>45471</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22331-2019</t>
        </is>
      </c>
      <c r="B224" s="1" t="n">
        <v>43586</v>
      </c>
      <c r="C224" s="1" t="n">
        <v>45471</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22359-2019</t>
        </is>
      </c>
      <c r="B225" s="1" t="n">
        <v>43587</v>
      </c>
      <c r="C225" s="1" t="n">
        <v>45471</v>
      </c>
      <c r="D225" t="inlineStr">
        <is>
          <t>STOCKHOLMS LÄN</t>
        </is>
      </c>
      <c r="E225" t="inlineStr">
        <is>
          <t>NORRTÄLJE</t>
        </is>
      </c>
      <c r="G225" t="n">
        <v>1.1</v>
      </c>
      <c r="H225" t="n">
        <v>0</v>
      </c>
      <c r="I225" t="n">
        <v>0</v>
      </c>
      <c r="J225" t="n">
        <v>0</v>
      </c>
      <c r="K225" t="n">
        <v>0</v>
      </c>
      <c r="L225" t="n">
        <v>0</v>
      </c>
      <c r="M225" t="n">
        <v>0</v>
      </c>
      <c r="N225" t="n">
        <v>0</v>
      </c>
      <c r="O225" t="n">
        <v>0</v>
      </c>
      <c r="P225" t="n">
        <v>0</v>
      </c>
      <c r="Q225" t="n">
        <v>0</v>
      </c>
      <c r="R225" s="2" t="inlineStr"/>
    </row>
    <row r="226" ht="15" customHeight="1">
      <c r="A226" t="inlineStr">
        <is>
          <t>A 22422-2019</t>
        </is>
      </c>
      <c r="B226" s="1" t="n">
        <v>43587</v>
      </c>
      <c r="C226" s="1" t="n">
        <v>45471</v>
      </c>
      <c r="D226" t="inlineStr">
        <is>
          <t>STOCKHOLMS LÄN</t>
        </is>
      </c>
      <c r="E226" t="inlineStr">
        <is>
          <t>NORRTÄLJE</t>
        </is>
      </c>
      <c r="G226" t="n">
        <v>1.5</v>
      </c>
      <c r="H226" t="n">
        <v>0</v>
      </c>
      <c r="I226" t="n">
        <v>0</v>
      </c>
      <c r="J226" t="n">
        <v>0</v>
      </c>
      <c r="K226" t="n">
        <v>0</v>
      </c>
      <c r="L226" t="n">
        <v>0</v>
      </c>
      <c r="M226" t="n">
        <v>0</v>
      </c>
      <c r="N226" t="n">
        <v>0</v>
      </c>
      <c r="O226" t="n">
        <v>0</v>
      </c>
      <c r="P226" t="n">
        <v>0</v>
      </c>
      <c r="Q226" t="n">
        <v>0</v>
      </c>
      <c r="R226" s="2" t="inlineStr"/>
    </row>
    <row r="227" ht="15" customHeight="1">
      <c r="A227" t="inlineStr">
        <is>
          <t>A 22490-2019</t>
        </is>
      </c>
      <c r="B227" s="1" t="n">
        <v>43587</v>
      </c>
      <c r="C227" s="1" t="n">
        <v>45471</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22496-2019</t>
        </is>
      </c>
      <c r="B228" s="1" t="n">
        <v>43587</v>
      </c>
      <c r="C228" s="1" t="n">
        <v>45471</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23711-2019</t>
        </is>
      </c>
      <c r="B229" s="1" t="n">
        <v>43594</v>
      </c>
      <c r="C229" s="1" t="n">
        <v>45471</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23710-2019</t>
        </is>
      </c>
      <c r="B230" s="1" t="n">
        <v>43594</v>
      </c>
      <c r="C230" s="1" t="n">
        <v>45471</v>
      </c>
      <c r="D230" t="inlineStr">
        <is>
          <t>STOCKHOLMS LÄN</t>
        </is>
      </c>
      <c r="E230" t="inlineStr">
        <is>
          <t>NORRTÄLJE</t>
        </is>
      </c>
      <c r="G230" t="n">
        <v>2.2</v>
      </c>
      <c r="H230" t="n">
        <v>0</v>
      </c>
      <c r="I230" t="n">
        <v>0</v>
      </c>
      <c r="J230" t="n">
        <v>0</v>
      </c>
      <c r="K230" t="n">
        <v>0</v>
      </c>
      <c r="L230" t="n">
        <v>0</v>
      </c>
      <c r="M230" t="n">
        <v>0</v>
      </c>
      <c r="N230" t="n">
        <v>0</v>
      </c>
      <c r="O230" t="n">
        <v>0</v>
      </c>
      <c r="P230" t="n">
        <v>0</v>
      </c>
      <c r="Q230" t="n">
        <v>0</v>
      </c>
      <c r="R230" s="2" t="inlineStr"/>
    </row>
    <row r="231" ht="15" customHeight="1">
      <c r="A231" t="inlineStr">
        <is>
          <t>A 23862-2019</t>
        </is>
      </c>
      <c r="B231" s="1" t="n">
        <v>43595</v>
      </c>
      <c r="C231" s="1" t="n">
        <v>45471</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23878-2019</t>
        </is>
      </c>
      <c r="B232" s="1" t="n">
        <v>43595</v>
      </c>
      <c r="C232" s="1" t="n">
        <v>45471</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23961-2019</t>
        </is>
      </c>
      <c r="B233" s="1" t="n">
        <v>43597</v>
      </c>
      <c r="C233" s="1" t="n">
        <v>45471</v>
      </c>
      <c r="D233" t="inlineStr">
        <is>
          <t>STOCKHOLMS LÄN</t>
        </is>
      </c>
      <c r="E233" t="inlineStr">
        <is>
          <t>NORRTÄLJE</t>
        </is>
      </c>
      <c r="G233" t="n">
        <v>17.6</v>
      </c>
      <c r="H233" t="n">
        <v>0</v>
      </c>
      <c r="I233" t="n">
        <v>0</v>
      </c>
      <c r="J233" t="n">
        <v>0</v>
      </c>
      <c r="K233" t="n">
        <v>0</v>
      </c>
      <c r="L233" t="n">
        <v>0</v>
      </c>
      <c r="M233" t="n">
        <v>0</v>
      </c>
      <c r="N233" t="n">
        <v>0</v>
      </c>
      <c r="O233" t="n">
        <v>0</v>
      </c>
      <c r="P233" t="n">
        <v>0</v>
      </c>
      <c r="Q233" t="n">
        <v>0</v>
      </c>
      <c r="R233" s="2" t="inlineStr"/>
    </row>
    <row r="234" ht="15" customHeight="1">
      <c r="A234" t="inlineStr">
        <is>
          <t>A 23965-2019</t>
        </is>
      </c>
      <c r="B234" s="1" t="n">
        <v>43597</v>
      </c>
      <c r="C234" s="1" t="n">
        <v>45471</v>
      </c>
      <c r="D234" t="inlineStr">
        <is>
          <t>STOCKHOLMS LÄN</t>
        </is>
      </c>
      <c r="E234" t="inlineStr">
        <is>
          <t>NORRTÄLJE</t>
        </is>
      </c>
      <c r="G234" t="n">
        <v>6.1</v>
      </c>
      <c r="H234" t="n">
        <v>0</v>
      </c>
      <c r="I234" t="n">
        <v>0</v>
      </c>
      <c r="J234" t="n">
        <v>0</v>
      </c>
      <c r="K234" t="n">
        <v>0</v>
      </c>
      <c r="L234" t="n">
        <v>0</v>
      </c>
      <c r="M234" t="n">
        <v>0</v>
      </c>
      <c r="N234" t="n">
        <v>0</v>
      </c>
      <c r="O234" t="n">
        <v>0</v>
      </c>
      <c r="P234" t="n">
        <v>0</v>
      </c>
      <c r="Q234" t="n">
        <v>0</v>
      </c>
      <c r="R234" s="2" t="inlineStr"/>
    </row>
    <row r="235" ht="15" customHeight="1">
      <c r="A235" t="inlineStr">
        <is>
          <t>A 23963-2019</t>
        </is>
      </c>
      <c r="B235" s="1" t="n">
        <v>43597</v>
      </c>
      <c r="C235" s="1" t="n">
        <v>45471</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24124-2019</t>
        </is>
      </c>
      <c r="B236" s="1" t="n">
        <v>43598</v>
      </c>
      <c r="C236" s="1" t="n">
        <v>45471</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24058-2019</t>
        </is>
      </c>
      <c r="B237" s="1" t="n">
        <v>43598</v>
      </c>
      <c r="C237" s="1" t="n">
        <v>45471</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24562-2019</t>
        </is>
      </c>
      <c r="B238" s="1" t="n">
        <v>43600</v>
      </c>
      <c r="C238" s="1" t="n">
        <v>45471</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24721-2019</t>
        </is>
      </c>
      <c r="B239" s="1" t="n">
        <v>43601</v>
      </c>
      <c r="C239" s="1" t="n">
        <v>45471</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25284-2019</t>
        </is>
      </c>
      <c r="B240" s="1" t="n">
        <v>43605</v>
      </c>
      <c r="C240" s="1" t="n">
        <v>45471</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25535-2019</t>
        </is>
      </c>
      <c r="B241" s="1" t="n">
        <v>43606</v>
      </c>
      <c r="C241" s="1" t="n">
        <v>45471</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25316-2019</t>
        </is>
      </c>
      <c r="B242" s="1" t="n">
        <v>43606</v>
      </c>
      <c r="C242" s="1" t="n">
        <v>45471</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26374-2019</t>
        </is>
      </c>
      <c r="B243" s="1" t="n">
        <v>43606</v>
      </c>
      <c r="C243" s="1" t="n">
        <v>45471</v>
      </c>
      <c r="D243" t="inlineStr">
        <is>
          <t>STOCKHOLMS LÄN</t>
        </is>
      </c>
      <c r="E243" t="inlineStr">
        <is>
          <t>NORRTÄLJE</t>
        </is>
      </c>
      <c r="G243" t="n">
        <v>11.6</v>
      </c>
      <c r="H243" t="n">
        <v>0</v>
      </c>
      <c r="I243" t="n">
        <v>0</v>
      </c>
      <c r="J243" t="n">
        <v>0</v>
      </c>
      <c r="K243" t="n">
        <v>0</v>
      </c>
      <c r="L243" t="n">
        <v>0</v>
      </c>
      <c r="M243" t="n">
        <v>0</v>
      </c>
      <c r="N243" t="n">
        <v>0</v>
      </c>
      <c r="O243" t="n">
        <v>0</v>
      </c>
      <c r="P243" t="n">
        <v>0</v>
      </c>
      <c r="Q243" t="n">
        <v>0</v>
      </c>
      <c r="R243" s="2" t="inlineStr"/>
    </row>
    <row r="244" ht="15" customHeight="1">
      <c r="A244" t="inlineStr">
        <is>
          <t>A 25315-2019</t>
        </is>
      </c>
      <c r="B244" s="1" t="n">
        <v>43606</v>
      </c>
      <c r="C244" s="1" t="n">
        <v>45471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25625-2019</t>
        </is>
      </c>
      <c r="B245" s="1" t="n">
        <v>43607</v>
      </c>
      <c r="C245" s="1" t="n">
        <v>45471</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26272-2019</t>
        </is>
      </c>
      <c r="B246" s="1" t="n">
        <v>43611</v>
      </c>
      <c r="C246" s="1" t="n">
        <v>45471</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26620-2019</t>
        </is>
      </c>
      <c r="B247" s="1" t="n">
        <v>43612</v>
      </c>
      <c r="C247" s="1" t="n">
        <v>45471</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26391-2019</t>
        </is>
      </c>
      <c r="B248" s="1" t="n">
        <v>43612</v>
      </c>
      <c r="C248" s="1" t="n">
        <v>45471</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26933-2019</t>
        </is>
      </c>
      <c r="B249" s="1" t="n">
        <v>43613</v>
      </c>
      <c r="C249" s="1" t="n">
        <v>45471</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26830-2019</t>
        </is>
      </c>
      <c r="B250" s="1" t="n">
        <v>43613</v>
      </c>
      <c r="C250" s="1" t="n">
        <v>45471</v>
      </c>
      <c r="D250" t="inlineStr">
        <is>
          <t>STOCKHOLMS LÄN</t>
        </is>
      </c>
      <c r="E250" t="inlineStr">
        <is>
          <t>NORRTÄLJE</t>
        </is>
      </c>
      <c r="G250" t="n">
        <v>2.1</v>
      </c>
      <c r="H250" t="n">
        <v>0</v>
      </c>
      <c r="I250" t="n">
        <v>0</v>
      </c>
      <c r="J250" t="n">
        <v>0</v>
      </c>
      <c r="K250" t="n">
        <v>0</v>
      </c>
      <c r="L250" t="n">
        <v>0</v>
      </c>
      <c r="M250" t="n">
        <v>0</v>
      </c>
      <c r="N250" t="n">
        <v>0</v>
      </c>
      <c r="O250" t="n">
        <v>0</v>
      </c>
      <c r="P250" t="n">
        <v>0</v>
      </c>
      <c r="Q250" t="n">
        <v>0</v>
      </c>
      <c r="R250" s="2" t="inlineStr"/>
    </row>
    <row r="251" ht="15" customHeight="1">
      <c r="A251" t="inlineStr">
        <is>
          <t>A 27095-2019</t>
        </is>
      </c>
      <c r="B251" s="1" t="n">
        <v>43614</v>
      </c>
      <c r="C251" s="1" t="n">
        <v>45471</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28157-2019</t>
        </is>
      </c>
      <c r="B252" s="1" t="n">
        <v>43614</v>
      </c>
      <c r="C252" s="1" t="n">
        <v>45471</v>
      </c>
      <c r="D252" t="inlineStr">
        <is>
          <t>STOCKHOLMS LÄN</t>
        </is>
      </c>
      <c r="E252" t="inlineStr">
        <is>
          <t>NORRTÄLJE</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27264-2019</t>
        </is>
      </c>
      <c r="B253" s="1" t="n">
        <v>43615</v>
      </c>
      <c r="C253" s="1" t="n">
        <v>45471</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27971-2019</t>
        </is>
      </c>
      <c r="B254" s="1" t="n">
        <v>43620</v>
      </c>
      <c r="C254" s="1" t="n">
        <v>45471</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27967-2019</t>
        </is>
      </c>
      <c r="B255" s="1" t="n">
        <v>43620</v>
      </c>
      <c r="C255" s="1" t="n">
        <v>45471</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28121-2019</t>
        </is>
      </c>
      <c r="B256" s="1" t="n">
        <v>43621</v>
      </c>
      <c r="C256" s="1" t="n">
        <v>45471</v>
      </c>
      <c r="D256" t="inlineStr">
        <is>
          <t>STOCKHOLMS LÄN</t>
        </is>
      </c>
      <c r="E256" t="inlineStr">
        <is>
          <t>NORRTÄLJE</t>
        </is>
      </c>
      <c r="F256" t="inlineStr">
        <is>
          <t>Kyrkan</t>
        </is>
      </c>
      <c r="G256" t="n">
        <v>2.5</v>
      </c>
      <c r="H256" t="n">
        <v>0</v>
      </c>
      <c r="I256" t="n">
        <v>0</v>
      </c>
      <c r="J256" t="n">
        <v>0</v>
      </c>
      <c r="K256" t="n">
        <v>0</v>
      </c>
      <c r="L256" t="n">
        <v>0</v>
      </c>
      <c r="M256" t="n">
        <v>0</v>
      </c>
      <c r="N256" t="n">
        <v>0</v>
      </c>
      <c r="O256" t="n">
        <v>0</v>
      </c>
      <c r="P256" t="n">
        <v>0</v>
      </c>
      <c r="Q256" t="n">
        <v>0</v>
      </c>
      <c r="R256" s="2" t="inlineStr"/>
    </row>
    <row r="257" ht="15" customHeight="1">
      <c r="A257" t="inlineStr">
        <is>
          <t>A 28289-2019</t>
        </is>
      </c>
      <c r="B257" s="1" t="n">
        <v>43623</v>
      </c>
      <c r="C257" s="1" t="n">
        <v>45471</v>
      </c>
      <c r="D257" t="inlineStr">
        <is>
          <t>STOCKHOLMS LÄN</t>
        </is>
      </c>
      <c r="E257" t="inlineStr">
        <is>
          <t>NORRTÄLJE</t>
        </is>
      </c>
      <c r="G257" t="n">
        <v>7.7</v>
      </c>
      <c r="H257" t="n">
        <v>0</v>
      </c>
      <c r="I257" t="n">
        <v>0</v>
      </c>
      <c r="J257" t="n">
        <v>0</v>
      </c>
      <c r="K257" t="n">
        <v>0</v>
      </c>
      <c r="L257" t="n">
        <v>0</v>
      </c>
      <c r="M257" t="n">
        <v>0</v>
      </c>
      <c r="N257" t="n">
        <v>0</v>
      </c>
      <c r="O257" t="n">
        <v>0</v>
      </c>
      <c r="P257" t="n">
        <v>0</v>
      </c>
      <c r="Q257" t="n">
        <v>0</v>
      </c>
      <c r="R257" s="2" t="inlineStr"/>
    </row>
    <row r="258" ht="15" customHeight="1">
      <c r="A258" t="inlineStr">
        <is>
          <t>A 28519-2019</t>
        </is>
      </c>
      <c r="B258" s="1" t="n">
        <v>43626</v>
      </c>
      <c r="C258" s="1" t="n">
        <v>45471</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28495-2019</t>
        </is>
      </c>
      <c r="B259" s="1" t="n">
        <v>43626</v>
      </c>
      <c r="C259" s="1" t="n">
        <v>45471</v>
      </c>
      <c r="D259" t="inlineStr">
        <is>
          <t>STOCKHOLMS LÄN</t>
        </is>
      </c>
      <c r="E259" t="inlineStr">
        <is>
          <t>NORRTÄLJE</t>
        </is>
      </c>
      <c r="G259" t="n">
        <v>14.7</v>
      </c>
      <c r="H259" t="n">
        <v>0</v>
      </c>
      <c r="I259" t="n">
        <v>0</v>
      </c>
      <c r="J259" t="n">
        <v>0</v>
      </c>
      <c r="K259" t="n">
        <v>0</v>
      </c>
      <c r="L259" t="n">
        <v>0</v>
      </c>
      <c r="M259" t="n">
        <v>0</v>
      </c>
      <c r="N259" t="n">
        <v>0</v>
      </c>
      <c r="O259" t="n">
        <v>0</v>
      </c>
      <c r="P259" t="n">
        <v>0</v>
      </c>
      <c r="Q259" t="n">
        <v>0</v>
      </c>
      <c r="R259" s="2" t="inlineStr"/>
    </row>
    <row r="260" ht="15" customHeight="1">
      <c r="A260" t="inlineStr">
        <is>
          <t>A 28394-2019</t>
        </is>
      </c>
      <c r="B260" s="1" t="n">
        <v>43626</v>
      </c>
      <c r="C260" s="1" t="n">
        <v>45471</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29260-2019</t>
        </is>
      </c>
      <c r="B261" s="1" t="n">
        <v>43629</v>
      </c>
      <c r="C261" s="1" t="n">
        <v>45471</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29312-2019</t>
        </is>
      </c>
      <c r="B262" s="1" t="n">
        <v>43629</v>
      </c>
      <c r="C262" s="1" t="n">
        <v>45471</v>
      </c>
      <c r="D262" t="inlineStr">
        <is>
          <t>STOCKHOLMS LÄN</t>
        </is>
      </c>
      <c r="E262" t="inlineStr">
        <is>
          <t>NORRTÄLJE</t>
        </is>
      </c>
      <c r="G262" t="n">
        <v>7.1</v>
      </c>
      <c r="H262" t="n">
        <v>0</v>
      </c>
      <c r="I262" t="n">
        <v>0</v>
      </c>
      <c r="J262" t="n">
        <v>0</v>
      </c>
      <c r="K262" t="n">
        <v>0</v>
      </c>
      <c r="L262" t="n">
        <v>0</v>
      </c>
      <c r="M262" t="n">
        <v>0</v>
      </c>
      <c r="N262" t="n">
        <v>0</v>
      </c>
      <c r="O262" t="n">
        <v>0</v>
      </c>
      <c r="P262" t="n">
        <v>0</v>
      </c>
      <c r="Q262" t="n">
        <v>0</v>
      </c>
      <c r="R262" s="2" t="inlineStr"/>
    </row>
    <row r="263" ht="15" customHeight="1">
      <c r="A263" t="inlineStr">
        <is>
          <t>A 29759-2019</t>
        </is>
      </c>
      <c r="B263" s="1" t="n">
        <v>43631</v>
      </c>
      <c r="C263" s="1" t="n">
        <v>45471</v>
      </c>
      <c r="D263" t="inlineStr">
        <is>
          <t>STOCKHOLMS LÄN</t>
        </is>
      </c>
      <c r="E263" t="inlineStr">
        <is>
          <t>NORRTÄLJE</t>
        </is>
      </c>
      <c r="G263" t="n">
        <v>0.8</v>
      </c>
      <c r="H263" t="n">
        <v>0</v>
      </c>
      <c r="I263" t="n">
        <v>0</v>
      </c>
      <c r="J263" t="n">
        <v>0</v>
      </c>
      <c r="K263" t="n">
        <v>0</v>
      </c>
      <c r="L263" t="n">
        <v>0</v>
      </c>
      <c r="M263" t="n">
        <v>0</v>
      </c>
      <c r="N263" t="n">
        <v>0</v>
      </c>
      <c r="O263" t="n">
        <v>0</v>
      </c>
      <c r="P263" t="n">
        <v>0</v>
      </c>
      <c r="Q263" t="n">
        <v>0</v>
      </c>
      <c r="R263" s="2" t="inlineStr"/>
    </row>
    <row r="264" ht="15" customHeight="1">
      <c r="A264" t="inlineStr">
        <is>
          <t>A 30000-2019</t>
        </is>
      </c>
      <c r="B264" s="1" t="n">
        <v>43633</v>
      </c>
      <c r="C264" s="1" t="n">
        <v>45471</v>
      </c>
      <c r="D264" t="inlineStr">
        <is>
          <t>STOCKHOLMS LÄN</t>
        </is>
      </c>
      <c r="E264" t="inlineStr">
        <is>
          <t>NORRTÄLJE</t>
        </is>
      </c>
      <c r="G264" t="n">
        <v>5.4</v>
      </c>
      <c r="H264" t="n">
        <v>0</v>
      </c>
      <c r="I264" t="n">
        <v>0</v>
      </c>
      <c r="J264" t="n">
        <v>0</v>
      </c>
      <c r="K264" t="n">
        <v>0</v>
      </c>
      <c r="L264" t="n">
        <v>0</v>
      </c>
      <c r="M264" t="n">
        <v>0</v>
      </c>
      <c r="N264" t="n">
        <v>0</v>
      </c>
      <c r="O264" t="n">
        <v>0</v>
      </c>
      <c r="P264" t="n">
        <v>0</v>
      </c>
      <c r="Q264" t="n">
        <v>0</v>
      </c>
      <c r="R264" s="2" t="inlineStr"/>
    </row>
    <row r="265" ht="15" customHeight="1">
      <c r="A265" t="inlineStr">
        <is>
          <t>A 30833-2019</t>
        </is>
      </c>
      <c r="B265" s="1" t="n">
        <v>43636</v>
      </c>
      <c r="C265" s="1" t="n">
        <v>45471</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31215-2019</t>
        </is>
      </c>
      <c r="B266" s="1" t="n">
        <v>43640</v>
      </c>
      <c r="C266" s="1" t="n">
        <v>45471</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31017-2019</t>
        </is>
      </c>
      <c r="B267" s="1" t="n">
        <v>43640</v>
      </c>
      <c r="C267" s="1" t="n">
        <v>45471</v>
      </c>
      <c r="D267" t="inlineStr">
        <is>
          <t>STOCKHOLMS LÄN</t>
        </is>
      </c>
      <c r="E267" t="inlineStr">
        <is>
          <t>NORRTÄLJE</t>
        </is>
      </c>
      <c r="G267" t="n">
        <v>3.4</v>
      </c>
      <c r="H267" t="n">
        <v>0</v>
      </c>
      <c r="I267" t="n">
        <v>0</v>
      </c>
      <c r="J267" t="n">
        <v>0</v>
      </c>
      <c r="K267" t="n">
        <v>0</v>
      </c>
      <c r="L267" t="n">
        <v>0</v>
      </c>
      <c r="M267" t="n">
        <v>0</v>
      </c>
      <c r="N267" t="n">
        <v>0</v>
      </c>
      <c r="O267" t="n">
        <v>0</v>
      </c>
      <c r="P267" t="n">
        <v>0</v>
      </c>
      <c r="Q267" t="n">
        <v>0</v>
      </c>
      <c r="R267" s="2" t="inlineStr"/>
    </row>
    <row r="268" ht="15" customHeight="1">
      <c r="A268" t="inlineStr">
        <is>
          <t>A 31966-2019</t>
        </is>
      </c>
      <c r="B268" s="1" t="n">
        <v>43643</v>
      </c>
      <c r="C268" s="1" t="n">
        <v>45471</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32725-2019</t>
        </is>
      </c>
      <c r="B269" s="1" t="n">
        <v>43647</v>
      </c>
      <c r="C269" s="1" t="n">
        <v>45471</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32726-2019</t>
        </is>
      </c>
      <c r="B270" s="1" t="n">
        <v>43647</v>
      </c>
      <c r="C270" s="1" t="n">
        <v>45471</v>
      </c>
      <c r="D270" t="inlineStr">
        <is>
          <t>STOCKHOLMS LÄN</t>
        </is>
      </c>
      <c r="E270" t="inlineStr">
        <is>
          <t>NORRTÄLJE</t>
        </is>
      </c>
      <c r="G270" t="n">
        <v>1</v>
      </c>
      <c r="H270" t="n">
        <v>0</v>
      </c>
      <c r="I270" t="n">
        <v>0</v>
      </c>
      <c r="J270" t="n">
        <v>0</v>
      </c>
      <c r="K270" t="n">
        <v>0</v>
      </c>
      <c r="L270" t="n">
        <v>0</v>
      </c>
      <c r="M270" t="n">
        <v>0</v>
      </c>
      <c r="N270" t="n">
        <v>0</v>
      </c>
      <c r="O270" t="n">
        <v>0</v>
      </c>
      <c r="P270" t="n">
        <v>0</v>
      </c>
      <c r="Q270" t="n">
        <v>0</v>
      </c>
      <c r="R270" s="2" t="inlineStr"/>
    </row>
    <row r="271" ht="15" customHeight="1">
      <c r="A271" t="inlineStr">
        <is>
          <t>A 33207-2019</t>
        </is>
      </c>
      <c r="B271" s="1" t="n">
        <v>43649</v>
      </c>
      <c r="C271" s="1" t="n">
        <v>45471</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33955-2019</t>
        </is>
      </c>
      <c r="B272" s="1" t="n">
        <v>43654</v>
      </c>
      <c r="C272" s="1" t="n">
        <v>45471</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33966-2019</t>
        </is>
      </c>
      <c r="B273" s="1" t="n">
        <v>43654</v>
      </c>
      <c r="C273" s="1" t="n">
        <v>45471</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row>
    <row r="274" ht="15" customHeight="1">
      <c r="A274" t="inlineStr">
        <is>
          <t>A 35247-2019</t>
        </is>
      </c>
      <c r="B274" s="1" t="n">
        <v>43656</v>
      </c>
      <c r="C274" s="1" t="n">
        <v>45471</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35244-2019</t>
        </is>
      </c>
      <c r="B275" s="1" t="n">
        <v>43656</v>
      </c>
      <c r="C275" s="1" t="n">
        <v>45471</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35249-2019</t>
        </is>
      </c>
      <c r="B276" s="1" t="n">
        <v>43656</v>
      </c>
      <c r="C276" s="1" t="n">
        <v>45471</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35251-2019</t>
        </is>
      </c>
      <c r="B277" s="1" t="n">
        <v>43656</v>
      </c>
      <c r="C277" s="1" t="n">
        <v>45471</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35492-2019</t>
        </is>
      </c>
      <c r="B278" s="1" t="n">
        <v>43663</v>
      </c>
      <c r="C278" s="1" t="n">
        <v>45471</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35770-2019</t>
        </is>
      </c>
      <c r="B279" s="1" t="n">
        <v>43665</v>
      </c>
      <c r="C279" s="1" t="n">
        <v>45471</v>
      </c>
      <c r="D279" t="inlineStr">
        <is>
          <t>STOCKHOLMS LÄN</t>
        </is>
      </c>
      <c r="E279" t="inlineStr">
        <is>
          <t>NORRTÄLJE</t>
        </is>
      </c>
      <c r="G279" t="n">
        <v>6.3</v>
      </c>
      <c r="H279" t="n">
        <v>0</v>
      </c>
      <c r="I279" t="n">
        <v>0</v>
      </c>
      <c r="J279" t="n">
        <v>0</v>
      </c>
      <c r="K279" t="n">
        <v>0</v>
      </c>
      <c r="L279" t="n">
        <v>0</v>
      </c>
      <c r="M279" t="n">
        <v>0</v>
      </c>
      <c r="N279" t="n">
        <v>0</v>
      </c>
      <c r="O279" t="n">
        <v>0</v>
      </c>
      <c r="P279" t="n">
        <v>0</v>
      </c>
      <c r="Q279" t="n">
        <v>0</v>
      </c>
      <c r="R279" s="2" t="inlineStr"/>
    </row>
    <row r="280" ht="15" customHeight="1">
      <c r="A280" t="inlineStr">
        <is>
          <t>A 35766-2019</t>
        </is>
      </c>
      <c r="B280" s="1" t="n">
        <v>43665</v>
      </c>
      <c r="C280" s="1" t="n">
        <v>45471</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36418-2019</t>
        </is>
      </c>
      <c r="B281" s="1" t="n">
        <v>43670</v>
      </c>
      <c r="C281" s="1" t="n">
        <v>45471</v>
      </c>
      <c r="D281" t="inlineStr">
        <is>
          <t>STOCKHOLMS LÄN</t>
        </is>
      </c>
      <c r="E281" t="inlineStr">
        <is>
          <t>NORRTÄLJE</t>
        </is>
      </c>
      <c r="G281" t="n">
        <v>16.8</v>
      </c>
      <c r="H281" t="n">
        <v>0</v>
      </c>
      <c r="I281" t="n">
        <v>0</v>
      </c>
      <c r="J281" t="n">
        <v>0</v>
      </c>
      <c r="K281" t="n">
        <v>0</v>
      </c>
      <c r="L281" t="n">
        <v>0</v>
      </c>
      <c r="M281" t="n">
        <v>0</v>
      </c>
      <c r="N281" t="n">
        <v>0</v>
      </c>
      <c r="O281" t="n">
        <v>0</v>
      </c>
      <c r="P281" t="n">
        <v>0</v>
      </c>
      <c r="Q281" t="n">
        <v>0</v>
      </c>
      <c r="R281" s="2" t="inlineStr"/>
    </row>
    <row r="282" ht="15" customHeight="1">
      <c r="A282" t="inlineStr">
        <is>
          <t>A 37401-2019</t>
        </is>
      </c>
      <c r="B282" s="1" t="n">
        <v>43678</v>
      </c>
      <c r="C282" s="1" t="n">
        <v>45471</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37662-2019</t>
        </is>
      </c>
      <c r="B283" s="1" t="n">
        <v>43682</v>
      </c>
      <c r="C283" s="1" t="n">
        <v>45471</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38144-2019</t>
        </is>
      </c>
      <c r="B284" s="1" t="n">
        <v>43684</v>
      </c>
      <c r="C284" s="1" t="n">
        <v>45471</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38139-2019</t>
        </is>
      </c>
      <c r="B285" s="1" t="n">
        <v>43684</v>
      </c>
      <c r="C285" s="1" t="n">
        <v>45471</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38145-2019</t>
        </is>
      </c>
      <c r="B286" s="1" t="n">
        <v>43684</v>
      </c>
      <c r="C286" s="1" t="n">
        <v>45471</v>
      </c>
      <c r="D286" t="inlineStr">
        <is>
          <t>STOCKHOLMS LÄN</t>
        </is>
      </c>
      <c r="E286" t="inlineStr">
        <is>
          <t>NORRTÄLJE</t>
        </is>
      </c>
      <c r="G286" t="n">
        <v>9.9</v>
      </c>
      <c r="H286" t="n">
        <v>0</v>
      </c>
      <c r="I286" t="n">
        <v>0</v>
      </c>
      <c r="J286" t="n">
        <v>0</v>
      </c>
      <c r="K286" t="n">
        <v>0</v>
      </c>
      <c r="L286" t="n">
        <v>0</v>
      </c>
      <c r="M286" t="n">
        <v>0</v>
      </c>
      <c r="N286" t="n">
        <v>0</v>
      </c>
      <c r="O286" t="n">
        <v>0</v>
      </c>
      <c r="P286" t="n">
        <v>0</v>
      </c>
      <c r="Q286" t="n">
        <v>0</v>
      </c>
      <c r="R286" s="2" t="inlineStr"/>
    </row>
    <row r="287" ht="15" customHeight="1">
      <c r="A287" t="inlineStr">
        <is>
          <t>A 38140-2019</t>
        </is>
      </c>
      <c r="B287" s="1" t="n">
        <v>43684</v>
      </c>
      <c r="C287" s="1" t="n">
        <v>45471</v>
      </c>
      <c r="D287" t="inlineStr">
        <is>
          <t>STOCKHOLMS LÄN</t>
        </is>
      </c>
      <c r="E287" t="inlineStr">
        <is>
          <t>NORRTÄLJE</t>
        </is>
      </c>
      <c r="G287" t="n">
        <v>3.4</v>
      </c>
      <c r="H287" t="n">
        <v>0</v>
      </c>
      <c r="I287" t="n">
        <v>0</v>
      </c>
      <c r="J287" t="n">
        <v>0</v>
      </c>
      <c r="K287" t="n">
        <v>0</v>
      </c>
      <c r="L287" t="n">
        <v>0</v>
      </c>
      <c r="M287" t="n">
        <v>0</v>
      </c>
      <c r="N287" t="n">
        <v>0</v>
      </c>
      <c r="O287" t="n">
        <v>0</v>
      </c>
      <c r="P287" t="n">
        <v>0</v>
      </c>
      <c r="Q287" t="n">
        <v>0</v>
      </c>
      <c r="R287" s="2" t="inlineStr"/>
    </row>
    <row r="288" ht="15" customHeight="1">
      <c r="A288" t="inlineStr">
        <is>
          <t>A 38143-2019</t>
        </is>
      </c>
      <c r="B288" s="1" t="n">
        <v>43684</v>
      </c>
      <c r="C288" s="1" t="n">
        <v>45471</v>
      </c>
      <c r="D288" t="inlineStr">
        <is>
          <t>STOCKHOLMS LÄN</t>
        </is>
      </c>
      <c r="E288" t="inlineStr">
        <is>
          <t>NORRTÄLJE</t>
        </is>
      </c>
      <c r="G288" t="n">
        <v>12.7</v>
      </c>
      <c r="H288" t="n">
        <v>0</v>
      </c>
      <c r="I288" t="n">
        <v>0</v>
      </c>
      <c r="J288" t="n">
        <v>0</v>
      </c>
      <c r="K288" t="n">
        <v>0</v>
      </c>
      <c r="L288" t="n">
        <v>0</v>
      </c>
      <c r="M288" t="n">
        <v>0</v>
      </c>
      <c r="N288" t="n">
        <v>0</v>
      </c>
      <c r="O288" t="n">
        <v>0</v>
      </c>
      <c r="P288" t="n">
        <v>0</v>
      </c>
      <c r="Q288" t="n">
        <v>0</v>
      </c>
      <c r="R288" s="2" t="inlineStr"/>
    </row>
    <row r="289" ht="15" customHeight="1">
      <c r="A289" t="inlineStr">
        <is>
          <t>A 38506-2019</t>
        </is>
      </c>
      <c r="B289" s="1" t="n">
        <v>43685</v>
      </c>
      <c r="C289" s="1" t="n">
        <v>45471</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38605-2019</t>
        </is>
      </c>
      <c r="B290" s="1" t="n">
        <v>43686</v>
      </c>
      <c r="C290" s="1" t="n">
        <v>45471</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38737-2019</t>
        </is>
      </c>
      <c r="B291" s="1" t="n">
        <v>43686</v>
      </c>
      <c r="C291" s="1" t="n">
        <v>45471</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40571-2019</t>
        </is>
      </c>
      <c r="B292" s="1" t="n">
        <v>43696</v>
      </c>
      <c r="C292" s="1" t="n">
        <v>45471</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42330-2019</t>
        </is>
      </c>
      <c r="B293" s="1" t="n">
        <v>43703</v>
      </c>
      <c r="C293" s="1" t="n">
        <v>45471</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43379-2019</t>
        </is>
      </c>
      <c r="B294" s="1" t="n">
        <v>43703</v>
      </c>
      <c r="C294" s="1" t="n">
        <v>45471</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43296-2019</t>
        </is>
      </c>
      <c r="B295" s="1" t="n">
        <v>43706</v>
      </c>
      <c r="C295" s="1" t="n">
        <v>45471</v>
      </c>
      <c r="D295" t="inlineStr">
        <is>
          <t>STOCKHOLMS LÄN</t>
        </is>
      </c>
      <c r="E295" t="inlineStr">
        <is>
          <t>NORRTÄLJE</t>
        </is>
      </c>
      <c r="F295" t="inlineStr">
        <is>
          <t>Kommuner</t>
        </is>
      </c>
      <c r="G295" t="n">
        <v>1.7</v>
      </c>
      <c r="H295" t="n">
        <v>0</v>
      </c>
      <c r="I295" t="n">
        <v>0</v>
      </c>
      <c r="J295" t="n">
        <v>0</v>
      </c>
      <c r="K295" t="n">
        <v>0</v>
      </c>
      <c r="L295" t="n">
        <v>0</v>
      </c>
      <c r="M295" t="n">
        <v>0</v>
      </c>
      <c r="N295" t="n">
        <v>0</v>
      </c>
      <c r="O295" t="n">
        <v>0</v>
      </c>
      <c r="P295" t="n">
        <v>0</v>
      </c>
      <c r="Q295" t="n">
        <v>0</v>
      </c>
      <c r="R295" s="2" t="inlineStr"/>
    </row>
    <row r="296" ht="15" customHeight="1">
      <c r="A296" t="inlineStr">
        <is>
          <t>A 44643-2019</t>
        </is>
      </c>
      <c r="B296" s="1" t="n">
        <v>43712</v>
      </c>
      <c r="C296" s="1" t="n">
        <v>45471</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45463-2019</t>
        </is>
      </c>
      <c r="B297" s="1" t="n">
        <v>43714</v>
      </c>
      <c r="C297" s="1" t="n">
        <v>45471</v>
      </c>
      <c r="D297" t="inlineStr">
        <is>
          <t>STOCKHOLMS LÄN</t>
        </is>
      </c>
      <c r="E297" t="inlineStr">
        <is>
          <t>NORRTÄLJE</t>
        </is>
      </c>
      <c r="F297" t="inlineStr">
        <is>
          <t>Övriga statliga verk och myndigheter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45477-2019</t>
        </is>
      </c>
      <c r="B298" s="1" t="n">
        <v>43714</v>
      </c>
      <c r="C298" s="1" t="n">
        <v>45471</v>
      </c>
      <c r="D298" t="inlineStr">
        <is>
          <t>STOCKHOLMS LÄN</t>
        </is>
      </c>
      <c r="E298" t="inlineStr">
        <is>
          <t>NORRTÄLJE</t>
        </is>
      </c>
      <c r="F298" t="inlineStr">
        <is>
          <t>Övriga statliga verk och myndigheter</t>
        </is>
      </c>
      <c r="G298" t="n">
        <v>8.9</v>
      </c>
      <c r="H298" t="n">
        <v>0</v>
      </c>
      <c r="I298" t="n">
        <v>0</v>
      </c>
      <c r="J298" t="n">
        <v>0</v>
      </c>
      <c r="K298" t="n">
        <v>0</v>
      </c>
      <c r="L298" t="n">
        <v>0</v>
      </c>
      <c r="M298" t="n">
        <v>0</v>
      </c>
      <c r="N298" t="n">
        <v>0</v>
      </c>
      <c r="O298" t="n">
        <v>0</v>
      </c>
      <c r="P298" t="n">
        <v>0</v>
      </c>
      <c r="Q298" t="n">
        <v>0</v>
      </c>
      <c r="R298" s="2" t="inlineStr"/>
    </row>
    <row r="299" ht="15" customHeight="1">
      <c r="A299" t="inlineStr">
        <is>
          <t>A 46327-2019</t>
        </is>
      </c>
      <c r="B299" s="1" t="n">
        <v>43718</v>
      </c>
      <c r="C299" s="1" t="n">
        <v>45471</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47876-2019</t>
        </is>
      </c>
      <c r="B300" s="1" t="n">
        <v>43725</v>
      </c>
      <c r="C300" s="1" t="n">
        <v>45471</v>
      </c>
      <c r="D300" t="inlineStr">
        <is>
          <t>STOCKHOLMS LÄN</t>
        </is>
      </c>
      <c r="E300" t="inlineStr">
        <is>
          <t>NORRTÄLJE</t>
        </is>
      </c>
      <c r="G300" t="n">
        <v>11.4</v>
      </c>
      <c r="H300" t="n">
        <v>0</v>
      </c>
      <c r="I300" t="n">
        <v>0</v>
      </c>
      <c r="J300" t="n">
        <v>0</v>
      </c>
      <c r="K300" t="n">
        <v>0</v>
      </c>
      <c r="L300" t="n">
        <v>0</v>
      </c>
      <c r="M300" t="n">
        <v>0</v>
      </c>
      <c r="N300" t="n">
        <v>0</v>
      </c>
      <c r="O300" t="n">
        <v>0</v>
      </c>
      <c r="P300" t="n">
        <v>0</v>
      </c>
      <c r="Q300" t="n">
        <v>0</v>
      </c>
      <c r="R300" s="2" t="inlineStr"/>
    </row>
    <row r="301" ht="15" customHeight="1">
      <c r="A301" t="inlineStr">
        <is>
          <t>A 47877-2019</t>
        </is>
      </c>
      <c r="B301" s="1" t="n">
        <v>43725</v>
      </c>
      <c r="C301" s="1" t="n">
        <v>45471</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47903-2019</t>
        </is>
      </c>
      <c r="B302" s="1" t="n">
        <v>43725</v>
      </c>
      <c r="C302" s="1" t="n">
        <v>45471</v>
      </c>
      <c r="D302" t="inlineStr">
        <is>
          <t>STOCKHOLMS LÄN</t>
        </is>
      </c>
      <c r="E302" t="inlineStr">
        <is>
          <t>NORRTÄLJE</t>
        </is>
      </c>
      <c r="G302" t="n">
        <v>2.1</v>
      </c>
      <c r="H302" t="n">
        <v>0</v>
      </c>
      <c r="I302" t="n">
        <v>0</v>
      </c>
      <c r="J302" t="n">
        <v>0</v>
      </c>
      <c r="K302" t="n">
        <v>0</v>
      </c>
      <c r="L302" t="n">
        <v>0</v>
      </c>
      <c r="M302" t="n">
        <v>0</v>
      </c>
      <c r="N302" t="n">
        <v>0</v>
      </c>
      <c r="O302" t="n">
        <v>0</v>
      </c>
      <c r="P302" t="n">
        <v>0</v>
      </c>
      <c r="Q302" t="n">
        <v>0</v>
      </c>
      <c r="R302" s="2" t="inlineStr"/>
    </row>
    <row r="303" ht="15" customHeight="1">
      <c r="A303" t="inlineStr">
        <is>
          <t>A 47901-2019</t>
        </is>
      </c>
      <c r="B303" s="1" t="n">
        <v>43725</v>
      </c>
      <c r="C303" s="1" t="n">
        <v>45471</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47939-2019</t>
        </is>
      </c>
      <c r="B304" s="1" t="n">
        <v>43725</v>
      </c>
      <c r="C304" s="1" t="n">
        <v>45471</v>
      </c>
      <c r="D304" t="inlineStr">
        <is>
          <t>STOCKHOLMS LÄN</t>
        </is>
      </c>
      <c r="E304" t="inlineStr">
        <is>
          <t>NORRTÄLJE</t>
        </is>
      </c>
      <c r="G304" t="n">
        <v>4.5</v>
      </c>
      <c r="H304" t="n">
        <v>0</v>
      </c>
      <c r="I304" t="n">
        <v>0</v>
      </c>
      <c r="J304" t="n">
        <v>0</v>
      </c>
      <c r="K304" t="n">
        <v>0</v>
      </c>
      <c r="L304" t="n">
        <v>0</v>
      </c>
      <c r="M304" t="n">
        <v>0</v>
      </c>
      <c r="N304" t="n">
        <v>0</v>
      </c>
      <c r="O304" t="n">
        <v>0</v>
      </c>
      <c r="P304" t="n">
        <v>0</v>
      </c>
      <c r="Q304" t="n">
        <v>0</v>
      </c>
      <c r="R304" s="2" t="inlineStr"/>
    </row>
    <row r="305" ht="15" customHeight="1">
      <c r="A305" t="inlineStr">
        <is>
          <t>A 47941-2019</t>
        </is>
      </c>
      <c r="B305" s="1" t="n">
        <v>43725</v>
      </c>
      <c r="C305" s="1" t="n">
        <v>45471</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47879-2019</t>
        </is>
      </c>
      <c r="B306" s="1" t="n">
        <v>43725</v>
      </c>
      <c r="C306" s="1" t="n">
        <v>45471</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48730-2019</t>
        </is>
      </c>
      <c r="B307" s="1" t="n">
        <v>43728</v>
      </c>
      <c r="C307" s="1" t="n">
        <v>45471</v>
      </c>
      <c r="D307" t="inlineStr">
        <is>
          <t>STOCKHOLMS LÄN</t>
        </is>
      </c>
      <c r="E307" t="inlineStr">
        <is>
          <t>NORRTÄLJE</t>
        </is>
      </c>
      <c r="F307" t="inlineStr">
        <is>
          <t>Övriga statliga verk och myndigheter</t>
        </is>
      </c>
      <c r="G307" t="n">
        <v>1.3</v>
      </c>
      <c r="H307" t="n">
        <v>0</v>
      </c>
      <c r="I307" t="n">
        <v>0</v>
      </c>
      <c r="J307" t="n">
        <v>0</v>
      </c>
      <c r="K307" t="n">
        <v>0</v>
      </c>
      <c r="L307" t="n">
        <v>0</v>
      </c>
      <c r="M307" t="n">
        <v>0</v>
      </c>
      <c r="N307" t="n">
        <v>0</v>
      </c>
      <c r="O307" t="n">
        <v>0</v>
      </c>
      <c r="P307" t="n">
        <v>0</v>
      </c>
      <c r="Q307" t="n">
        <v>0</v>
      </c>
      <c r="R307" s="2" t="inlineStr"/>
    </row>
    <row r="308" ht="15" customHeight="1">
      <c r="A308" t="inlineStr">
        <is>
          <t>A 49252-2019</t>
        </is>
      </c>
      <c r="B308" s="1" t="n">
        <v>43731</v>
      </c>
      <c r="C308" s="1" t="n">
        <v>45471</v>
      </c>
      <c r="D308" t="inlineStr">
        <is>
          <t>STOCKHOLMS LÄN</t>
        </is>
      </c>
      <c r="E308" t="inlineStr">
        <is>
          <t>NORRTÄLJE</t>
        </is>
      </c>
      <c r="G308" t="n">
        <v>1.2</v>
      </c>
      <c r="H308" t="n">
        <v>0</v>
      </c>
      <c r="I308" t="n">
        <v>0</v>
      </c>
      <c r="J308" t="n">
        <v>0</v>
      </c>
      <c r="K308" t="n">
        <v>0</v>
      </c>
      <c r="L308" t="n">
        <v>0</v>
      </c>
      <c r="M308" t="n">
        <v>0</v>
      </c>
      <c r="N308" t="n">
        <v>0</v>
      </c>
      <c r="O308" t="n">
        <v>0</v>
      </c>
      <c r="P308" t="n">
        <v>0</v>
      </c>
      <c r="Q308" t="n">
        <v>0</v>
      </c>
      <c r="R308" s="2" t="inlineStr"/>
    </row>
    <row r="309" ht="15" customHeight="1">
      <c r="A309" t="inlineStr">
        <is>
          <t>A 51940-2019</t>
        </is>
      </c>
      <c r="B309" s="1" t="n">
        <v>43741</v>
      </c>
      <c r="C309" s="1" t="n">
        <v>45471</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51942-2019</t>
        </is>
      </c>
      <c r="B310" s="1" t="n">
        <v>43741</v>
      </c>
      <c r="C310" s="1" t="n">
        <v>45471</v>
      </c>
      <c r="D310" t="inlineStr">
        <is>
          <t>STOCKHOLMS LÄN</t>
        </is>
      </c>
      <c r="E310" t="inlineStr">
        <is>
          <t>NORRTÄLJE</t>
        </is>
      </c>
      <c r="G310" t="n">
        <v>5.6</v>
      </c>
      <c r="H310" t="n">
        <v>0</v>
      </c>
      <c r="I310" t="n">
        <v>0</v>
      </c>
      <c r="J310" t="n">
        <v>0</v>
      </c>
      <c r="K310" t="n">
        <v>0</v>
      </c>
      <c r="L310" t="n">
        <v>0</v>
      </c>
      <c r="M310" t="n">
        <v>0</v>
      </c>
      <c r="N310" t="n">
        <v>0</v>
      </c>
      <c r="O310" t="n">
        <v>0</v>
      </c>
      <c r="P310" t="n">
        <v>0</v>
      </c>
      <c r="Q310" t="n">
        <v>0</v>
      </c>
      <c r="R310" s="2" t="inlineStr"/>
    </row>
    <row r="311" ht="15" customHeight="1">
      <c r="A311" t="inlineStr">
        <is>
          <t>A 55481-2019</t>
        </is>
      </c>
      <c r="B311" s="1" t="n">
        <v>43759</v>
      </c>
      <c r="C311" s="1" t="n">
        <v>45471</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55891-2019</t>
        </is>
      </c>
      <c r="B312" s="1" t="n">
        <v>43761</v>
      </c>
      <c r="C312" s="1" t="n">
        <v>45471</v>
      </c>
      <c r="D312" t="inlineStr">
        <is>
          <t>STOCKHOLMS LÄN</t>
        </is>
      </c>
      <c r="E312" t="inlineStr">
        <is>
          <t>NORRTÄLJE</t>
        </is>
      </c>
      <c r="G312" t="n">
        <v>7.6</v>
      </c>
      <c r="H312" t="n">
        <v>0</v>
      </c>
      <c r="I312" t="n">
        <v>0</v>
      </c>
      <c r="J312" t="n">
        <v>0</v>
      </c>
      <c r="K312" t="n">
        <v>0</v>
      </c>
      <c r="L312" t="n">
        <v>0</v>
      </c>
      <c r="M312" t="n">
        <v>0</v>
      </c>
      <c r="N312" t="n">
        <v>0</v>
      </c>
      <c r="O312" t="n">
        <v>0</v>
      </c>
      <c r="P312" t="n">
        <v>0</v>
      </c>
      <c r="Q312" t="n">
        <v>0</v>
      </c>
      <c r="R312" s="2" t="inlineStr"/>
    </row>
    <row r="313" ht="15" customHeight="1">
      <c r="A313" t="inlineStr">
        <is>
          <t>A 56349-2019</t>
        </is>
      </c>
      <c r="B313" s="1" t="n">
        <v>43762</v>
      </c>
      <c r="C313" s="1" t="n">
        <v>45471</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57759-2019</t>
        </is>
      </c>
      <c r="B314" s="1" t="n">
        <v>43763</v>
      </c>
      <c r="C314" s="1" t="n">
        <v>45471</v>
      </c>
      <c r="D314" t="inlineStr">
        <is>
          <t>STOCKHOLMS LÄN</t>
        </is>
      </c>
      <c r="E314" t="inlineStr">
        <is>
          <t>NORRTÄLJE</t>
        </is>
      </c>
      <c r="F314" t="inlineStr">
        <is>
          <t>Övriga Aktiebolag</t>
        </is>
      </c>
      <c r="G314" t="n">
        <v>7.3</v>
      </c>
      <c r="H314" t="n">
        <v>0</v>
      </c>
      <c r="I314" t="n">
        <v>0</v>
      </c>
      <c r="J314" t="n">
        <v>0</v>
      </c>
      <c r="K314" t="n">
        <v>0</v>
      </c>
      <c r="L314" t="n">
        <v>0</v>
      </c>
      <c r="M314" t="n">
        <v>0</v>
      </c>
      <c r="N314" t="n">
        <v>0</v>
      </c>
      <c r="O314" t="n">
        <v>0</v>
      </c>
      <c r="P314" t="n">
        <v>0</v>
      </c>
      <c r="Q314" t="n">
        <v>0</v>
      </c>
      <c r="R314" s="2" t="inlineStr"/>
    </row>
    <row r="315" ht="15" customHeight="1">
      <c r="A315" t="inlineStr">
        <is>
          <t>A 57063-2019</t>
        </is>
      </c>
      <c r="B315" s="1" t="n">
        <v>43766</v>
      </c>
      <c r="C315" s="1" t="n">
        <v>45471</v>
      </c>
      <c r="D315" t="inlineStr">
        <is>
          <t>STOCKHOLMS LÄN</t>
        </is>
      </c>
      <c r="E315" t="inlineStr">
        <is>
          <t>NORRTÄLJE</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56950-2019</t>
        </is>
      </c>
      <c r="B316" s="1" t="n">
        <v>43766</v>
      </c>
      <c r="C316" s="1" t="n">
        <v>45471</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57605-2019</t>
        </is>
      </c>
      <c r="B317" s="1" t="n">
        <v>43768</v>
      </c>
      <c r="C317" s="1" t="n">
        <v>45471</v>
      </c>
      <c r="D317" t="inlineStr">
        <is>
          <t>STOCKHOLMS LÄN</t>
        </is>
      </c>
      <c r="E317" t="inlineStr">
        <is>
          <t>NORRTÄLJE</t>
        </is>
      </c>
      <c r="G317" t="n">
        <v>2.5</v>
      </c>
      <c r="H317" t="n">
        <v>0</v>
      </c>
      <c r="I317" t="n">
        <v>0</v>
      </c>
      <c r="J317" t="n">
        <v>0</v>
      </c>
      <c r="K317" t="n">
        <v>0</v>
      </c>
      <c r="L317" t="n">
        <v>0</v>
      </c>
      <c r="M317" t="n">
        <v>0</v>
      </c>
      <c r="N317" t="n">
        <v>0</v>
      </c>
      <c r="O317" t="n">
        <v>0</v>
      </c>
      <c r="P317" t="n">
        <v>0</v>
      </c>
      <c r="Q317" t="n">
        <v>0</v>
      </c>
      <c r="R317" s="2" t="inlineStr"/>
    </row>
    <row r="318" ht="15" customHeight="1">
      <c r="A318" t="inlineStr">
        <is>
          <t>A 58064-2019</t>
        </is>
      </c>
      <c r="B318" s="1" t="n">
        <v>43769</v>
      </c>
      <c r="C318" s="1" t="n">
        <v>45471</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58631-2019</t>
        </is>
      </c>
      <c r="B319" s="1" t="n">
        <v>43773</v>
      </c>
      <c r="C319" s="1" t="n">
        <v>45471</v>
      </c>
      <c r="D319" t="inlineStr">
        <is>
          <t>STOCKHOLMS LÄN</t>
        </is>
      </c>
      <c r="E319" t="inlineStr">
        <is>
          <t>NORRTÄLJE</t>
        </is>
      </c>
      <c r="G319" t="n">
        <v>6</v>
      </c>
      <c r="H319" t="n">
        <v>0</v>
      </c>
      <c r="I319" t="n">
        <v>0</v>
      </c>
      <c r="J319" t="n">
        <v>0</v>
      </c>
      <c r="K319" t="n">
        <v>0</v>
      </c>
      <c r="L319" t="n">
        <v>0</v>
      </c>
      <c r="M319" t="n">
        <v>0</v>
      </c>
      <c r="N319" t="n">
        <v>0</v>
      </c>
      <c r="O319" t="n">
        <v>0</v>
      </c>
      <c r="P319" t="n">
        <v>0</v>
      </c>
      <c r="Q319" t="n">
        <v>0</v>
      </c>
      <c r="R319" s="2" t="inlineStr"/>
    </row>
    <row r="320" ht="15" customHeight="1">
      <c r="A320" t="inlineStr">
        <is>
          <t>A 60214-2019</t>
        </is>
      </c>
      <c r="B320" s="1" t="n">
        <v>43780</v>
      </c>
      <c r="C320" s="1" t="n">
        <v>45471</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60208-2019</t>
        </is>
      </c>
      <c r="B321" s="1" t="n">
        <v>43780</v>
      </c>
      <c r="C321" s="1" t="n">
        <v>45471</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60842-2019</t>
        </is>
      </c>
      <c r="B322" s="1" t="n">
        <v>43781</v>
      </c>
      <c r="C322" s="1" t="n">
        <v>45471</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60844-2019</t>
        </is>
      </c>
      <c r="B323" s="1" t="n">
        <v>43781</v>
      </c>
      <c r="C323" s="1" t="n">
        <v>45471</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61657-2019</t>
        </is>
      </c>
      <c r="B324" s="1" t="n">
        <v>43784</v>
      </c>
      <c r="C324" s="1" t="n">
        <v>45471</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62848-2019</t>
        </is>
      </c>
      <c r="B325" s="1" t="n">
        <v>43790</v>
      </c>
      <c r="C325" s="1" t="n">
        <v>45471</v>
      </c>
      <c r="D325" t="inlineStr">
        <is>
          <t>STOCKHOLMS LÄN</t>
        </is>
      </c>
      <c r="E325" t="inlineStr">
        <is>
          <t>NORRTÄLJE</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62980-2019</t>
        </is>
      </c>
      <c r="B326" s="1" t="n">
        <v>43790</v>
      </c>
      <c r="C326" s="1" t="n">
        <v>45471</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63513-2019</t>
        </is>
      </c>
      <c r="B327" s="1" t="n">
        <v>43794</v>
      </c>
      <c r="C327" s="1" t="n">
        <v>45471</v>
      </c>
      <c r="D327" t="inlineStr">
        <is>
          <t>STOCKHOLMS LÄN</t>
        </is>
      </c>
      <c r="E327" t="inlineStr">
        <is>
          <t>NORRTÄLJE</t>
        </is>
      </c>
      <c r="G327" t="n">
        <v>9</v>
      </c>
      <c r="H327" t="n">
        <v>0</v>
      </c>
      <c r="I327" t="n">
        <v>0</v>
      </c>
      <c r="J327" t="n">
        <v>0</v>
      </c>
      <c r="K327" t="n">
        <v>0</v>
      </c>
      <c r="L327" t="n">
        <v>0</v>
      </c>
      <c r="M327" t="n">
        <v>0</v>
      </c>
      <c r="N327" t="n">
        <v>0</v>
      </c>
      <c r="O327" t="n">
        <v>0</v>
      </c>
      <c r="P327" t="n">
        <v>0</v>
      </c>
      <c r="Q327" t="n">
        <v>0</v>
      </c>
      <c r="R327" s="2" t="inlineStr"/>
    </row>
    <row r="328" ht="15" customHeight="1">
      <c r="A328" t="inlineStr">
        <is>
          <t>A 63529-2019</t>
        </is>
      </c>
      <c r="B328" s="1" t="n">
        <v>43794</v>
      </c>
      <c r="C328" s="1" t="n">
        <v>45471</v>
      </c>
      <c r="D328" t="inlineStr">
        <is>
          <t>STOCKHOLMS LÄN</t>
        </is>
      </c>
      <c r="E328" t="inlineStr">
        <is>
          <t>NORRTÄLJE</t>
        </is>
      </c>
      <c r="G328" t="n">
        <v>0.4</v>
      </c>
      <c r="H328" t="n">
        <v>0</v>
      </c>
      <c r="I328" t="n">
        <v>0</v>
      </c>
      <c r="J328" t="n">
        <v>0</v>
      </c>
      <c r="K328" t="n">
        <v>0</v>
      </c>
      <c r="L328" t="n">
        <v>0</v>
      </c>
      <c r="M328" t="n">
        <v>0</v>
      </c>
      <c r="N328" t="n">
        <v>0</v>
      </c>
      <c r="O328" t="n">
        <v>0</v>
      </c>
      <c r="P328" t="n">
        <v>0</v>
      </c>
      <c r="Q328" t="n">
        <v>0</v>
      </c>
      <c r="R328" s="2" t="inlineStr"/>
    </row>
    <row r="329" ht="15" customHeight="1">
      <c r="A329" t="inlineStr">
        <is>
          <t>A 63495-2019</t>
        </is>
      </c>
      <c r="B329" s="1" t="n">
        <v>43794</v>
      </c>
      <c r="C329" s="1" t="n">
        <v>45471</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63504-2019</t>
        </is>
      </c>
      <c r="B330" s="1" t="n">
        <v>43794</v>
      </c>
      <c r="C330" s="1" t="n">
        <v>45471</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63528-2019</t>
        </is>
      </c>
      <c r="B331" s="1" t="n">
        <v>43794</v>
      </c>
      <c r="C331" s="1" t="n">
        <v>45471</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63515-2019</t>
        </is>
      </c>
      <c r="B332" s="1" t="n">
        <v>43794</v>
      </c>
      <c r="C332" s="1" t="n">
        <v>45471</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64293-2019</t>
        </is>
      </c>
      <c r="B333" s="1" t="n">
        <v>43797</v>
      </c>
      <c r="C333" s="1" t="n">
        <v>45471</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65640-2019</t>
        </is>
      </c>
      <c r="B334" s="1" t="n">
        <v>43804</v>
      </c>
      <c r="C334" s="1" t="n">
        <v>45471</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65998-2019</t>
        </is>
      </c>
      <c r="B335" s="1" t="n">
        <v>43805</v>
      </c>
      <c r="C335" s="1" t="n">
        <v>45471</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66604-2019</t>
        </is>
      </c>
      <c r="B336" s="1" t="n">
        <v>43809</v>
      </c>
      <c r="C336" s="1" t="n">
        <v>45471</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67158-2019</t>
        </is>
      </c>
      <c r="B337" s="1" t="n">
        <v>43811</v>
      </c>
      <c r="C337" s="1" t="n">
        <v>45471</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67324-2019</t>
        </is>
      </c>
      <c r="B338" s="1" t="n">
        <v>43812</v>
      </c>
      <c r="C338" s="1" t="n">
        <v>45471</v>
      </c>
      <c r="D338" t="inlineStr">
        <is>
          <t>STOCKHOLMS LÄN</t>
        </is>
      </c>
      <c r="E338" t="inlineStr">
        <is>
          <t>NORRTÄLJE</t>
        </is>
      </c>
      <c r="G338" t="n">
        <v>7.7</v>
      </c>
      <c r="H338" t="n">
        <v>0</v>
      </c>
      <c r="I338" t="n">
        <v>0</v>
      </c>
      <c r="J338" t="n">
        <v>0</v>
      </c>
      <c r="K338" t="n">
        <v>0</v>
      </c>
      <c r="L338" t="n">
        <v>0</v>
      </c>
      <c r="M338" t="n">
        <v>0</v>
      </c>
      <c r="N338" t="n">
        <v>0</v>
      </c>
      <c r="O338" t="n">
        <v>0</v>
      </c>
      <c r="P338" t="n">
        <v>0</v>
      </c>
      <c r="Q338" t="n">
        <v>0</v>
      </c>
      <c r="R338" s="2" t="inlineStr"/>
    </row>
    <row r="339" ht="15" customHeight="1">
      <c r="A339" t="inlineStr">
        <is>
          <t>A 68865-2019</t>
        </is>
      </c>
      <c r="B339" s="1" t="n">
        <v>43821</v>
      </c>
      <c r="C339" s="1" t="n">
        <v>45471</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1099-2020</t>
        </is>
      </c>
      <c r="B340" s="1" t="n">
        <v>43822</v>
      </c>
      <c r="C340" s="1" t="n">
        <v>45471</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4475-2020</t>
        </is>
      </c>
      <c r="B341" s="1" t="n">
        <v>43849</v>
      </c>
      <c r="C341" s="1" t="n">
        <v>45471</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2808-2020</t>
        </is>
      </c>
      <c r="B342" s="1" t="n">
        <v>43850</v>
      </c>
      <c r="C342" s="1" t="n">
        <v>45471</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2810-2020</t>
        </is>
      </c>
      <c r="B343" s="1" t="n">
        <v>43850</v>
      </c>
      <c r="C343" s="1" t="n">
        <v>45471</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2803-2020</t>
        </is>
      </c>
      <c r="B344" s="1" t="n">
        <v>43850</v>
      </c>
      <c r="C344" s="1" t="n">
        <v>45471</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3882-2020</t>
        </is>
      </c>
      <c r="B345" s="1" t="n">
        <v>43854</v>
      </c>
      <c r="C345" s="1" t="n">
        <v>45471</v>
      </c>
      <c r="D345" t="inlineStr">
        <is>
          <t>STOCKHOLMS LÄN</t>
        </is>
      </c>
      <c r="E345" t="inlineStr">
        <is>
          <t>NORRTÄLJE</t>
        </is>
      </c>
      <c r="G345" t="n">
        <v>5.9</v>
      </c>
      <c r="H345" t="n">
        <v>0</v>
      </c>
      <c r="I345" t="n">
        <v>0</v>
      </c>
      <c r="J345" t="n">
        <v>0</v>
      </c>
      <c r="K345" t="n">
        <v>0</v>
      </c>
      <c r="L345" t="n">
        <v>0</v>
      </c>
      <c r="M345" t="n">
        <v>0</v>
      </c>
      <c r="N345" t="n">
        <v>0</v>
      </c>
      <c r="O345" t="n">
        <v>0</v>
      </c>
      <c r="P345" t="n">
        <v>0</v>
      </c>
      <c r="Q345" t="n">
        <v>0</v>
      </c>
      <c r="R345" s="2" t="inlineStr"/>
    </row>
    <row r="346" ht="15" customHeight="1">
      <c r="A346" t="inlineStr">
        <is>
          <t>A 4094-2020</t>
        </is>
      </c>
      <c r="B346" s="1" t="n">
        <v>43857</v>
      </c>
      <c r="C346" s="1" t="n">
        <v>45471</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4950-2020</t>
        </is>
      </c>
      <c r="B347" s="1" t="n">
        <v>43859</v>
      </c>
      <c r="C347" s="1" t="n">
        <v>45471</v>
      </c>
      <c r="D347" t="inlineStr">
        <is>
          <t>STOCKHOLMS LÄN</t>
        </is>
      </c>
      <c r="E347" t="inlineStr">
        <is>
          <t>NORRTÄLJE</t>
        </is>
      </c>
      <c r="G347" t="n">
        <v>0.4</v>
      </c>
      <c r="H347" t="n">
        <v>0</v>
      </c>
      <c r="I347" t="n">
        <v>0</v>
      </c>
      <c r="J347" t="n">
        <v>0</v>
      </c>
      <c r="K347" t="n">
        <v>0</v>
      </c>
      <c r="L347" t="n">
        <v>0</v>
      </c>
      <c r="M347" t="n">
        <v>0</v>
      </c>
      <c r="N347" t="n">
        <v>0</v>
      </c>
      <c r="O347" t="n">
        <v>0</v>
      </c>
      <c r="P347" t="n">
        <v>0</v>
      </c>
      <c r="Q347" t="n">
        <v>0</v>
      </c>
      <c r="R347" s="2" t="inlineStr"/>
    </row>
    <row r="348" ht="15" customHeight="1">
      <c r="A348" t="inlineStr">
        <is>
          <t>A 5084-2020</t>
        </is>
      </c>
      <c r="B348" s="1" t="n">
        <v>43859</v>
      </c>
      <c r="C348" s="1" t="n">
        <v>45471</v>
      </c>
      <c r="D348" t="inlineStr">
        <is>
          <t>STOCKHOLMS LÄN</t>
        </is>
      </c>
      <c r="E348" t="inlineStr">
        <is>
          <t>NORRTÄLJE</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4952-2020</t>
        </is>
      </c>
      <c r="B349" s="1" t="n">
        <v>43859</v>
      </c>
      <c r="C349" s="1" t="n">
        <v>45471</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5735-2020</t>
        </is>
      </c>
      <c r="B350" s="1" t="n">
        <v>43863</v>
      </c>
      <c r="C350" s="1" t="n">
        <v>45471</v>
      </c>
      <c r="D350" t="inlineStr">
        <is>
          <t>STOCKHOLMS LÄN</t>
        </is>
      </c>
      <c r="E350" t="inlineStr">
        <is>
          <t>NORRTÄLJE</t>
        </is>
      </c>
      <c r="G350" t="n">
        <v>0.5</v>
      </c>
      <c r="H350" t="n">
        <v>0</v>
      </c>
      <c r="I350" t="n">
        <v>0</v>
      </c>
      <c r="J350" t="n">
        <v>0</v>
      </c>
      <c r="K350" t="n">
        <v>0</v>
      </c>
      <c r="L350" t="n">
        <v>0</v>
      </c>
      <c r="M350" t="n">
        <v>0</v>
      </c>
      <c r="N350" t="n">
        <v>0</v>
      </c>
      <c r="O350" t="n">
        <v>0</v>
      </c>
      <c r="P350" t="n">
        <v>0</v>
      </c>
      <c r="Q350" t="n">
        <v>0</v>
      </c>
      <c r="R350" s="2" t="inlineStr"/>
    </row>
    <row r="351" ht="15" customHeight="1">
      <c r="A351" t="inlineStr">
        <is>
          <t>A 5733-2020</t>
        </is>
      </c>
      <c r="B351" s="1" t="n">
        <v>43863</v>
      </c>
      <c r="C351" s="1" t="n">
        <v>45471</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5739-2020</t>
        </is>
      </c>
      <c r="B352" s="1" t="n">
        <v>43863</v>
      </c>
      <c r="C352" s="1" t="n">
        <v>45471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7471-2020</t>
        </is>
      </c>
      <c r="B353" s="1" t="n">
        <v>43871</v>
      </c>
      <c r="C353" s="1" t="n">
        <v>45471</v>
      </c>
      <c r="D353" t="inlineStr">
        <is>
          <t>STOCKHOLMS LÄN</t>
        </is>
      </c>
      <c r="E353" t="inlineStr">
        <is>
          <t>NORRTÄLJE</t>
        </is>
      </c>
      <c r="G353" t="n">
        <v>7.8</v>
      </c>
      <c r="H353" t="n">
        <v>0</v>
      </c>
      <c r="I353" t="n">
        <v>0</v>
      </c>
      <c r="J353" t="n">
        <v>0</v>
      </c>
      <c r="K353" t="n">
        <v>0</v>
      </c>
      <c r="L353" t="n">
        <v>0</v>
      </c>
      <c r="M353" t="n">
        <v>0</v>
      </c>
      <c r="N353" t="n">
        <v>0</v>
      </c>
      <c r="O353" t="n">
        <v>0</v>
      </c>
      <c r="P353" t="n">
        <v>0</v>
      </c>
      <c r="Q353" t="n">
        <v>0</v>
      </c>
      <c r="R353" s="2" t="inlineStr"/>
    </row>
    <row r="354" ht="15" customHeight="1">
      <c r="A354" t="inlineStr">
        <is>
          <t>A 9845-2020</t>
        </is>
      </c>
      <c r="B354" s="1" t="n">
        <v>43881</v>
      </c>
      <c r="C354" s="1" t="n">
        <v>45471</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10618-2020</t>
        </is>
      </c>
      <c r="B355" s="1" t="n">
        <v>43887</v>
      </c>
      <c r="C355" s="1" t="n">
        <v>45471</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11184-2020</t>
        </is>
      </c>
      <c r="B356" s="1" t="n">
        <v>43892</v>
      </c>
      <c r="C356" s="1" t="n">
        <v>45471</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11576-2020</t>
        </is>
      </c>
      <c r="B357" s="1" t="n">
        <v>43893</v>
      </c>
      <c r="C357" s="1" t="n">
        <v>45471</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12113-2020</t>
        </is>
      </c>
      <c r="B358" s="1" t="n">
        <v>43895</v>
      </c>
      <c r="C358" s="1" t="n">
        <v>45471</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12970-2020</t>
        </is>
      </c>
      <c r="B359" s="1" t="n">
        <v>43900</v>
      </c>
      <c r="C359" s="1" t="n">
        <v>45471</v>
      </c>
      <c r="D359" t="inlineStr">
        <is>
          <t>STOCKHOLMS LÄN</t>
        </is>
      </c>
      <c r="E359" t="inlineStr">
        <is>
          <t>NORRTÄLJE</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13230-2020</t>
        </is>
      </c>
      <c r="B360" s="1" t="n">
        <v>43901</v>
      </c>
      <c r="C360" s="1" t="n">
        <v>45471</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13287-2020</t>
        </is>
      </c>
      <c r="B361" s="1" t="n">
        <v>43901</v>
      </c>
      <c r="C361" s="1" t="n">
        <v>45471</v>
      </c>
      <c r="D361" t="inlineStr">
        <is>
          <t>STOCKHOLMS LÄN</t>
        </is>
      </c>
      <c r="E361" t="inlineStr">
        <is>
          <t>NORRTÄLJE</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13281-2020</t>
        </is>
      </c>
      <c r="B362" s="1" t="n">
        <v>43901</v>
      </c>
      <c r="C362" s="1" t="n">
        <v>45471</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13501-2020</t>
        </is>
      </c>
      <c r="B363" s="1" t="n">
        <v>43902</v>
      </c>
      <c r="C363" s="1" t="n">
        <v>45471</v>
      </c>
      <c r="D363" t="inlineStr">
        <is>
          <t>STOCKHOLMS LÄN</t>
        </is>
      </c>
      <c r="E363" t="inlineStr">
        <is>
          <t>NORRTÄLJE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13506-2020</t>
        </is>
      </c>
      <c r="B364" s="1" t="n">
        <v>43902</v>
      </c>
      <c r="C364" s="1" t="n">
        <v>45471</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14525-2020</t>
        </is>
      </c>
      <c r="B365" s="1" t="n">
        <v>43908</v>
      </c>
      <c r="C365" s="1" t="n">
        <v>45471</v>
      </c>
      <c r="D365" t="inlineStr">
        <is>
          <t>STOCKHOLMS LÄN</t>
        </is>
      </c>
      <c r="E365" t="inlineStr">
        <is>
          <t>NORRTÄLJE</t>
        </is>
      </c>
      <c r="G365" t="n">
        <v>10.2</v>
      </c>
      <c r="H365" t="n">
        <v>0</v>
      </c>
      <c r="I365" t="n">
        <v>0</v>
      </c>
      <c r="J365" t="n">
        <v>0</v>
      </c>
      <c r="K365" t="n">
        <v>0</v>
      </c>
      <c r="L365" t="n">
        <v>0</v>
      </c>
      <c r="M365" t="n">
        <v>0</v>
      </c>
      <c r="N365" t="n">
        <v>0</v>
      </c>
      <c r="O365" t="n">
        <v>0</v>
      </c>
      <c r="P365" t="n">
        <v>0</v>
      </c>
      <c r="Q365" t="n">
        <v>0</v>
      </c>
      <c r="R365" s="2" t="inlineStr"/>
    </row>
    <row r="366" ht="15" customHeight="1">
      <c r="A366" t="inlineStr">
        <is>
          <t>A 14565-2020</t>
        </is>
      </c>
      <c r="B366" s="1" t="n">
        <v>43908</v>
      </c>
      <c r="C366" s="1" t="n">
        <v>45471</v>
      </c>
      <c r="D366" t="inlineStr">
        <is>
          <t>STOCKHOLMS LÄN</t>
        </is>
      </c>
      <c r="E366" t="inlineStr">
        <is>
          <t>NORRTÄLJE</t>
        </is>
      </c>
      <c r="G366" t="n">
        <v>3.4</v>
      </c>
      <c r="H366" t="n">
        <v>0</v>
      </c>
      <c r="I366" t="n">
        <v>0</v>
      </c>
      <c r="J366" t="n">
        <v>0</v>
      </c>
      <c r="K366" t="n">
        <v>0</v>
      </c>
      <c r="L366" t="n">
        <v>0</v>
      </c>
      <c r="M366" t="n">
        <v>0</v>
      </c>
      <c r="N366" t="n">
        <v>0</v>
      </c>
      <c r="O366" t="n">
        <v>0</v>
      </c>
      <c r="P366" t="n">
        <v>0</v>
      </c>
      <c r="Q366" t="n">
        <v>0</v>
      </c>
      <c r="R366" s="2" t="inlineStr"/>
    </row>
    <row r="367" ht="15" customHeight="1">
      <c r="A367" t="inlineStr">
        <is>
          <t>A 14831-2020</t>
        </is>
      </c>
      <c r="B367" s="1" t="n">
        <v>43909</v>
      </c>
      <c r="C367" s="1" t="n">
        <v>45471</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15663-2020</t>
        </is>
      </c>
      <c r="B368" s="1" t="n">
        <v>43915</v>
      </c>
      <c r="C368" s="1" t="n">
        <v>45471</v>
      </c>
      <c r="D368" t="inlineStr">
        <is>
          <t>STOCKHOLMS LÄN</t>
        </is>
      </c>
      <c r="E368" t="inlineStr">
        <is>
          <t>NORRTÄLJE</t>
        </is>
      </c>
      <c r="G368" t="n">
        <v>11.1</v>
      </c>
      <c r="H368" t="n">
        <v>0</v>
      </c>
      <c r="I368" t="n">
        <v>0</v>
      </c>
      <c r="J368" t="n">
        <v>0</v>
      </c>
      <c r="K368" t="n">
        <v>0</v>
      </c>
      <c r="L368" t="n">
        <v>0</v>
      </c>
      <c r="M368" t="n">
        <v>0</v>
      </c>
      <c r="N368" t="n">
        <v>0</v>
      </c>
      <c r="O368" t="n">
        <v>0</v>
      </c>
      <c r="P368" t="n">
        <v>0</v>
      </c>
      <c r="Q368" t="n">
        <v>0</v>
      </c>
      <c r="R368" s="2" t="inlineStr"/>
    </row>
    <row r="369" ht="15" customHeight="1">
      <c r="A369" t="inlineStr">
        <is>
          <t>A 16273-2020</t>
        </is>
      </c>
      <c r="B369" s="1" t="n">
        <v>43917</v>
      </c>
      <c r="C369" s="1" t="n">
        <v>45471</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17965-2020</t>
        </is>
      </c>
      <c r="B370" s="1" t="n">
        <v>43925</v>
      </c>
      <c r="C370" s="1" t="n">
        <v>45471</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19258-2020</t>
        </is>
      </c>
      <c r="B371" s="1" t="n">
        <v>43937</v>
      </c>
      <c r="C371" s="1" t="n">
        <v>45471</v>
      </c>
      <c r="D371" t="inlineStr">
        <is>
          <t>STOCKHOLMS LÄN</t>
        </is>
      </c>
      <c r="E371" t="inlineStr">
        <is>
          <t>NORRTÄLJE</t>
        </is>
      </c>
      <c r="F371" t="inlineStr">
        <is>
          <t>Övriga statliga verk och myndigheter</t>
        </is>
      </c>
      <c r="G371" t="n">
        <v>2.9</v>
      </c>
      <c r="H371" t="n">
        <v>0</v>
      </c>
      <c r="I371" t="n">
        <v>0</v>
      </c>
      <c r="J371" t="n">
        <v>0</v>
      </c>
      <c r="K371" t="n">
        <v>0</v>
      </c>
      <c r="L371" t="n">
        <v>0</v>
      </c>
      <c r="M371" t="n">
        <v>0</v>
      </c>
      <c r="N371" t="n">
        <v>0</v>
      </c>
      <c r="O371" t="n">
        <v>0</v>
      </c>
      <c r="P371" t="n">
        <v>0</v>
      </c>
      <c r="Q371" t="n">
        <v>0</v>
      </c>
      <c r="R371" s="2" t="inlineStr"/>
    </row>
    <row r="372" ht="15" customHeight="1">
      <c r="A372" t="inlineStr">
        <is>
          <t>A 20257-2020</t>
        </is>
      </c>
      <c r="B372" s="1" t="n">
        <v>43944</v>
      </c>
      <c r="C372" s="1" t="n">
        <v>45471</v>
      </c>
      <c r="D372" t="inlineStr">
        <is>
          <t>STOCKHOLMS LÄN</t>
        </is>
      </c>
      <c r="E372" t="inlineStr">
        <is>
          <t>NORRTÄLJE</t>
        </is>
      </c>
      <c r="G372" t="n">
        <v>80.09999999999999</v>
      </c>
      <c r="H372" t="n">
        <v>0</v>
      </c>
      <c r="I372" t="n">
        <v>0</v>
      </c>
      <c r="J372" t="n">
        <v>0</v>
      </c>
      <c r="K372" t="n">
        <v>0</v>
      </c>
      <c r="L372" t="n">
        <v>0</v>
      </c>
      <c r="M372" t="n">
        <v>0</v>
      </c>
      <c r="N372" t="n">
        <v>0</v>
      </c>
      <c r="O372" t="n">
        <v>0</v>
      </c>
      <c r="P372" t="n">
        <v>0</v>
      </c>
      <c r="Q372" t="n">
        <v>0</v>
      </c>
      <c r="R372" s="2" t="inlineStr"/>
    </row>
    <row r="373" ht="15" customHeight="1">
      <c r="A373" t="inlineStr">
        <is>
          <t>A 21849-2020</t>
        </is>
      </c>
      <c r="B373" s="1" t="n">
        <v>43958</v>
      </c>
      <c r="C373" s="1" t="n">
        <v>45471</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21875-2020</t>
        </is>
      </c>
      <c r="B374" s="1" t="n">
        <v>43958</v>
      </c>
      <c r="C374" s="1" t="n">
        <v>45471</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23751-2020</t>
        </is>
      </c>
      <c r="B375" s="1" t="n">
        <v>43970</v>
      </c>
      <c r="C375" s="1" t="n">
        <v>45471</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24136-2020</t>
        </is>
      </c>
      <c r="B376" s="1" t="n">
        <v>43973</v>
      </c>
      <c r="C376" s="1" t="n">
        <v>45471</v>
      </c>
      <c r="D376" t="inlineStr">
        <is>
          <t>STOCKHOLMS LÄN</t>
        </is>
      </c>
      <c r="E376" t="inlineStr">
        <is>
          <t>NORRTÄLJE</t>
        </is>
      </c>
      <c r="G376" t="n">
        <v>4.1</v>
      </c>
      <c r="H376" t="n">
        <v>0</v>
      </c>
      <c r="I376" t="n">
        <v>0</v>
      </c>
      <c r="J376" t="n">
        <v>0</v>
      </c>
      <c r="K376" t="n">
        <v>0</v>
      </c>
      <c r="L376" t="n">
        <v>0</v>
      </c>
      <c r="M376" t="n">
        <v>0</v>
      </c>
      <c r="N376" t="n">
        <v>0</v>
      </c>
      <c r="O376" t="n">
        <v>0</v>
      </c>
      <c r="P376" t="n">
        <v>0</v>
      </c>
      <c r="Q376" t="n">
        <v>0</v>
      </c>
      <c r="R376" s="2" t="inlineStr"/>
    </row>
    <row r="377" ht="15" customHeight="1">
      <c r="A377" t="inlineStr">
        <is>
          <t>A 25584-2020</t>
        </is>
      </c>
      <c r="B377" s="1" t="n">
        <v>43983</v>
      </c>
      <c r="C377" s="1" t="n">
        <v>45471</v>
      </c>
      <c r="D377" t="inlineStr">
        <is>
          <t>STOCKHOLMS LÄN</t>
        </is>
      </c>
      <c r="E377" t="inlineStr">
        <is>
          <t>NORRTÄLJE</t>
        </is>
      </c>
      <c r="G377" t="n">
        <v>2</v>
      </c>
      <c r="H377" t="n">
        <v>0</v>
      </c>
      <c r="I377" t="n">
        <v>0</v>
      </c>
      <c r="J377" t="n">
        <v>0</v>
      </c>
      <c r="K377" t="n">
        <v>0</v>
      </c>
      <c r="L377" t="n">
        <v>0</v>
      </c>
      <c r="M377" t="n">
        <v>0</v>
      </c>
      <c r="N377" t="n">
        <v>0</v>
      </c>
      <c r="O377" t="n">
        <v>0</v>
      </c>
      <c r="P377" t="n">
        <v>0</v>
      </c>
      <c r="Q377" t="n">
        <v>0</v>
      </c>
      <c r="R377" s="2" t="inlineStr"/>
    </row>
    <row r="378" ht="15" customHeight="1">
      <c r="A378" t="inlineStr">
        <is>
          <t>A 25589-2020</t>
        </is>
      </c>
      <c r="B378" s="1" t="n">
        <v>43983</v>
      </c>
      <c r="C378" s="1" t="n">
        <v>45471</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25897-2020</t>
        </is>
      </c>
      <c r="B379" s="1" t="n">
        <v>43984</v>
      </c>
      <c r="C379" s="1" t="n">
        <v>45471</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28495-2020</t>
        </is>
      </c>
      <c r="B380" s="1" t="n">
        <v>43999</v>
      </c>
      <c r="C380" s="1" t="n">
        <v>45471</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30600-2020</t>
        </is>
      </c>
      <c r="B381" s="1" t="n">
        <v>44008</v>
      </c>
      <c r="C381" s="1" t="n">
        <v>45471</v>
      </c>
      <c r="D381" t="inlineStr">
        <is>
          <t>STOCKHOLMS LÄN</t>
        </is>
      </c>
      <c r="E381" t="inlineStr">
        <is>
          <t>NORRTÄLJE</t>
        </is>
      </c>
      <c r="G381" t="n">
        <v>3.3</v>
      </c>
      <c r="H381" t="n">
        <v>0</v>
      </c>
      <c r="I381" t="n">
        <v>0</v>
      </c>
      <c r="J381" t="n">
        <v>0</v>
      </c>
      <c r="K381" t="n">
        <v>0</v>
      </c>
      <c r="L381" t="n">
        <v>0</v>
      </c>
      <c r="M381" t="n">
        <v>0</v>
      </c>
      <c r="N381" t="n">
        <v>0</v>
      </c>
      <c r="O381" t="n">
        <v>0</v>
      </c>
      <c r="P381" t="n">
        <v>0</v>
      </c>
      <c r="Q381" t="n">
        <v>0</v>
      </c>
      <c r="R381" s="2" t="inlineStr"/>
    </row>
    <row r="382" ht="15" customHeight="1">
      <c r="A382" t="inlineStr">
        <is>
          <t>A 31783-2020</t>
        </is>
      </c>
      <c r="B382" s="1" t="n">
        <v>44014</v>
      </c>
      <c r="C382" s="1" t="n">
        <v>45471</v>
      </c>
      <c r="D382" t="inlineStr">
        <is>
          <t>STOCKHOLMS LÄN</t>
        </is>
      </c>
      <c r="E382" t="inlineStr">
        <is>
          <t>NORRTÄLJE</t>
        </is>
      </c>
      <c r="G382" t="n">
        <v>4.8</v>
      </c>
      <c r="H382" t="n">
        <v>0</v>
      </c>
      <c r="I382" t="n">
        <v>0</v>
      </c>
      <c r="J382" t="n">
        <v>0</v>
      </c>
      <c r="K382" t="n">
        <v>0</v>
      </c>
      <c r="L382" t="n">
        <v>0</v>
      </c>
      <c r="M382" t="n">
        <v>0</v>
      </c>
      <c r="N382" t="n">
        <v>0</v>
      </c>
      <c r="O382" t="n">
        <v>0</v>
      </c>
      <c r="P382" t="n">
        <v>0</v>
      </c>
      <c r="Q382" t="n">
        <v>0</v>
      </c>
      <c r="R382" s="2" t="inlineStr"/>
    </row>
    <row r="383" ht="15" customHeight="1">
      <c r="A383" t="inlineStr">
        <is>
          <t>A 33749-2020</t>
        </is>
      </c>
      <c r="B383" s="1" t="n">
        <v>44026</v>
      </c>
      <c r="C383" s="1" t="n">
        <v>45471</v>
      </c>
      <c r="D383" t="inlineStr">
        <is>
          <t>STOCKHOLMS LÄN</t>
        </is>
      </c>
      <c r="E383" t="inlineStr">
        <is>
          <t>NORRTÄLJE</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34651-2020</t>
        </is>
      </c>
      <c r="B384" s="1" t="n">
        <v>44034</v>
      </c>
      <c r="C384" s="1" t="n">
        <v>45471</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34650-2020</t>
        </is>
      </c>
      <c r="B385" s="1" t="n">
        <v>44034</v>
      </c>
      <c r="C385" s="1" t="n">
        <v>45471</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36314-2020</t>
        </is>
      </c>
      <c r="B386" s="1" t="n">
        <v>44049</v>
      </c>
      <c r="C386" s="1" t="n">
        <v>45471</v>
      </c>
      <c r="D386" t="inlineStr">
        <is>
          <t>STOCKHOLMS LÄN</t>
        </is>
      </c>
      <c r="E386" t="inlineStr">
        <is>
          <t>NORRTÄLJE</t>
        </is>
      </c>
      <c r="G386" t="n">
        <v>5</v>
      </c>
      <c r="H386" t="n">
        <v>0</v>
      </c>
      <c r="I386" t="n">
        <v>0</v>
      </c>
      <c r="J386" t="n">
        <v>0</v>
      </c>
      <c r="K386" t="n">
        <v>0</v>
      </c>
      <c r="L386" t="n">
        <v>0</v>
      </c>
      <c r="M386" t="n">
        <v>0</v>
      </c>
      <c r="N386" t="n">
        <v>0</v>
      </c>
      <c r="O386" t="n">
        <v>0</v>
      </c>
      <c r="P386" t="n">
        <v>0</v>
      </c>
      <c r="Q386" t="n">
        <v>0</v>
      </c>
      <c r="R386" s="2" t="inlineStr"/>
    </row>
    <row r="387" ht="15" customHeight="1">
      <c r="A387" t="inlineStr">
        <is>
          <t>A 36359-2020</t>
        </is>
      </c>
      <c r="B387" s="1" t="n">
        <v>44049</v>
      </c>
      <c r="C387" s="1" t="n">
        <v>45471</v>
      </c>
      <c r="D387" t="inlineStr">
        <is>
          <t>STOCKHOLMS LÄN</t>
        </is>
      </c>
      <c r="E387" t="inlineStr">
        <is>
          <t>NORRTÄLJE</t>
        </is>
      </c>
      <c r="G387" t="n">
        <v>6.5</v>
      </c>
      <c r="H387" t="n">
        <v>0</v>
      </c>
      <c r="I387" t="n">
        <v>0</v>
      </c>
      <c r="J387" t="n">
        <v>0</v>
      </c>
      <c r="K387" t="n">
        <v>0</v>
      </c>
      <c r="L387" t="n">
        <v>0</v>
      </c>
      <c r="M387" t="n">
        <v>0</v>
      </c>
      <c r="N387" t="n">
        <v>0</v>
      </c>
      <c r="O387" t="n">
        <v>0</v>
      </c>
      <c r="P387" t="n">
        <v>0</v>
      </c>
      <c r="Q387" t="n">
        <v>0</v>
      </c>
      <c r="R387" s="2" t="inlineStr"/>
    </row>
    <row r="388" ht="15" customHeight="1">
      <c r="A388" t="inlineStr">
        <is>
          <t>A 40837-2020</t>
        </is>
      </c>
      <c r="B388" s="1" t="n">
        <v>44067</v>
      </c>
      <c r="C388" s="1" t="n">
        <v>45471</v>
      </c>
      <c r="D388" t="inlineStr">
        <is>
          <t>STOCKHOLMS LÄN</t>
        </is>
      </c>
      <c r="E388" t="inlineStr">
        <is>
          <t>NORRTÄLJE</t>
        </is>
      </c>
      <c r="G388" t="n">
        <v>20.6</v>
      </c>
      <c r="H388" t="n">
        <v>0</v>
      </c>
      <c r="I388" t="n">
        <v>0</v>
      </c>
      <c r="J388" t="n">
        <v>0</v>
      </c>
      <c r="K388" t="n">
        <v>0</v>
      </c>
      <c r="L388" t="n">
        <v>0</v>
      </c>
      <c r="M388" t="n">
        <v>0</v>
      </c>
      <c r="N388" t="n">
        <v>0</v>
      </c>
      <c r="O388" t="n">
        <v>0</v>
      </c>
      <c r="P388" t="n">
        <v>0</v>
      </c>
      <c r="Q388" t="n">
        <v>0</v>
      </c>
      <c r="R388" s="2" t="inlineStr"/>
    </row>
    <row r="389" ht="15" customHeight="1">
      <c r="A389" t="inlineStr">
        <is>
          <t>A 40661-2020</t>
        </is>
      </c>
      <c r="B389" s="1" t="n">
        <v>44069</v>
      </c>
      <c r="C389" s="1" t="n">
        <v>45471</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42247-2020</t>
        </is>
      </c>
      <c r="B390" s="1" t="n">
        <v>44074</v>
      </c>
      <c r="C390" s="1" t="n">
        <v>45471</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42256-2020</t>
        </is>
      </c>
      <c r="B391" s="1" t="n">
        <v>44074</v>
      </c>
      <c r="C391" s="1" t="n">
        <v>45471</v>
      </c>
      <c r="D391" t="inlineStr">
        <is>
          <t>STOCKHOLMS LÄN</t>
        </is>
      </c>
      <c r="E391" t="inlineStr">
        <is>
          <t>NORRTÄLJE</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41694-2020</t>
        </is>
      </c>
      <c r="B392" s="1" t="n">
        <v>44074</v>
      </c>
      <c r="C392" s="1" t="n">
        <v>45471</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42365-2020</t>
        </is>
      </c>
      <c r="B393" s="1" t="n">
        <v>44076</v>
      </c>
      <c r="C393" s="1" t="n">
        <v>45471</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42361-2020</t>
        </is>
      </c>
      <c r="B394" s="1" t="n">
        <v>44076</v>
      </c>
      <c r="C394" s="1" t="n">
        <v>45471</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42455-2020</t>
        </is>
      </c>
      <c r="B395" s="1" t="n">
        <v>44076</v>
      </c>
      <c r="C395" s="1" t="n">
        <v>45471</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43751-2020</t>
        </is>
      </c>
      <c r="B396" s="1" t="n">
        <v>44082</v>
      </c>
      <c r="C396" s="1" t="n">
        <v>45471</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44096-2020</t>
        </is>
      </c>
      <c r="B397" s="1" t="n">
        <v>44083</v>
      </c>
      <c r="C397" s="1" t="n">
        <v>45471</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44071-2020</t>
        </is>
      </c>
      <c r="B398" s="1" t="n">
        <v>44083</v>
      </c>
      <c r="C398" s="1" t="n">
        <v>45471</v>
      </c>
      <c r="D398" t="inlineStr">
        <is>
          <t>STOCKHOLMS LÄN</t>
        </is>
      </c>
      <c r="E398" t="inlineStr">
        <is>
          <t>NORRTÄLJE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44183-2020</t>
        </is>
      </c>
      <c r="B399" s="1" t="n">
        <v>44083</v>
      </c>
      <c r="C399" s="1" t="n">
        <v>45471</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44792-2020</t>
        </is>
      </c>
      <c r="B400" s="1" t="n">
        <v>44085</v>
      </c>
      <c r="C400" s="1" t="n">
        <v>45471</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45988-2020</t>
        </is>
      </c>
      <c r="B401" s="1" t="n">
        <v>44091</v>
      </c>
      <c r="C401" s="1" t="n">
        <v>45471</v>
      </c>
      <c r="D401" t="inlineStr">
        <is>
          <t>STOCKHOLMS LÄN</t>
        </is>
      </c>
      <c r="E401" t="inlineStr">
        <is>
          <t>NORRTÄLJE</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46556-2020</t>
        </is>
      </c>
      <c r="B402" s="1" t="n">
        <v>44095</v>
      </c>
      <c r="C402" s="1" t="n">
        <v>45471</v>
      </c>
      <c r="D402" t="inlineStr">
        <is>
          <t>STOCKHOLMS LÄN</t>
        </is>
      </c>
      <c r="E402" t="inlineStr">
        <is>
          <t>NORRTÄLJE</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47291-2020</t>
        </is>
      </c>
      <c r="B403" s="1" t="n">
        <v>44097</v>
      </c>
      <c r="C403" s="1" t="n">
        <v>45471</v>
      </c>
      <c r="D403" t="inlineStr">
        <is>
          <t>STOCKHOLMS LÄN</t>
        </is>
      </c>
      <c r="E403" t="inlineStr">
        <is>
          <t>NORRTÄLJE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48392-2020</t>
        </is>
      </c>
      <c r="B404" s="1" t="n">
        <v>44097</v>
      </c>
      <c r="C404" s="1" t="n">
        <v>45471</v>
      </c>
      <c r="D404" t="inlineStr">
        <is>
          <t>STOCKHOLMS LÄN</t>
        </is>
      </c>
      <c r="E404" t="inlineStr">
        <is>
          <t>NORRTÄLJE</t>
        </is>
      </c>
      <c r="G404" t="n">
        <v>12.5</v>
      </c>
      <c r="H404" t="n">
        <v>0</v>
      </c>
      <c r="I404" t="n">
        <v>0</v>
      </c>
      <c r="J404" t="n">
        <v>0</v>
      </c>
      <c r="K404" t="n">
        <v>0</v>
      </c>
      <c r="L404" t="n">
        <v>0</v>
      </c>
      <c r="M404" t="n">
        <v>0</v>
      </c>
      <c r="N404" t="n">
        <v>0</v>
      </c>
      <c r="O404" t="n">
        <v>0</v>
      </c>
      <c r="P404" t="n">
        <v>0</v>
      </c>
      <c r="Q404" t="n">
        <v>0</v>
      </c>
      <c r="R404" s="2" t="inlineStr"/>
    </row>
    <row r="405" ht="15" customHeight="1">
      <c r="A405" t="inlineStr">
        <is>
          <t>A 47869-2020</t>
        </is>
      </c>
      <c r="B405" s="1" t="n">
        <v>44098</v>
      </c>
      <c r="C405" s="1" t="n">
        <v>45471</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47868-2020</t>
        </is>
      </c>
      <c r="B406" s="1" t="n">
        <v>44098</v>
      </c>
      <c r="C406" s="1" t="n">
        <v>45471</v>
      </c>
      <c r="D406" t="inlineStr">
        <is>
          <t>STOCKHOLMS LÄN</t>
        </is>
      </c>
      <c r="E406" t="inlineStr">
        <is>
          <t>NORRTÄLJE</t>
        </is>
      </c>
      <c r="G406" t="n">
        <v>4.7</v>
      </c>
      <c r="H406" t="n">
        <v>0</v>
      </c>
      <c r="I406" t="n">
        <v>0</v>
      </c>
      <c r="J406" t="n">
        <v>0</v>
      </c>
      <c r="K406" t="n">
        <v>0</v>
      </c>
      <c r="L406" t="n">
        <v>0</v>
      </c>
      <c r="M406" t="n">
        <v>0</v>
      </c>
      <c r="N406" t="n">
        <v>0</v>
      </c>
      <c r="O406" t="n">
        <v>0</v>
      </c>
      <c r="P406" t="n">
        <v>0</v>
      </c>
      <c r="Q406" t="n">
        <v>0</v>
      </c>
      <c r="R406" s="2" t="inlineStr"/>
    </row>
    <row r="407" ht="15" customHeight="1">
      <c r="A407" t="inlineStr">
        <is>
          <t>A 48066-2020</t>
        </is>
      </c>
      <c r="B407" s="1" t="n">
        <v>44100</v>
      </c>
      <c r="C407" s="1" t="n">
        <v>45471</v>
      </c>
      <c r="D407" t="inlineStr">
        <is>
          <t>STOCKHOLMS LÄN</t>
        </is>
      </c>
      <c r="E407" t="inlineStr">
        <is>
          <t>NORRTÄLJE</t>
        </is>
      </c>
      <c r="G407" t="n">
        <v>3.7</v>
      </c>
      <c r="H407" t="n">
        <v>0</v>
      </c>
      <c r="I407" t="n">
        <v>0</v>
      </c>
      <c r="J407" t="n">
        <v>0</v>
      </c>
      <c r="K407" t="n">
        <v>0</v>
      </c>
      <c r="L407" t="n">
        <v>0</v>
      </c>
      <c r="M407" t="n">
        <v>0</v>
      </c>
      <c r="N407" t="n">
        <v>0</v>
      </c>
      <c r="O407" t="n">
        <v>0</v>
      </c>
      <c r="P407" t="n">
        <v>0</v>
      </c>
      <c r="Q407" t="n">
        <v>0</v>
      </c>
      <c r="R407" s="2" t="inlineStr"/>
    </row>
    <row r="408" ht="15" customHeight="1">
      <c r="A408" t="inlineStr">
        <is>
          <t>A 48071-2020</t>
        </is>
      </c>
      <c r="B408" s="1" t="n">
        <v>44100</v>
      </c>
      <c r="C408" s="1" t="n">
        <v>45471</v>
      </c>
      <c r="D408" t="inlineStr">
        <is>
          <t>STOCKHOLMS LÄN</t>
        </is>
      </c>
      <c r="E408" t="inlineStr">
        <is>
          <t>NORRTÄLJE</t>
        </is>
      </c>
      <c r="G408" t="n">
        <v>6.8</v>
      </c>
      <c r="H408" t="n">
        <v>0</v>
      </c>
      <c r="I408" t="n">
        <v>0</v>
      </c>
      <c r="J408" t="n">
        <v>0</v>
      </c>
      <c r="K408" t="n">
        <v>0</v>
      </c>
      <c r="L408" t="n">
        <v>0</v>
      </c>
      <c r="M408" t="n">
        <v>0</v>
      </c>
      <c r="N408" t="n">
        <v>0</v>
      </c>
      <c r="O408" t="n">
        <v>0</v>
      </c>
      <c r="P408" t="n">
        <v>0</v>
      </c>
      <c r="Q408" t="n">
        <v>0</v>
      </c>
      <c r="R408" s="2" t="inlineStr"/>
    </row>
    <row r="409" ht="15" customHeight="1">
      <c r="A409" t="inlineStr">
        <is>
          <t>A 48496-2020</t>
        </is>
      </c>
      <c r="B409" s="1" t="n">
        <v>44103</v>
      </c>
      <c r="C409" s="1" t="n">
        <v>45471</v>
      </c>
      <c r="D409" t="inlineStr">
        <is>
          <t>STOCKHOLMS LÄN</t>
        </is>
      </c>
      <c r="E409" t="inlineStr">
        <is>
          <t>NORRTÄLJE</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48522-2020</t>
        </is>
      </c>
      <c r="B410" s="1" t="n">
        <v>44103</v>
      </c>
      <c r="C410" s="1" t="n">
        <v>45471</v>
      </c>
      <c r="D410" t="inlineStr">
        <is>
          <t>STOCKHOLMS LÄN</t>
        </is>
      </c>
      <c r="E410" t="inlineStr">
        <is>
          <t>NORRTÄLJE</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49334-2020</t>
        </is>
      </c>
      <c r="B411" s="1" t="n">
        <v>44105</v>
      </c>
      <c r="C411" s="1" t="n">
        <v>45471</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49327-2020</t>
        </is>
      </c>
      <c r="B412" s="1" t="n">
        <v>44105</v>
      </c>
      <c r="C412" s="1" t="n">
        <v>45471</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49898-2020</t>
        </is>
      </c>
      <c r="B413" s="1" t="n">
        <v>44108</v>
      </c>
      <c r="C413" s="1" t="n">
        <v>45471</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50497-2020</t>
        </is>
      </c>
      <c r="B414" s="1" t="n">
        <v>44110</v>
      </c>
      <c r="C414" s="1" t="n">
        <v>45471</v>
      </c>
      <c r="D414" t="inlineStr">
        <is>
          <t>STOCKHOLMS LÄN</t>
        </is>
      </c>
      <c r="E414" t="inlineStr">
        <is>
          <t>NORRTÄLJE</t>
        </is>
      </c>
      <c r="F414" t="inlineStr">
        <is>
          <t>Holmen skog AB</t>
        </is>
      </c>
      <c r="G414" t="n">
        <v>4.3</v>
      </c>
      <c r="H414" t="n">
        <v>0</v>
      </c>
      <c r="I414" t="n">
        <v>0</v>
      </c>
      <c r="J414" t="n">
        <v>0</v>
      </c>
      <c r="K414" t="n">
        <v>0</v>
      </c>
      <c r="L414" t="n">
        <v>0</v>
      </c>
      <c r="M414" t="n">
        <v>0</v>
      </c>
      <c r="N414" t="n">
        <v>0</v>
      </c>
      <c r="O414" t="n">
        <v>0</v>
      </c>
      <c r="P414" t="n">
        <v>0</v>
      </c>
      <c r="Q414" t="n">
        <v>0</v>
      </c>
      <c r="R414" s="2" t="inlineStr"/>
    </row>
    <row r="415" ht="15" customHeight="1">
      <c r="A415" t="inlineStr">
        <is>
          <t>A 50738-2020</t>
        </is>
      </c>
      <c r="B415" s="1" t="n">
        <v>44111</v>
      </c>
      <c r="C415" s="1" t="n">
        <v>45471</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50746-2020</t>
        </is>
      </c>
      <c r="B416" s="1" t="n">
        <v>44111</v>
      </c>
      <c r="C416" s="1" t="n">
        <v>45471</v>
      </c>
      <c r="D416" t="inlineStr">
        <is>
          <t>STOCKHOLMS LÄN</t>
        </is>
      </c>
      <c r="E416" t="inlineStr">
        <is>
          <t>NORRTÄLJE</t>
        </is>
      </c>
      <c r="G416" t="n">
        <v>4.9</v>
      </c>
      <c r="H416" t="n">
        <v>0</v>
      </c>
      <c r="I416" t="n">
        <v>0</v>
      </c>
      <c r="J416" t="n">
        <v>0</v>
      </c>
      <c r="K416" t="n">
        <v>0</v>
      </c>
      <c r="L416" t="n">
        <v>0</v>
      </c>
      <c r="M416" t="n">
        <v>0</v>
      </c>
      <c r="N416" t="n">
        <v>0</v>
      </c>
      <c r="O416" t="n">
        <v>0</v>
      </c>
      <c r="P416" t="n">
        <v>0</v>
      </c>
      <c r="Q416" t="n">
        <v>0</v>
      </c>
      <c r="R416" s="2" t="inlineStr"/>
    </row>
    <row r="417" ht="15" customHeight="1">
      <c r="A417" t="inlineStr">
        <is>
          <t>A 50742-2020</t>
        </is>
      </c>
      <c r="B417" s="1" t="n">
        <v>44111</v>
      </c>
      <c r="C417" s="1" t="n">
        <v>45471</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51720-2020</t>
        </is>
      </c>
      <c r="B418" s="1" t="n">
        <v>44113</v>
      </c>
      <c r="C418" s="1" t="n">
        <v>45471</v>
      </c>
      <c r="D418" t="inlineStr">
        <is>
          <t>STOCKHOLMS LÄN</t>
        </is>
      </c>
      <c r="E418" t="inlineStr">
        <is>
          <t>NORRTÄLJE</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51787-2020</t>
        </is>
      </c>
      <c r="B419" s="1" t="n">
        <v>44116</v>
      </c>
      <c r="C419" s="1" t="n">
        <v>45471</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51798-2020</t>
        </is>
      </c>
      <c r="B420" s="1" t="n">
        <v>44116</v>
      </c>
      <c r="C420" s="1" t="n">
        <v>45471</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53768-2020</t>
        </is>
      </c>
      <c r="B421" s="1" t="n">
        <v>44123</v>
      </c>
      <c r="C421" s="1" t="n">
        <v>45471</v>
      </c>
      <c r="D421" t="inlineStr">
        <is>
          <t>STOCKHOLMS LÄN</t>
        </is>
      </c>
      <c r="E421" t="inlineStr">
        <is>
          <t>NORRTÄLJE</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53652-2020</t>
        </is>
      </c>
      <c r="B422" s="1" t="n">
        <v>44124</v>
      </c>
      <c r="C422" s="1" t="n">
        <v>45471</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53690-2020</t>
        </is>
      </c>
      <c r="B423" s="1" t="n">
        <v>44124</v>
      </c>
      <c r="C423" s="1" t="n">
        <v>45471</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53607-2020</t>
        </is>
      </c>
      <c r="B424" s="1" t="n">
        <v>44124</v>
      </c>
      <c r="C424" s="1" t="n">
        <v>45471</v>
      </c>
      <c r="D424" t="inlineStr">
        <is>
          <t>STOCKHOLMS LÄN</t>
        </is>
      </c>
      <c r="E424" t="inlineStr">
        <is>
          <t>NORRTÄLJE</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55089-2020</t>
        </is>
      </c>
      <c r="B425" s="1" t="n">
        <v>44130</v>
      </c>
      <c r="C425" s="1" t="n">
        <v>45471</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55895-2020</t>
        </is>
      </c>
      <c r="B426" s="1" t="n">
        <v>44132</v>
      </c>
      <c r="C426" s="1" t="n">
        <v>45471</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55890-2020</t>
        </is>
      </c>
      <c r="B427" s="1" t="n">
        <v>44132</v>
      </c>
      <c r="C427" s="1" t="n">
        <v>45471</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55982-2020</t>
        </is>
      </c>
      <c r="B428" s="1" t="n">
        <v>44132</v>
      </c>
      <c r="C428" s="1" t="n">
        <v>45471</v>
      </c>
      <c r="D428" t="inlineStr">
        <is>
          <t>STOCKHOLMS LÄN</t>
        </is>
      </c>
      <c r="E428" t="inlineStr">
        <is>
          <t>NORRTÄLJE</t>
        </is>
      </c>
      <c r="G428" t="n">
        <v>11.3</v>
      </c>
      <c r="H428" t="n">
        <v>0</v>
      </c>
      <c r="I428" t="n">
        <v>0</v>
      </c>
      <c r="J428" t="n">
        <v>0</v>
      </c>
      <c r="K428" t="n">
        <v>0</v>
      </c>
      <c r="L428" t="n">
        <v>0</v>
      </c>
      <c r="M428" t="n">
        <v>0</v>
      </c>
      <c r="N428" t="n">
        <v>0</v>
      </c>
      <c r="O428" t="n">
        <v>0</v>
      </c>
      <c r="P428" t="n">
        <v>0</v>
      </c>
      <c r="Q428" t="n">
        <v>0</v>
      </c>
      <c r="R428" s="2" t="inlineStr"/>
    </row>
    <row r="429" ht="15" customHeight="1">
      <c r="A429" t="inlineStr">
        <is>
          <t>A 56166-2020</t>
        </is>
      </c>
      <c r="B429" s="1" t="n">
        <v>44133</v>
      </c>
      <c r="C429" s="1" t="n">
        <v>45471</v>
      </c>
      <c r="D429" t="inlineStr">
        <is>
          <t>STOCKHOLMS LÄN</t>
        </is>
      </c>
      <c r="E429" t="inlineStr">
        <is>
          <t>NORRTÄLJE</t>
        </is>
      </c>
      <c r="G429" t="n">
        <v>4.4</v>
      </c>
      <c r="H429" t="n">
        <v>0</v>
      </c>
      <c r="I429" t="n">
        <v>0</v>
      </c>
      <c r="J429" t="n">
        <v>0</v>
      </c>
      <c r="K429" t="n">
        <v>0</v>
      </c>
      <c r="L429" t="n">
        <v>0</v>
      </c>
      <c r="M429" t="n">
        <v>0</v>
      </c>
      <c r="N429" t="n">
        <v>0</v>
      </c>
      <c r="O429" t="n">
        <v>0</v>
      </c>
      <c r="P429" t="n">
        <v>0</v>
      </c>
      <c r="Q429" t="n">
        <v>0</v>
      </c>
      <c r="R429" s="2" t="inlineStr"/>
    </row>
    <row r="430" ht="15" customHeight="1">
      <c r="A430" t="inlineStr">
        <is>
          <t>A 56323-2020</t>
        </is>
      </c>
      <c r="B430" s="1" t="n">
        <v>44134</v>
      </c>
      <c r="C430" s="1" t="n">
        <v>45471</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57216-2020</t>
        </is>
      </c>
      <c r="B431" s="1" t="n">
        <v>44139</v>
      </c>
      <c r="C431" s="1" t="n">
        <v>45471</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57957-2020</t>
        </is>
      </c>
      <c r="B432" s="1" t="n">
        <v>44143</v>
      </c>
      <c r="C432" s="1" t="n">
        <v>45471</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57987-2020</t>
        </is>
      </c>
      <c r="B433" s="1" t="n">
        <v>44143</v>
      </c>
      <c r="C433" s="1" t="n">
        <v>45471</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58493-2020</t>
        </is>
      </c>
      <c r="B434" s="1" t="n">
        <v>44145</v>
      </c>
      <c r="C434" s="1" t="n">
        <v>45471</v>
      </c>
      <c r="D434" t="inlineStr">
        <is>
          <t>STOCKHOLMS LÄN</t>
        </is>
      </c>
      <c r="E434" t="inlineStr">
        <is>
          <t>NORRTÄLJE</t>
        </is>
      </c>
      <c r="G434" t="n">
        <v>2.8</v>
      </c>
      <c r="H434" t="n">
        <v>0</v>
      </c>
      <c r="I434" t="n">
        <v>0</v>
      </c>
      <c r="J434" t="n">
        <v>0</v>
      </c>
      <c r="K434" t="n">
        <v>0</v>
      </c>
      <c r="L434" t="n">
        <v>0</v>
      </c>
      <c r="M434" t="n">
        <v>0</v>
      </c>
      <c r="N434" t="n">
        <v>0</v>
      </c>
      <c r="O434" t="n">
        <v>0</v>
      </c>
      <c r="P434" t="n">
        <v>0</v>
      </c>
      <c r="Q434" t="n">
        <v>0</v>
      </c>
      <c r="R434" s="2" t="inlineStr"/>
    </row>
    <row r="435" ht="15" customHeight="1">
      <c r="A435" t="inlineStr">
        <is>
          <t>A 58661-2020</t>
        </is>
      </c>
      <c r="B435" s="1" t="n">
        <v>44145</v>
      </c>
      <c r="C435" s="1" t="n">
        <v>45471</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58665-2020</t>
        </is>
      </c>
      <c r="B436" s="1" t="n">
        <v>44145</v>
      </c>
      <c r="C436" s="1" t="n">
        <v>45471</v>
      </c>
      <c r="D436" t="inlineStr">
        <is>
          <t>STOCKHOLMS LÄN</t>
        </is>
      </c>
      <c r="E436" t="inlineStr">
        <is>
          <t>NORRTÄLJE</t>
        </is>
      </c>
      <c r="G436" t="n">
        <v>5.2</v>
      </c>
      <c r="H436" t="n">
        <v>0</v>
      </c>
      <c r="I436" t="n">
        <v>0</v>
      </c>
      <c r="J436" t="n">
        <v>0</v>
      </c>
      <c r="K436" t="n">
        <v>0</v>
      </c>
      <c r="L436" t="n">
        <v>0</v>
      </c>
      <c r="M436" t="n">
        <v>0</v>
      </c>
      <c r="N436" t="n">
        <v>0</v>
      </c>
      <c r="O436" t="n">
        <v>0</v>
      </c>
      <c r="P436" t="n">
        <v>0</v>
      </c>
      <c r="Q436" t="n">
        <v>0</v>
      </c>
      <c r="R436" s="2" t="inlineStr"/>
    </row>
    <row r="437" ht="15" customHeight="1">
      <c r="A437" t="inlineStr">
        <is>
          <t>A 58888-2020</t>
        </is>
      </c>
      <c r="B437" s="1" t="n">
        <v>44146</v>
      </c>
      <c r="C437" s="1" t="n">
        <v>45471</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60321-2020</t>
        </is>
      </c>
      <c r="B438" s="1" t="n">
        <v>44152</v>
      </c>
      <c r="C438" s="1" t="n">
        <v>45471</v>
      </c>
      <c r="D438" t="inlineStr">
        <is>
          <t>STOCKHOLMS LÄN</t>
        </is>
      </c>
      <c r="E438" t="inlineStr">
        <is>
          <t>NORRTÄLJE</t>
        </is>
      </c>
      <c r="F438" t="inlineStr">
        <is>
          <t>Holmen skog AB</t>
        </is>
      </c>
      <c r="G438" t="n">
        <v>3.4</v>
      </c>
      <c r="H438" t="n">
        <v>0</v>
      </c>
      <c r="I438" t="n">
        <v>0</v>
      </c>
      <c r="J438" t="n">
        <v>0</v>
      </c>
      <c r="K438" t="n">
        <v>0</v>
      </c>
      <c r="L438" t="n">
        <v>0</v>
      </c>
      <c r="M438" t="n">
        <v>0</v>
      </c>
      <c r="N438" t="n">
        <v>0</v>
      </c>
      <c r="O438" t="n">
        <v>0</v>
      </c>
      <c r="P438" t="n">
        <v>0</v>
      </c>
      <c r="Q438" t="n">
        <v>0</v>
      </c>
      <c r="R438" s="2" t="inlineStr"/>
    </row>
    <row r="439" ht="15" customHeight="1">
      <c r="A439" t="inlineStr">
        <is>
          <t>A 60542-2020</t>
        </is>
      </c>
      <c r="B439" s="1" t="n">
        <v>44153</v>
      </c>
      <c r="C439" s="1" t="n">
        <v>45471</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60977-2020</t>
        </is>
      </c>
      <c r="B440" s="1" t="n">
        <v>44154</v>
      </c>
      <c r="C440" s="1" t="n">
        <v>45471</v>
      </c>
      <c r="D440" t="inlineStr">
        <is>
          <t>STOCKHOLMS LÄN</t>
        </is>
      </c>
      <c r="E440" t="inlineStr">
        <is>
          <t>NORRTÄLJE</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60891-2020</t>
        </is>
      </c>
      <c r="B441" s="1" t="n">
        <v>44154</v>
      </c>
      <c r="C441" s="1" t="n">
        <v>45471</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60961-2020</t>
        </is>
      </c>
      <c r="B442" s="1" t="n">
        <v>44154</v>
      </c>
      <c r="C442" s="1" t="n">
        <v>45471</v>
      </c>
      <c r="D442" t="inlineStr">
        <is>
          <t>STOCKHOLMS LÄN</t>
        </is>
      </c>
      <c r="E442" t="inlineStr">
        <is>
          <t>NORRTÄLJE</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61195-2020</t>
        </is>
      </c>
      <c r="B443" s="1" t="n">
        <v>44155</v>
      </c>
      <c r="C443" s="1" t="n">
        <v>45471</v>
      </c>
      <c r="D443" t="inlineStr">
        <is>
          <t>STOCKHOLMS LÄN</t>
        </is>
      </c>
      <c r="E443" t="inlineStr">
        <is>
          <t>NORRTÄLJE</t>
        </is>
      </c>
      <c r="G443" t="n">
        <v>7.8</v>
      </c>
      <c r="H443" t="n">
        <v>0</v>
      </c>
      <c r="I443" t="n">
        <v>0</v>
      </c>
      <c r="J443" t="n">
        <v>0</v>
      </c>
      <c r="K443" t="n">
        <v>0</v>
      </c>
      <c r="L443" t="n">
        <v>0</v>
      </c>
      <c r="M443" t="n">
        <v>0</v>
      </c>
      <c r="N443" t="n">
        <v>0</v>
      </c>
      <c r="O443" t="n">
        <v>0</v>
      </c>
      <c r="P443" t="n">
        <v>0</v>
      </c>
      <c r="Q443" t="n">
        <v>0</v>
      </c>
      <c r="R443" s="2" t="inlineStr"/>
    </row>
    <row r="444" ht="15" customHeight="1">
      <c r="A444" t="inlineStr">
        <is>
          <t>A 61221-2020</t>
        </is>
      </c>
      <c r="B444" s="1" t="n">
        <v>44155</v>
      </c>
      <c r="C444" s="1" t="n">
        <v>45471</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61363-2020</t>
        </is>
      </c>
      <c r="B445" s="1" t="n">
        <v>44155</v>
      </c>
      <c r="C445" s="1" t="n">
        <v>45471</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61469-2020</t>
        </is>
      </c>
      <c r="B446" s="1" t="n">
        <v>44155</v>
      </c>
      <c r="C446" s="1" t="n">
        <v>45471</v>
      </c>
      <c r="D446" t="inlineStr">
        <is>
          <t>STOCKHOLMS LÄN</t>
        </is>
      </c>
      <c r="E446" t="inlineStr">
        <is>
          <t>NORRTÄLJE</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61192-2020</t>
        </is>
      </c>
      <c r="B447" s="1" t="n">
        <v>44155</v>
      </c>
      <c r="C447" s="1" t="n">
        <v>45471</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62460-2020</t>
        </is>
      </c>
      <c r="B448" s="1" t="n">
        <v>44160</v>
      </c>
      <c r="C448" s="1" t="n">
        <v>45471</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62854-2020</t>
        </is>
      </c>
      <c r="B449" s="1" t="n">
        <v>44161</v>
      </c>
      <c r="C449" s="1" t="n">
        <v>45471</v>
      </c>
      <c r="D449" t="inlineStr">
        <is>
          <t>STOCKHOLMS LÄN</t>
        </is>
      </c>
      <c r="E449" t="inlineStr">
        <is>
          <t>NORRTÄLJE</t>
        </is>
      </c>
      <c r="G449" t="n">
        <v>4.7</v>
      </c>
      <c r="H449" t="n">
        <v>0</v>
      </c>
      <c r="I449" t="n">
        <v>0</v>
      </c>
      <c r="J449" t="n">
        <v>0</v>
      </c>
      <c r="K449" t="n">
        <v>0</v>
      </c>
      <c r="L449" t="n">
        <v>0</v>
      </c>
      <c r="M449" t="n">
        <v>0</v>
      </c>
      <c r="N449" t="n">
        <v>0</v>
      </c>
      <c r="O449" t="n">
        <v>0</v>
      </c>
      <c r="P449" t="n">
        <v>0</v>
      </c>
      <c r="Q449" t="n">
        <v>0</v>
      </c>
      <c r="R449" s="2" t="inlineStr"/>
    </row>
    <row r="450" ht="15" customHeight="1">
      <c r="A450" t="inlineStr">
        <is>
          <t>A 63824-2020</t>
        </is>
      </c>
      <c r="B450" s="1" t="n">
        <v>44162</v>
      </c>
      <c r="C450" s="1" t="n">
        <v>45471</v>
      </c>
      <c r="D450" t="inlineStr">
        <is>
          <t>STOCKHOLMS LÄN</t>
        </is>
      </c>
      <c r="E450" t="inlineStr">
        <is>
          <t>NORRTÄLJE</t>
        </is>
      </c>
      <c r="F450" t="inlineStr">
        <is>
          <t>Övriga Aktiebolag</t>
        </is>
      </c>
      <c r="G450" t="n">
        <v>1.9</v>
      </c>
      <c r="H450" t="n">
        <v>0</v>
      </c>
      <c r="I450" t="n">
        <v>0</v>
      </c>
      <c r="J450" t="n">
        <v>0</v>
      </c>
      <c r="K450" t="n">
        <v>0</v>
      </c>
      <c r="L450" t="n">
        <v>0</v>
      </c>
      <c r="M450" t="n">
        <v>0</v>
      </c>
      <c r="N450" t="n">
        <v>0</v>
      </c>
      <c r="O450" t="n">
        <v>0</v>
      </c>
      <c r="P450" t="n">
        <v>0</v>
      </c>
      <c r="Q450" t="n">
        <v>0</v>
      </c>
      <c r="R450" s="2" t="inlineStr"/>
    </row>
    <row r="451" ht="15" customHeight="1">
      <c r="A451" t="inlineStr">
        <is>
          <t>A 66372-2020</t>
        </is>
      </c>
      <c r="B451" s="1" t="n">
        <v>44176</v>
      </c>
      <c r="C451" s="1" t="n">
        <v>45471</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66907-2020</t>
        </is>
      </c>
      <c r="B452" s="1" t="n">
        <v>44176</v>
      </c>
      <c r="C452" s="1" t="n">
        <v>45471</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67393-2020</t>
        </is>
      </c>
      <c r="B453" s="1" t="n">
        <v>44181</v>
      </c>
      <c r="C453" s="1" t="n">
        <v>45471</v>
      </c>
      <c r="D453" t="inlineStr">
        <is>
          <t>STOCKHOLMS LÄN</t>
        </is>
      </c>
      <c r="E453" t="inlineStr">
        <is>
          <t>NORRTÄLJE</t>
        </is>
      </c>
      <c r="G453" t="n">
        <v>5.5</v>
      </c>
      <c r="H453" t="n">
        <v>0</v>
      </c>
      <c r="I453" t="n">
        <v>0</v>
      </c>
      <c r="J453" t="n">
        <v>0</v>
      </c>
      <c r="K453" t="n">
        <v>0</v>
      </c>
      <c r="L453" t="n">
        <v>0</v>
      </c>
      <c r="M453" t="n">
        <v>0</v>
      </c>
      <c r="N453" t="n">
        <v>0</v>
      </c>
      <c r="O453" t="n">
        <v>0</v>
      </c>
      <c r="P453" t="n">
        <v>0</v>
      </c>
      <c r="Q453" t="n">
        <v>0</v>
      </c>
      <c r="R453" s="2" t="inlineStr"/>
    </row>
    <row r="454" ht="15" customHeight="1">
      <c r="A454" t="inlineStr">
        <is>
          <t>A 68081-2020</t>
        </is>
      </c>
      <c r="B454" s="1" t="n">
        <v>44183</v>
      </c>
      <c r="C454" s="1" t="n">
        <v>45471</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367-2021</t>
        </is>
      </c>
      <c r="B455" s="1" t="n">
        <v>44201</v>
      </c>
      <c r="C455" s="1" t="n">
        <v>45471</v>
      </c>
      <c r="D455" t="inlineStr">
        <is>
          <t>STOCKHOLMS LÄN</t>
        </is>
      </c>
      <c r="E455" t="inlineStr">
        <is>
          <t>NORRTÄLJE</t>
        </is>
      </c>
      <c r="G455" t="n">
        <v>0.1</v>
      </c>
      <c r="H455" t="n">
        <v>0</v>
      </c>
      <c r="I455" t="n">
        <v>0</v>
      </c>
      <c r="J455" t="n">
        <v>0</v>
      </c>
      <c r="K455" t="n">
        <v>0</v>
      </c>
      <c r="L455" t="n">
        <v>0</v>
      </c>
      <c r="M455" t="n">
        <v>0</v>
      </c>
      <c r="N455" t="n">
        <v>0</v>
      </c>
      <c r="O455" t="n">
        <v>0</v>
      </c>
      <c r="P455" t="n">
        <v>0</v>
      </c>
      <c r="Q455" t="n">
        <v>0</v>
      </c>
      <c r="R455" s="2" t="inlineStr"/>
    </row>
    <row r="456" ht="15" customHeight="1">
      <c r="A456" t="inlineStr">
        <is>
          <t>A 348-2021</t>
        </is>
      </c>
      <c r="B456" s="1" t="n">
        <v>44201</v>
      </c>
      <c r="C456" s="1" t="n">
        <v>45471</v>
      </c>
      <c r="D456" t="inlineStr">
        <is>
          <t>STOCKHOLMS LÄN</t>
        </is>
      </c>
      <c r="E456" t="inlineStr">
        <is>
          <t>NORRTÄLJE</t>
        </is>
      </c>
      <c r="G456" t="n">
        <v>0.1</v>
      </c>
      <c r="H456" t="n">
        <v>0</v>
      </c>
      <c r="I456" t="n">
        <v>0</v>
      </c>
      <c r="J456" t="n">
        <v>0</v>
      </c>
      <c r="K456" t="n">
        <v>0</v>
      </c>
      <c r="L456" t="n">
        <v>0</v>
      </c>
      <c r="M456" t="n">
        <v>0</v>
      </c>
      <c r="N456" t="n">
        <v>0</v>
      </c>
      <c r="O456" t="n">
        <v>0</v>
      </c>
      <c r="P456" t="n">
        <v>0</v>
      </c>
      <c r="Q456" t="n">
        <v>0</v>
      </c>
      <c r="R456" s="2" t="inlineStr"/>
    </row>
    <row r="457" ht="15" customHeight="1">
      <c r="A457" t="inlineStr">
        <is>
          <t>A 1637-2021</t>
        </is>
      </c>
      <c r="B457" s="1" t="n">
        <v>44209</v>
      </c>
      <c r="C457" s="1" t="n">
        <v>45471</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1970-2021</t>
        </is>
      </c>
      <c r="B458" s="1" t="n">
        <v>44210</v>
      </c>
      <c r="C458" s="1" t="n">
        <v>45471</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2447-2021</t>
        </is>
      </c>
      <c r="B459" s="1" t="n">
        <v>44214</v>
      </c>
      <c r="C459" s="1" t="n">
        <v>45471</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2976-2021</t>
        </is>
      </c>
      <c r="B460" s="1" t="n">
        <v>44216</v>
      </c>
      <c r="C460" s="1" t="n">
        <v>45471</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3143-2021</t>
        </is>
      </c>
      <c r="B461" s="1" t="n">
        <v>44217</v>
      </c>
      <c r="C461" s="1" t="n">
        <v>45471</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3386-2021</t>
        </is>
      </c>
      <c r="B462" s="1" t="n">
        <v>44218</v>
      </c>
      <c r="C462" s="1" t="n">
        <v>45471</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4634-2021</t>
        </is>
      </c>
      <c r="B463" s="1" t="n">
        <v>44224</v>
      </c>
      <c r="C463" s="1" t="n">
        <v>45471</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4632-2021</t>
        </is>
      </c>
      <c r="B464" s="1" t="n">
        <v>44224</v>
      </c>
      <c r="C464" s="1" t="n">
        <v>45471</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5037-2021</t>
        </is>
      </c>
      <c r="B465" s="1" t="n">
        <v>44228</v>
      </c>
      <c r="C465" s="1" t="n">
        <v>45471</v>
      </c>
      <c r="D465" t="inlineStr">
        <is>
          <t>STOCKHOLMS LÄN</t>
        </is>
      </c>
      <c r="E465" t="inlineStr">
        <is>
          <t>NORRTÄLJE</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5562-2021</t>
        </is>
      </c>
      <c r="B466" s="1" t="n">
        <v>44230</v>
      </c>
      <c r="C466" s="1" t="n">
        <v>45471</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5566-2021</t>
        </is>
      </c>
      <c r="B467" s="1" t="n">
        <v>44230</v>
      </c>
      <c r="C467" s="1" t="n">
        <v>45471</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5950-2021</t>
        </is>
      </c>
      <c r="B468" s="1" t="n">
        <v>44231</v>
      </c>
      <c r="C468" s="1" t="n">
        <v>45471</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6049-2021</t>
        </is>
      </c>
      <c r="B469" s="1" t="n">
        <v>44231</v>
      </c>
      <c r="C469" s="1" t="n">
        <v>45471</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7903-2021</t>
        </is>
      </c>
      <c r="B470" s="1" t="n">
        <v>44243</v>
      </c>
      <c r="C470" s="1" t="n">
        <v>45471</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7999-2021</t>
        </is>
      </c>
      <c r="B471" s="1" t="n">
        <v>44243</v>
      </c>
      <c r="C471" s="1" t="n">
        <v>45471</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45471</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9467-2021</t>
        </is>
      </c>
      <c r="B473" s="1" t="n">
        <v>44251</v>
      </c>
      <c r="C473" s="1" t="n">
        <v>45471</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9469-2021</t>
        </is>
      </c>
      <c r="B474" s="1" t="n">
        <v>44251</v>
      </c>
      <c r="C474" s="1" t="n">
        <v>45471</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9446-2021</t>
        </is>
      </c>
      <c r="B475" s="1" t="n">
        <v>44251</v>
      </c>
      <c r="C475" s="1" t="n">
        <v>45471</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9719-2021</t>
        </is>
      </c>
      <c r="B476" s="1" t="n">
        <v>44252</v>
      </c>
      <c r="C476" s="1" t="n">
        <v>45471</v>
      </c>
      <c r="D476" t="inlineStr">
        <is>
          <t>STOCKHOLMS LÄN</t>
        </is>
      </c>
      <c r="E476" t="inlineStr">
        <is>
          <t>NORRTÄLJE</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9703-2021</t>
        </is>
      </c>
      <c r="B477" s="1" t="n">
        <v>44252</v>
      </c>
      <c r="C477" s="1" t="n">
        <v>45471</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10687-2021</t>
        </is>
      </c>
      <c r="B478" s="1" t="n">
        <v>44258</v>
      </c>
      <c r="C478" s="1" t="n">
        <v>45471</v>
      </c>
      <c r="D478" t="inlineStr">
        <is>
          <t>STOCKHOLMS LÄN</t>
        </is>
      </c>
      <c r="E478" t="inlineStr">
        <is>
          <t>NORRTÄLJE</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10684-2021</t>
        </is>
      </c>
      <c r="B479" s="1" t="n">
        <v>44258</v>
      </c>
      <c r="C479" s="1" t="n">
        <v>45471</v>
      </c>
      <c r="D479" t="inlineStr">
        <is>
          <t>STOCKHOLMS LÄN</t>
        </is>
      </c>
      <c r="E479" t="inlineStr">
        <is>
          <t>NORRTÄLJE</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11122-2021</t>
        </is>
      </c>
      <c r="B480" s="1" t="n">
        <v>44260</v>
      </c>
      <c r="C480" s="1" t="n">
        <v>45471</v>
      </c>
      <c r="D480" t="inlineStr">
        <is>
          <t>STOCKHOLMS LÄN</t>
        </is>
      </c>
      <c r="E480" t="inlineStr">
        <is>
          <t>NORRTÄLJE</t>
        </is>
      </c>
      <c r="F480" t="inlineStr">
        <is>
          <t>Holmen skog AB</t>
        </is>
      </c>
      <c r="G480" t="n">
        <v>2.1</v>
      </c>
      <c r="H480" t="n">
        <v>0</v>
      </c>
      <c r="I480" t="n">
        <v>0</v>
      </c>
      <c r="J480" t="n">
        <v>0</v>
      </c>
      <c r="K480" t="n">
        <v>0</v>
      </c>
      <c r="L480" t="n">
        <v>0</v>
      </c>
      <c r="M480" t="n">
        <v>0</v>
      </c>
      <c r="N480" t="n">
        <v>0</v>
      </c>
      <c r="O480" t="n">
        <v>0</v>
      </c>
      <c r="P480" t="n">
        <v>0</v>
      </c>
      <c r="Q480" t="n">
        <v>0</v>
      </c>
      <c r="R480" s="2" t="inlineStr"/>
    </row>
    <row r="481" ht="15" customHeight="1">
      <c r="A481" t="inlineStr">
        <is>
          <t>A 11438-2021</t>
        </is>
      </c>
      <c r="B481" s="1" t="n">
        <v>44263</v>
      </c>
      <c r="C481" s="1" t="n">
        <v>45471</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11988-2021</t>
        </is>
      </c>
      <c r="B482" s="1" t="n">
        <v>44266</v>
      </c>
      <c r="C482" s="1" t="n">
        <v>45471</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12031-2021</t>
        </is>
      </c>
      <c r="B483" s="1" t="n">
        <v>44266</v>
      </c>
      <c r="C483" s="1" t="n">
        <v>45471</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12111-2021</t>
        </is>
      </c>
      <c r="B484" s="1" t="n">
        <v>44266</v>
      </c>
      <c r="C484" s="1" t="n">
        <v>45471</v>
      </c>
      <c r="D484" t="inlineStr">
        <is>
          <t>STOCKHOLMS LÄN</t>
        </is>
      </c>
      <c r="E484" t="inlineStr">
        <is>
          <t>NORRTÄLJE</t>
        </is>
      </c>
      <c r="G484" t="n">
        <v>5.5</v>
      </c>
      <c r="H484" t="n">
        <v>0</v>
      </c>
      <c r="I484" t="n">
        <v>0</v>
      </c>
      <c r="J484" t="n">
        <v>0</v>
      </c>
      <c r="K484" t="n">
        <v>0</v>
      </c>
      <c r="L484" t="n">
        <v>0</v>
      </c>
      <c r="M484" t="n">
        <v>0</v>
      </c>
      <c r="N484" t="n">
        <v>0</v>
      </c>
      <c r="O484" t="n">
        <v>0</v>
      </c>
      <c r="P484" t="n">
        <v>0</v>
      </c>
      <c r="Q484" t="n">
        <v>0</v>
      </c>
      <c r="R484" s="2" t="inlineStr"/>
    </row>
    <row r="485" ht="15" customHeight="1">
      <c r="A485" t="inlineStr">
        <is>
          <t>A 12132-2021</t>
        </is>
      </c>
      <c r="B485" s="1" t="n">
        <v>44266</v>
      </c>
      <c r="C485" s="1" t="n">
        <v>45471</v>
      </c>
      <c r="D485" t="inlineStr">
        <is>
          <t>STOCKHOLMS LÄN</t>
        </is>
      </c>
      <c r="E485" t="inlineStr">
        <is>
          <t>NORRTÄLJE</t>
        </is>
      </c>
      <c r="G485" t="n">
        <v>4</v>
      </c>
      <c r="H485" t="n">
        <v>0</v>
      </c>
      <c r="I485" t="n">
        <v>0</v>
      </c>
      <c r="J485" t="n">
        <v>0</v>
      </c>
      <c r="K485" t="n">
        <v>0</v>
      </c>
      <c r="L485" t="n">
        <v>0</v>
      </c>
      <c r="M485" t="n">
        <v>0</v>
      </c>
      <c r="N485" t="n">
        <v>0</v>
      </c>
      <c r="O485" t="n">
        <v>0</v>
      </c>
      <c r="P485" t="n">
        <v>0</v>
      </c>
      <c r="Q485" t="n">
        <v>0</v>
      </c>
      <c r="R485" s="2" t="inlineStr"/>
    </row>
    <row r="486" ht="15" customHeight="1">
      <c r="A486" t="inlineStr">
        <is>
          <t>A 12564-2021</t>
        </is>
      </c>
      <c r="B486" s="1" t="n">
        <v>44270</v>
      </c>
      <c r="C486" s="1" t="n">
        <v>45471</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12779-2021</t>
        </is>
      </c>
      <c r="B487" s="1" t="n">
        <v>44270</v>
      </c>
      <c r="C487" s="1" t="n">
        <v>45471</v>
      </c>
      <c r="D487" t="inlineStr">
        <is>
          <t>STOCKHOLMS LÄN</t>
        </is>
      </c>
      <c r="E487" t="inlineStr">
        <is>
          <t>NORRTÄLJE</t>
        </is>
      </c>
      <c r="G487" t="n">
        <v>10.8</v>
      </c>
      <c r="H487" t="n">
        <v>0</v>
      </c>
      <c r="I487" t="n">
        <v>0</v>
      </c>
      <c r="J487" t="n">
        <v>0</v>
      </c>
      <c r="K487" t="n">
        <v>0</v>
      </c>
      <c r="L487" t="n">
        <v>0</v>
      </c>
      <c r="M487" t="n">
        <v>0</v>
      </c>
      <c r="N487" t="n">
        <v>0</v>
      </c>
      <c r="O487" t="n">
        <v>0</v>
      </c>
      <c r="P487" t="n">
        <v>0</v>
      </c>
      <c r="Q487" t="n">
        <v>0</v>
      </c>
      <c r="R487" s="2" t="inlineStr"/>
    </row>
    <row r="488" ht="15" customHeight="1">
      <c r="A488" t="inlineStr">
        <is>
          <t>A 12782-2021</t>
        </is>
      </c>
      <c r="B488" s="1" t="n">
        <v>44270</v>
      </c>
      <c r="C488" s="1" t="n">
        <v>45471</v>
      </c>
      <c r="D488" t="inlineStr">
        <is>
          <t>STOCKHOLMS LÄN</t>
        </is>
      </c>
      <c r="E488" t="inlineStr">
        <is>
          <t>NORRTÄLJE</t>
        </is>
      </c>
      <c r="G488" t="n">
        <v>3.8</v>
      </c>
      <c r="H488" t="n">
        <v>0</v>
      </c>
      <c r="I488" t="n">
        <v>0</v>
      </c>
      <c r="J488" t="n">
        <v>0</v>
      </c>
      <c r="K488" t="n">
        <v>0</v>
      </c>
      <c r="L488" t="n">
        <v>0</v>
      </c>
      <c r="M488" t="n">
        <v>0</v>
      </c>
      <c r="N488" t="n">
        <v>0</v>
      </c>
      <c r="O488" t="n">
        <v>0</v>
      </c>
      <c r="P488" t="n">
        <v>0</v>
      </c>
      <c r="Q488" t="n">
        <v>0</v>
      </c>
      <c r="R488" s="2" t="inlineStr"/>
    </row>
    <row r="489" ht="15" customHeight="1">
      <c r="A489" t="inlineStr">
        <is>
          <t>A 13051-2021</t>
        </is>
      </c>
      <c r="B489" s="1" t="n">
        <v>44272</v>
      </c>
      <c r="C489" s="1" t="n">
        <v>45471</v>
      </c>
      <c r="D489" t="inlineStr">
        <is>
          <t>STOCKHOLMS LÄN</t>
        </is>
      </c>
      <c r="E489" t="inlineStr">
        <is>
          <t>NORRTÄLJE</t>
        </is>
      </c>
      <c r="G489" t="n">
        <v>9.1</v>
      </c>
      <c r="H489" t="n">
        <v>0</v>
      </c>
      <c r="I489" t="n">
        <v>0</v>
      </c>
      <c r="J489" t="n">
        <v>0</v>
      </c>
      <c r="K489" t="n">
        <v>0</v>
      </c>
      <c r="L489" t="n">
        <v>0</v>
      </c>
      <c r="M489" t="n">
        <v>0</v>
      </c>
      <c r="N489" t="n">
        <v>0</v>
      </c>
      <c r="O489" t="n">
        <v>0</v>
      </c>
      <c r="P489" t="n">
        <v>0</v>
      </c>
      <c r="Q489" t="n">
        <v>0</v>
      </c>
      <c r="R489" s="2" t="inlineStr"/>
    </row>
    <row r="490" ht="15" customHeight="1">
      <c r="A490" t="inlineStr">
        <is>
          <t>A 13148-2021</t>
        </is>
      </c>
      <c r="B490" s="1" t="n">
        <v>44272</v>
      </c>
      <c r="C490" s="1" t="n">
        <v>45471</v>
      </c>
      <c r="D490" t="inlineStr">
        <is>
          <t>STOCKHOLMS LÄN</t>
        </is>
      </c>
      <c r="E490" t="inlineStr">
        <is>
          <t>NORRTÄLJE</t>
        </is>
      </c>
      <c r="G490" t="n">
        <v>12.4</v>
      </c>
      <c r="H490" t="n">
        <v>0</v>
      </c>
      <c r="I490" t="n">
        <v>0</v>
      </c>
      <c r="J490" t="n">
        <v>0</v>
      </c>
      <c r="K490" t="n">
        <v>0</v>
      </c>
      <c r="L490" t="n">
        <v>0</v>
      </c>
      <c r="M490" t="n">
        <v>0</v>
      </c>
      <c r="N490" t="n">
        <v>0</v>
      </c>
      <c r="O490" t="n">
        <v>0</v>
      </c>
      <c r="P490" t="n">
        <v>0</v>
      </c>
      <c r="Q490" t="n">
        <v>0</v>
      </c>
      <c r="R490" s="2" t="inlineStr"/>
    </row>
    <row r="491" ht="15" customHeight="1">
      <c r="A491" t="inlineStr">
        <is>
          <t>A 13736-2021</t>
        </is>
      </c>
      <c r="B491" s="1" t="n">
        <v>44274</v>
      </c>
      <c r="C491" s="1" t="n">
        <v>45471</v>
      </c>
      <c r="D491" t="inlineStr">
        <is>
          <t>STOCKHOLMS LÄN</t>
        </is>
      </c>
      <c r="E491" t="inlineStr">
        <is>
          <t>NORRTÄLJE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13752-2021</t>
        </is>
      </c>
      <c r="B492" s="1" t="n">
        <v>44274</v>
      </c>
      <c r="C492" s="1" t="n">
        <v>45471</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14381-2021</t>
        </is>
      </c>
      <c r="B493" s="1" t="n">
        <v>44279</v>
      </c>
      <c r="C493" s="1" t="n">
        <v>45471</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14922-2021</t>
        </is>
      </c>
      <c r="B494" s="1" t="n">
        <v>44281</v>
      </c>
      <c r="C494" s="1" t="n">
        <v>45471</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14933-2021</t>
        </is>
      </c>
      <c r="B495" s="1" t="n">
        <v>44281</v>
      </c>
      <c r="C495" s="1" t="n">
        <v>45471</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15289-2021</t>
        </is>
      </c>
      <c r="B496" s="1" t="n">
        <v>44284</v>
      </c>
      <c r="C496" s="1" t="n">
        <v>45471</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15441-2021</t>
        </is>
      </c>
      <c r="B497" s="1" t="n">
        <v>44284</v>
      </c>
      <c r="C497" s="1" t="n">
        <v>45471</v>
      </c>
      <c r="D497" t="inlineStr">
        <is>
          <t>STOCKHOLMS LÄN</t>
        </is>
      </c>
      <c r="E497" t="inlineStr">
        <is>
          <t>NORRTÄLJE</t>
        </is>
      </c>
      <c r="G497" t="n">
        <v>27</v>
      </c>
      <c r="H497" t="n">
        <v>0</v>
      </c>
      <c r="I497" t="n">
        <v>0</v>
      </c>
      <c r="J497" t="n">
        <v>0</v>
      </c>
      <c r="K497" t="n">
        <v>0</v>
      </c>
      <c r="L497" t="n">
        <v>0</v>
      </c>
      <c r="M497" t="n">
        <v>0</v>
      </c>
      <c r="N497" t="n">
        <v>0</v>
      </c>
      <c r="O497" t="n">
        <v>0</v>
      </c>
      <c r="P497" t="n">
        <v>0</v>
      </c>
      <c r="Q497" t="n">
        <v>0</v>
      </c>
      <c r="R497" s="2" t="inlineStr"/>
    </row>
    <row r="498" ht="15" customHeight="1">
      <c r="A498" t="inlineStr">
        <is>
          <t>A 15552-2021</t>
        </is>
      </c>
      <c r="B498" s="1" t="n">
        <v>44285</v>
      </c>
      <c r="C498" s="1" t="n">
        <v>45471</v>
      </c>
      <c r="D498" t="inlineStr">
        <is>
          <t>STOCKHOLMS LÄN</t>
        </is>
      </c>
      <c r="E498" t="inlineStr">
        <is>
          <t>NORRTÄLJE</t>
        </is>
      </c>
      <c r="G498" t="n">
        <v>10</v>
      </c>
      <c r="H498" t="n">
        <v>0</v>
      </c>
      <c r="I498" t="n">
        <v>0</v>
      </c>
      <c r="J498" t="n">
        <v>0</v>
      </c>
      <c r="K498" t="n">
        <v>0</v>
      </c>
      <c r="L498" t="n">
        <v>0</v>
      </c>
      <c r="M498" t="n">
        <v>0</v>
      </c>
      <c r="N498" t="n">
        <v>0</v>
      </c>
      <c r="O498" t="n">
        <v>0</v>
      </c>
      <c r="P498" t="n">
        <v>0</v>
      </c>
      <c r="Q498" t="n">
        <v>0</v>
      </c>
      <c r="R498" s="2" t="inlineStr"/>
    </row>
    <row r="499" ht="15" customHeight="1">
      <c r="A499" t="inlineStr">
        <is>
          <t>A 16668-2021</t>
        </is>
      </c>
      <c r="B499" s="1" t="n">
        <v>44294</v>
      </c>
      <c r="C499" s="1" t="n">
        <v>45471</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17460-2021</t>
        </is>
      </c>
      <c r="B500" s="1" t="n">
        <v>44299</v>
      </c>
      <c r="C500" s="1" t="n">
        <v>45471</v>
      </c>
      <c r="D500" t="inlineStr">
        <is>
          <t>STOCKHOLMS LÄN</t>
        </is>
      </c>
      <c r="E500" t="inlineStr">
        <is>
          <t>NORRTÄLJE</t>
        </is>
      </c>
      <c r="G500" t="n">
        <v>3.2</v>
      </c>
      <c r="H500" t="n">
        <v>0</v>
      </c>
      <c r="I500" t="n">
        <v>0</v>
      </c>
      <c r="J500" t="n">
        <v>0</v>
      </c>
      <c r="K500" t="n">
        <v>0</v>
      </c>
      <c r="L500" t="n">
        <v>0</v>
      </c>
      <c r="M500" t="n">
        <v>0</v>
      </c>
      <c r="N500" t="n">
        <v>0</v>
      </c>
      <c r="O500" t="n">
        <v>0</v>
      </c>
      <c r="P500" t="n">
        <v>0</v>
      </c>
      <c r="Q500" t="n">
        <v>0</v>
      </c>
      <c r="R500" s="2" t="inlineStr"/>
    </row>
    <row r="501" ht="15" customHeight="1">
      <c r="A501" t="inlineStr">
        <is>
          <t>A 17703-2021</t>
        </is>
      </c>
      <c r="B501" s="1" t="n">
        <v>44300</v>
      </c>
      <c r="C501" s="1" t="n">
        <v>45471</v>
      </c>
      <c r="D501" t="inlineStr">
        <is>
          <t>STOCKHOLMS LÄN</t>
        </is>
      </c>
      <c r="E501" t="inlineStr">
        <is>
          <t>NORRTÄLJE</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18580-2021</t>
        </is>
      </c>
      <c r="B502" s="1" t="n">
        <v>44306</v>
      </c>
      <c r="C502" s="1" t="n">
        <v>45471</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45471</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18539-2021</t>
        </is>
      </c>
      <c r="B504" s="1" t="n">
        <v>44306</v>
      </c>
      <c r="C504" s="1" t="n">
        <v>45471</v>
      </c>
      <c r="D504" t="inlineStr">
        <is>
          <t>STOCKHOLMS LÄN</t>
        </is>
      </c>
      <c r="E504" t="inlineStr">
        <is>
          <t>NORRTÄLJE</t>
        </is>
      </c>
      <c r="F504" t="inlineStr">
        <is>
          <t>Holmen skog AB</t>
        </is>
      </c>
      <c r="G504" t="n">
        <v>5.5</v>
      </c>
      <c r="H504" t="n">
        <v>0</v>
      </c>
      <c r="I504" t="n">
        <v>0</v>
      </c>
      <c r="J504" t="n">
        <v>0</v>
      </c>
      <c r="K504" t="n">
        <v>0</v>
      </c>
      <c r="L504" t="n">
        <v>0</v>
      </c>
      <c r="M504" t="n">
        <v>0</v>
      </c>
      <c r="N504" t="n">
        <v>0</v>
      </c>
      <c r="O504" t="n">
        <v>0</v>
      </c>
      <c r="P504" t="n">
        <v>0</v>
      </c>
      <c r="Q504" t="n">
        <v>0</v>
      </c>
      <c r="R504" s="2" t="inlineStr"/>
    </row>
    <row r="505" ht="15" customHeight="1">
      <c r="A505" t="inlineStr">
        <is>
          <t>A 18570-2021</t>
        </is>
      </c>
      <c r="B505" s="1" t="n">
        <v>44306</v>
      </c>
      <c r="C505" s="1" t="n">
        <v>45471</v>
      </c>
      <c r="D505" t="inlineStr">
        <is>
          <t>STOCKHOLMS LÄN</t>
        </is>
      </c>
      <c r="E505" t="inlineStr">
        <is>
          <t>NORRTÄLJE</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19283-2021</t>
        </is>
      </c>
      <c r="B506" s="1" t="n">
        <v>44309</v>
      </c>
      <c r="C506" s="1" t="n">
        <v>45471</v>
      </c>
      <c r="D506" t="inlineStr">
        <is>
          <t>STOCKHOLMS LÄN</t>
        </is>
      </c>
      <c r="E506" t="inlineStr">
        <is>
          <t>NORRTÄLJE</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19400-2021</t>
        </is>
      </c>
      <c r="B507" s="1" t="n">
        <v>44309</v>
      </c>
      <c r="C507" s="1" t="n">
        <v>45471</v>
      </c>
      <c r="D507" t="inlineStr">
        <is>
          <t>STOCKHOLMS LÄN</t>
        </is>
      </c>
      <c r="E507" t="inlineStr">
        <is>
          <t>NORRTÄLJE</t>
        </is>
      </c>
      <c r="F507" t="inlineStr">
        <is>
          <t>Kommuner</t>
        </is>
      </c>
      <c r="G507" t="n">
        <v>2.4</v>
      </c>
      <c r="H507" t="n">
        <v>0</v>
      </c>
      <c r="I507" t="n">
        <v>0</v>
      </c>
      <c r="J507" t="n">
        <v>0</v>
      </c>
      <c r="K507" t="n">
        <v>0</v>
      </c>
      <c r="L507" t="n">
        <v>0</v>
      </c>
      <c r="M507" t="n">
        <v>0</v>
      </c>
      <c r="N507" t="n">
        <v>0</v>
      </c>
      <c r="O507" t="n">
        <v>0</v>
      </c>
      <c r="P507" t="n">
        <v>0</v>
      </c>
      <c r="Q507" t="n">
        <v>0</v>
      </c>
      <c r="R507" s="2" t="inlineStr"/>
    </row>
    <row r="508" ht="15" customHeight="1">
      <c r="A508" t="inlineStr">
        <is>
          <t>A 19307-2021</t>
        </is>
      </c>
      <c r="B508" s="1" t="n">
        <v>44309</v>
      </c>
      <c r="C508" s="1" t="n">
        <v>45471</v>
      </c>
      <c r="D508" t="inlineStr">
        <is>
          <t>STOCKHOLMS LÄN</t>
        </is>
      </c>
      <c r="E508" t="inlineStr">
        <is>
          <t>NORRTÄLJE</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19398-2021</t>
        </is>
      </c>
      <c r="B509" s="1" t="n">
        <v>44309</v>
      </c>
      <c r="C509" s="1" t="n">
        <v>45471</v>
      </c>
      <c r="D509" t="inlineStr">
        <is>
          <t>STOCKHOLMS LÄN</t>
        </is>
      </c>
      <c r="E509" t="inlineStr">
        <is>
          <t>NORRTÄLJE</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45471</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20473-2021</t>
        </is>
      </c>
      <c r="B511" s="1" t="n">
        <v>44315</v>
      </c>
      <c r="C511" s="1" t="n">
        <v>45471</v>
      </c>
      <c r="D511" t="inlineStr">
        <is>
          <t>STOCKHOLMS LÄN</t>
        </is>
      </c>
      <c r="E511" t="inlineStr">
        <is>
          <t>NORRTÄLJE</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21291-2021</t>
        </is>
      </c>
      <c r="B512" s="1" t="n">
        <v>44319</v>
      </c>
      <c r="C512" s="1" t="n">
        <v>45471</v>
      </c>
      <c r="D512" t="inlineStr">
        <is>
          <t>STOCKHOLMS LÄN</t>
        </is>
      </c>
      <c r="E512" t="inlineStr">
        <is>
          <t>NORRTÄLJE</t>
        </is>
      </c>
      <c r="G512" t="n">
        <v>12.7</v>
      </c>
      <c r="H512" t="n">
        <v>0</v>
      </c>
      <c r="I512" t="n">
        <v>0</v>
      </c>
      <c r="J512" t="n">
        <v>0</v>
      </c>
      <c r="K512" t="n">
        <v>0</v>
      </c>
      <c r="L512" t="n">
        <v>0</v>
      </c>
      <c r="M512" t="n">
        <v>0</v>
      </c>
      <c r="N512" t="n">
        <v>0</v>
      </c>
      <c r="O512" t="n">
        <v>0</v>
      </c>
      <c r="P512" t="n">
        <v>0</v>
      </c>
      <c r="Q512" t="n">
        <v>0</v>
      </c>
      <c r="R512" s="2" t="inlineStr"/>
    </row>
    <row r="513" ht="15" customHeight="1">
      <c r="A513" t="inlineStr">
        <is>
          <t>A 21529-2021</t>
        </is>
      </c>
      <c r="B513" s="1" t="n">
        <v>44321</v>
      </c>
      <c r="C513" s="1" t="n">
        <v>45471</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22832-2021</t>
        </is>
      </c>
      <c r="B514" s="1" t="n">
        <v>44325</v>
      </c>
      <c r="C514" s="1" t="n">
        <v>45471</v>
      </c>
      <c r="D514" t="inlineStr">
        <is>
          <t>STOCKHOLMS LÄN</t>
        </is>
      </c>
      <c r="E514" t="inlineStr">
        <is>
          <t>NORRTÄLJE</t>
        </is>
      </c>
      <c r="G514" t="n">
        <v>6.8</v>
      </c>
      <c r="H514" t="n">
        <v>0</v>
      </c>
      <c r="I514" t="n">
        <v>0</v>
      </c>
      <c r="J514" t="n">
        <v>0</v>
      </c>
      <c r="K514" t="n">
        <v>0</v>
      </c>
      <c r="L514" t="n">
        <v>0</v>
      </c>
      <c r="M514" t="n">
        <v>0</v>
      </c>
      <c r="N514" t="n">
        <v>0</v>
      </c>
      <c r="O514" t="n">
        <v>0</v>
      </c>
      <c r="P514" t="n">
        <v>0</v>
      </c>
      <c r="Q514" t="n">
        <v>0</v>
      </c>
      <c r="R514" s="2" t="inlineStr"/>
    </row>
    <row r="515" ht="15" customHeight="1">
      <c r="A515" t="inlineStr">
        <is>
          <t>A 22816-2021</t>
        </is>
      </c>
      <c r="B515" s="1" t="n">
        <v>44325</v>
      </c>
      <c r="C515" s="1" t="n">
        <v>45471</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22369-2021</t>
        </is>
      </c>
      <c r="B516" s="1" t="n">
        <v>44326</v>
      </c>
      <c r="C516" s="1" t="n">
        <v>45471</v>
      </c>
      <c r="D516" t="inlineStr">
        <is>
          <t>STOCKHOLMS LÄN</t>
        </is>
      </c>
      <c r="E516" t="inlineStr">
        <is>
          <t>NORRTÄLJE</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22421-2021</t>
        </is>
      </c>
      <c r="B517" s="1" t="n">
        <v>44326</v>
      </c>
      <c r="C517" s="1" t="n">
        <v>45471</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22412-2021</t>
        </is>
      </c>
      <c r="B518" s="1" t="n">
        <v>44326</v>
      </c>
      <c r="C518" s="1" t="n">
        <v>45471</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45471</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23096-2021</t>
        </is>
      </c>
      <c r="B520" s="1" t="n">
        <v>44330</v>
      </c>
      <c r="C520" s="1" t="n">
        <v>45471</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23122-2021</t>
        </is>
      </c>
      <c r="B521" s="1" t="n">
        <v>44330</v>
      </c>
      <c r="C521" s="1" t="n">
        <v>45471</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23453-2021</t>
        </is>
      </c>
      <c r="B522" s="1" t="n">
        <v>44333</v>
      </c>
      <c r="C522" s="1" t="n">
        <v>45471</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24082-2021</t>
        </is>
      </c>
      <c r="B523" s="1" t="n">
        <v>44336</v>
      </c>
      <c r="C523" s="1" t="n">
        <v>45471</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25463-2021</t>
        </is>
      </c>
      <c r="B524" s="1" t="n">
        <v>44342</v>
      </c>
      <c r="C524" s="1" t="n">
        <v>45471</v>
      </c>
      <c r="D524" t="inlineStr">
        <is>
          <t>STOCKHOLMS LÄN</t>
        </is>
      </c>
      <c r="E524" t="inlineStr">
        <is>
          <t>NORRTÄLJE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27217-2021</t>
        </is>
      </c>
      <c r="B525" s="1" t="n">
        <v>44350</v>
      </c>
      <c r="C525" s="1" t="n">
        <v>45471</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27214-2021</t>
        </is>
      </c>
      <c r="B526" s="1" t="n">
        <v>44350</v>
      </c>
      <c r="C526" s="1" t="n">
        <v>45471</v>
      </c>
      <c r="D526" t="inlineStr">
        <is>
          <t>STOCKHOLMS LÄN</t>
        </is>
      </c>
      <c r="E526" t="inlineStr">
        <is>
          <t>NORRTÄLJE</t>
        </is>
      </c>
      <c r="G526" t="n">
        <v>1</v>
      </c>
      <c r="H526" t="n">
        <v>0</v>
      </c>
      <c r="I526" t="n">
        <v>0</v>
      </c>
      <c r="J526" t="n">
        <v>0</v>
      </c>
      <c r="K526" t="n">
        <v>0</v>
      </c>
      <c r="L526" t="n">
        <v>0</v>
      </c>
      <c r="M526" t="n">
        <v>0</v>
      </c>
      <c r="N526" t="n">
        <v>0</v>
      </c>
      <c r="O526" t="n">
        <v>0</v>
      </c>
      <c r="P526" t="n">
        <v>0</v>
      </c>
      <c r="Q526" t="n">
        <v>0</v>
      </c>
      <c r="R526" s="2" t="inlineStr"/>
    </row>
    <row r="527" ht="15" customHeight="1">
      <c r="A527" t="inlineStr">
        <is>
          <t>A 29357-2021</t>
        </is>
      </c>
      <c r="B527" s="1" t="n">
        <v>44361</v>
      </c>
      <c r="C527" s="1" t="n">
        <v>45471</v>
      </c>
      <c r="D527" t="inlineStr">
        <is>
          <t>STOCKHOLMS LÄN</t>
        </is>
      </c>
      <c r="E527" t="inlineStr">
        <is>
          <t>NORRTÄLJE</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29680-2021</t>
        </is>
      </c>
      <c r="B528" s="1" t="n">
        <v>44362</v>
      </c>
      <c r="C528" s="1" t="n">
        <v>45471</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29684-2021</t>
        </is>
      </c>
      <c r="B529" s="1" t="n">
        <v>44362</v>
      </c>
      <c r="C529" s="1" t="n">
        <v>45471</v>
      </c>
      <c r="D529" t="inlineStr">
        <is>
          <t>STOCKHOLMS LÄN</t>
        </is>
      </c>
      <c r="E529" t="inlineStr">
        <is>
          <t>NORRTÄLJE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30129-2021</t>
        </is>
      </c>
      <c r="B530" s="1" t="n">
        <v>44363</v>
      </c>
      <c r="C530" s="1" t="n">
        <v>45471</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30138-2021</t>
        </is>
      </c>
      <c r="B531" s="1" t="n">
        <v>44363</v>
      </c>
      <c r="C531" s="1" t="n">
        <v>45471</v>
      </c>
      <c r="D531" t="inlineStr">
        <is>
          <t>STOCKHOLMS LÄN</t>
        </is>
      </c>
      <c r="E531" t="inlineStr">
        <is>
          <t>NORRTÄLJE</t>
        </is>
      </c>
      <c r="G531" t="n">
        <v>4.5</v>
      </c>
      <c r="H531" t="n">
        <v>0</v>
      </c>
      <c r="I531" t="n">
        <v>0</v>
      </c>
      <c r="J531" t="n">
        <v>0</v>
      </c>
      <c r="K531" t="n">
        <v>0</v>
      </c>
      <c r="L531" t="n">
        <v>0</v>
      </c>
      <c r="M531" t="n">
        <v>0</v>
      </c>
      <c r="N531" t="n">
        <v>0</v>
      </c>
      <c r="O531" t="n">
        <v>0</v>
      </c>
      <c r="P531" t="n">
        <v>0</v>
      </c>
      <c r="Q531" t="n">
        <v>0</v>
      </c>
      <c r="R531" s="2" t="inlineStr"/>
    </row>
    <row r="532" ht="15" customHeight="1">
      <c r="A532" t="inlineStr">
        <is>
          <t>A 31688-2021</t>
        </is>
      </c>
      <c r="B532" s="1" t="n">
        <v>44369</v>
      </c>
      <c r="C532" s="1" t="n">
        <v>45471</v>
      </c>
      <c r="D532" t="inlineStr">
        <is>
          <t>STOCKHOLMS LÄN</t>
        </is>
      </c>
      <c r="E532" t="inlineStr">
        <is>
          <t>NORRTÄLJE</t>
        </is>
      </c>
      <c r="G532" t="n">
        <v>2.9</v>
      </c>
      <c r="H532" t="n">
        <v>0</v>
      </c>
      <c r="I532" t="n">
        <v>0</v>
      </c>
      <c r="J532" t="n">
        <v>0</v>
      </c>
      <c r="K532" t="n">
        <v>0</v>
      </c>
      <c r="L532" t="n">
        <v>0</v>
      </c>
      <c r="M532" t="n">
        <v>0</v>
      </c>
      <c r="N532" t="n">
        <v>0</v>
      </c>
      <c r="O532" t="n">
        <v>0</v>
      </c>
      <c r="P532" t="n">
        <v>0</v>
      </c>
      <c r="Q532" t="n">
        <v>0</v>
      </c>
      <c r="R532" s="2" t="inlineStr"/>
    </row>
    <row r="533" ht="15" customHeight="1">
      <c r="A533" t="inlineStr">
        <is>
          <t>A 32002-2021</t>
        </is>
      </c>
      <c r="B533" s="1" t="n">
        <v>44370</v>
      </c>
      <c r="C533" s="1" t="n">
        <v>45471</v>
      </c>
      <c r="D533" t="inlineStr">
        <is>
          <t>STOCKHOLMS LÄN</t>
        </is>
      </c>
      <c r="E533" t="inlineStr">
        <is>
          <t>NORRTÄLJE</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32051-2021</t>
        </is>
      </c>
      <c r="B534" s="1" t="n">
        <v>44370</v>
      </c>
      <c r="C534" s="1" t="n">
        <v>45471</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32055-2021</t>
        </is>
      </c>
      <c r="B535" s="1" t="n">
        <v>44370</v>
      </c>
      <c r="C535" s="1" t="n">
        <v>45471</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32561-2021</t>
        </is>
      </c>
      <c r="B536" s="1" t="n">
        <v>44375</v>
      </c>
      <c r="C536" s="1" t="n">
        <v>45471</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32857-2021</t>
        </is>
      </c>
      <c r="B537" s="1" t="n">
        <v>44375</v>
      </c>
      <c r="C537" s="1" t="n">
        <v>45471</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33053-2021</t>
        </is>
      </c>
      <c r="B538" s="1" t="n">
        <v>44376</v>
      </c>
      <c r="C538" s="1" t="n">
        <v>45471</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33046-2021</t>
        </is>
      </c>
      <c r="B539" s="1" t="n">
        <v>44376</v>
      </c>
      <c r="C539" s="1" t="n">
        <v>45471</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33040-2021</t>
        </is>
      </c>
      <c r="B540" s="1" t="n">
        <v>44376</v>
      </c>
      <c r="C540" s="1" t="n">
        <v>45471</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34520-2021</t>
        </is>
      </c>
      <c r="B541" s="1" t="n">
        <v>44379</v>
      </c>
      <c r="C541" s="1" t="n">
        <v>45471</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34432-2021</t>
        </is>
      </c>
      <c r="B542" s="1" t="n">
        <v>44380</v>
      </c>
      <c r="C542" s="1" t="n">
        <v>45471</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34431-2021</t>
        </is>
      </c>
      <c r="B543" s="1" t="n">
        <v>44380</v>
      </c>
      <c r="C543" s="1" t="n">
        <v>45471</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34436-2021</t>
        </is>
      </c>
      <c r="B544" s="1" t="n">
        <v>44380</v>
      </c>
      <c r="C544" s="1" t="n">
        <v>45471</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34731-2021</t>
        </is>
      </c>
      <c r="B545" s="1" t="n">
        <v>44382</v>
      </c>
      <c r="C545" s="1" t="n">
        <v>45471</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34792-2021</t>
        </is>
      </c>
      <c r="B546" s="1" t="n">
        <v>44383</v>
      </c>
      <c r="C546" s="1" t="n">
        <v>45471</v>
      </c>
      <c r="D546" t="inlineStr">
        <is>
          <t>STOCKHOLMS LÄN</t>
        </is>
      </c>
      <c r="E546" t="inlineStr">
        <is>
          <t>NORRTÄLJE</t>
        </is>
      </c>
      <c r="G546" t="n">
        <v>4.4</v>
      </c>
      <c r="H546" t="n">
        <v>0</v>
      </c>
      <c r="I546" t="n">
        <v>0</v>
      </c>
      <c r="J546" t="n">
        <v>0</v>
      </c>
      <c r="K546" t="n">
        <v>0</v>
      </c>
      <c r="L546" t="n">
        <v>0</v>
      </c>
      <c r="M546" t="n">
        <v>0</v>
      </c>
      <c r="N546" t="n">
        <v>0</v>
      </c>
      <c r="O546" t="n">
        <v>0</v>
      </c>
      <c r="P546" t="n">
        <v>0</v>
      </c>
      <c r="Q546" t="n">
        <v>0</v>
      </c>
      <c r="R546" s="2" t="inlineStr"/>
    </row>
    <row r="547" ht="15" customHeight="1">
      <c r="A547" t="inlineStr">
        <is>
          <t>A 36246-2021</t>
        </is>
      </c>
      <c r="B547" s="1" t="n">
        <v>44390</v>
      </c>
      <c r="C547" s="1" t="n">
        <v>45471</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v>
      </c>
      <c r="C548" s="1" t="n">
        <v>45471</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37085-2021</t>
        </is>
      </c>
      <c r="B549" s="1" t="n">
        <v>44395</v>
      </c>
      <c r="C549" s="1" t="n">
        <v>45471</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37344-2021</t>
        </is>
      </c>
      <c r="B550" s="1" t="n">
        <v>44397</v>
      </c>
      <c r="C550" s="1" t="n">
        <v>45471</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37415-2021</t>
        </is>
      </c>
      <c r="B551" s="1" t="n">
        <v>44397</v>
      </c>
      <c r="C551" s="1" t="n">
        <v>45471</v>
      </c>
      <c r="D551" t="inlineStr">
        <is>
          <t>STOCKHOLMS LÄN</t>
        </is>
      </c>
      <c r="E551" t="inlineStr">
        <is>
          <t>NORRTÄLJE</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37444-2021</t>
        </is>
      </c>
      <c r="B552" s="1" t="n">
        <v>44398</v>
      </c>
      <c r="C552" s="1" t="n">
        <v>45471</v>
      </c>
      <c r="D552" t="inlineStr">
        <is>
          <t>STOCKHOLMS LÄN</t>
        </is>
      </c>
      <c r="E552" t="inlineStr">
        <is>
          <t>NORRTÄLJE</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37462-2021</t>
        </is>
      </c>
      <c r="B553" s="1" t="n">
        <v>44398</v>
      </c>
      <c r="C553" s="1" t="n">
        <v>45471</v>
      </c>
      <c r="D553" t="inlineStr">
        <is>
          <t>STOCKHOLMS LÄN</t>
        </is>
      </c>
      <c r="E553" t="inlineStr">
        <is>
          <t>NORRTÄLJE</t>
        </is>
      </c>
      <c r="G553" t="n">
        <v>3.5</v>
      </c>
      <c r="H553" t="n">
        <v>0</v>
      </c>
      <c r="I553" t="n">
        <v>0</v>
      </c>
      <c r="J553" t="n">
        <v>0</v>
      </c>
      <c r="K553" t="n">
        <v>0</v>
      </c>
      <c r="L553" t="n">
        <v>0</v>
      </c>
      <c r="M553" t="n">
        <v>0</v>
      </c>
      <c r="N553" t="n">
        <v>0</v>
      </c>
      <c r="O553" t="n">
        <v>0</v>
      </c>
      <c r="P553" t="n">
        <v>0</v>
      </c>
      <c r="Q553" t="n">
        <v>0</v>
      </c>
      <c r="R553" s="2" t="inlineStr"/>
    </row>
    <row r="554" ht="15" customHeight="1">
      <c r="A554" t="inlineStr">
        <is>
          <t>A 37530-2021</t>
        </is>
      </c>
      <c r="B554" s="1" t="n">
        <v>44399</v>
      </c>
      <c r="C554" s="1" t="n">
        <v>45471</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37522-2021</t>
        </is>
      </c>
      <c r="B555" s="1" t="n">
        <v>44399</v>
      </c>
      <c r="C555" s="1" t="n">
        <v>45471</v>
      </c>
      <c r="D555" t="inlineStr">
        <is>
          <t>STOCKHOLMS LÄN</t>
        </is>
      </c>
      <c r="E555" t="inlineStr">
        <is>
          <t>NORRTÄLJE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37525-2021</t>
        </is>
      </c>
      <c r="B556" s="1" t="n">
        <v>44399</v>
      </c>
      <c r="C556" s="1" t="n">
        <v>45471</v>
      </c>
      <c r="D556" t="inlineStr">
        <is>
          <t>STOCKHOLMS LÄN</t>
        </is>
      </c>
      <c r="E556" t="inlineStr">
        <is>
          <t>NORRTÄLJE</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37712-2021</t>
        </is>
      </c>
      <c r="B557" s="1" t="n">
        <v>44400</v>
      </c>
      <c r="C557" s="1" t="n">
        <v>45471</v>
      </c>
      <c r="D557" t="inlineStr">
        <is>
          <t>STOCKHOLMS LÄN</t>
        </is>
      </c>
      <c r="E557" t="inlineStr">
        <is>
          <t>NORRTÄLJE</t>
        </is>
      </c>
      <c r="G557" t="n">
        <v>22.9</v>
      </c>
      <c r="H557" t="n">
        <v>0</v>
      </c>
      <c r="I557" t="n">
        <v>0</v>
      </c>
      <c r="J557" t="n">
        <v>0</v>
      </c>
      <c r="K557" t="n">
        <v>0</v>
      </c>
      <c r="L557" t="n">
        <v>0</v>
      </c>
      <c r="M557" t="n">
        <v>0</v>
      </c>
      <c r="N557" t="n">
        <v>0</v>
      </c>
      <c r="O557" t="n">
        <v>0</v>
      </c>
      <c r="P557" t="n">
        <v>0</v>
      </c>
      <c r="Q557" t="n">
        <v>0</v>
      </c>
      <c r="R557" s="2" t="inlineStr"/>
    </row>
    <row r="558" ht="15" customHeight="1">
      <c r="A558" t="inlineStr">
        <is>
          <t>A 37859-2021</t>
        </is>
      </c>
      <c r="B558" s="1" t="n">
        <v>44403</v>
      </c>
      <c r="C558" s="1" t="n">
        <v>45471</v>
      </c>
      <c r="D558" t="inlineStr">
        <is>
          <t>STOCKHOLMS LÄN</t>
        </is>
      </c>
      <c r="E558" t="inlineStr">
        <is>
          <t>NORRTÄLJE</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39157-2021</t>
        </is>
      </c>
      <c r="B559" s="1" t="n">
        <v>44412</v>
      </c>
      <c r="C559" s="1" t="n">
        <v>45471</v>
      </c>
      <c r="D559" t="inlineStr">
        <is>
          <t>STOCKHOLMS LÄN</t>
        </is>
      </c>
      <c r="E559" t="inlineStr">
        <is>
          <t>NORRTÄLJE</t>
        </is>
      </c>
      <c r="G559" t="n">
        <v>3.1</v>
      </c>
      <c r="H559" t="n">
        <v>0</v>
      </c>
      <c r="I559" t="n">
        <v>0</v>
      </c>
      <c r="J559" t="n">
        <v>0</v>
      </c>
      <c r="K559" t="n">
        <v>0</v>
      </c>
      <c r="L559" t="n">
        <v>0</v>
      </c>
      <c r="M559" t="n">
        <v>0</v>
      </c>
      <c r="N559" t="n">
        <v>0</v>
      </c>
      <c r="O559" t="n">
        <v>0</v>
      </c>
      <c r="P559" t="n">
        <v>0</v>
      </c>
      <c r="Q559" t="n">
        <v>0</v>
      </c>
      <c r="R559" s="2" t="inlineStr"/>
    </row>
    <row r="560" ht="15" customHeight="1">
      <c r="A560" t="inlineStr">
        <is>
          <t>A 39496-2021</t>
        </is>
      </c>
      <c r="B560" s="1" t="n">
        <v>44414</v>
      </c>
      <c r="C560" s="1" t="n">
        <v>45471</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39497-2021</t>
        </is>
      </c>
      <c r="B561" s="1" t="n">
        <v>44414</v>
      </c>
      <c r="C561" s="1" t="n">
        <v>45471</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40425-2021</t>
        </is>
      </c>
      <c r="B562" s="1" t="n">
        <v>44419</v>
      </c>
      <c r="C562" s="1" t="n">
        <v>45471</v>
      </c>
      <c r="D562" t="inlineStr">
        <is>
          <t>STOCKHOLMS LÄN</t>
        </is>
      </c>
      <c r="E562" t="inlineStr">
        <is>
          <t>NORRTÄLJE</t>
        </is>
      </c>
      <c r="G562" t="n">
        <v>5</v>
      </c>
      <c r="H562" t="n">
        <v>0</v>
      </c>
      <c r="I562" t="n">
        <v>0</v>
      </c>
      <c r="J562" t="n">
        <v>0</v>
      </c>
      <c r="K562" t="n">
        <v>0</v>
      </c>
      <c r="L562" t="n">
        <v>0</v>
      </c>
      <c r="M562" t="n">
        <v>0</v>
      </c>
      <c r="N562" t="n">
        <v>0</v>
      </c>
      <c r="O562" t="n">
        <v>0</v>
      </c>
      <c r="P562" t="n">
        <v>0</v>
      </c>
      <c r="Q562" t="n">
        <v>0</v>
      </c>
      <c r="R562" s="2" t="inlineStr"/>
    </row>
    <row r="563" ht="15" customHeight="1">
      <c r="A563" t="inlineStr">
        <is>
          <t>A 40542-2021</t>
        </is>
      </c>
      <c r="B563" s="1" t="n">
        <v>44420</v>
      </c>
      <c r="C563" s="1" t="n">
        <v>45471</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40546-2021</t>
        </is>
      </c>
      <c r="B564" s="1" t="n">
        <v>44420</v>
      </c>
      <c r="C564" s="1" t="n">
        <v>45471</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41595-2021</t>
        </is>
      </c>
      <c r="B565" s="1" t="n">
        <v>44425</v>
      </c>
      <c r="C565" s="1" t="n">
        <v>45471</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41823-2021</t>
        </is>
      </c>
      <c r="B566" s="1" t="n">
        <v>44425</v>
      </c>
      <c r="C566" s="1" t="n">
        <v>45471</v>
      </c>
      <c r="D566" t="inlineStr">
        <is>
          <t>STOCKHOLMS LÄN</t>
        </is>
      </c>
      <c r="E566" t="inlineStr">
        <is>
          <t>NORRTÄLJE</t>
        </is>
      </c>
      <c r="G566" t="n">
        <v>2.4</v>
      </c>
      <c r="H566" t="n">
        <v>0</v>
      </c>
      <c r="I566" t="n">
        <v>0</v>
      </c>
      <c r="J566" t="n">
        <v>0</v>
      </c>
      <c r="K566" t="n">
        <v>0</v>
      </c>
      <c r="L566" t="n">
        <v>0</v>
      </c>
      <c r="M566" t="n">
        <v>0</v>
      </c>
      <c r="N566" t="n">
        <v>0</v>
      </c>
      <c r="O566" t="n">
        <v>0</v>
      </c>
      <c r="P566" t="n">
        <v>0</v>
      </c>
      <c r="Q566" t="n">
        <v>0</v>
      </c>
      <c r="R566" s="2" t="inlineStr"/>
    </row>
    <row r="567" ht="15" customHeight="1">
      <c r="A567" t="inlineStr">
        <is>
          <t>A 41822-2021</t>
        </is>
      </c>
      <c r="B567" s="1" t="n">
        <v>44425</v>
      </c>
      <c r="C567" s="1" t="n">
        <v>45471</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42396-2021</t>
        </is>
      </c>
      <c r="B568" s="1" t="n">
        <v>44427</v>
      </c>
      <c r="C568" s="1" t="n">
        <v>45471</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43478-2021</t>
        </is>
      </c>
      <c r="B569" s="1" t="n">
        <v>44432</v>
      </c>
      <c r="C569" s="1" t="n">
        <v>45471</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45471</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47344-2021</t>
        </is>
      </c>
      <c r="B571" s="1" t="n">
        <v>44447</v>
      </c>
      <c r="C571" s="1" t="n">
        <v>45471</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47349-2021</t>
        </is>
      </c>
      <c r="B572" s="1" t="n">
        <v>44447</v>
      </c>
      <c r="C572" s="1" t="n">
        <v>45471</v>
      </c>
      <c r="D572" t="inlineStr">
        <is>
          <t>STOCKHOLMS LÄN</t>
        </is>
      </c>
      <c r="E572" t="inlineStr">
        <is>
          <t>NORRTÄLJE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47691-2021</t>
        </is>
      </c>
      <c r="B573" s="1" t="n">
        <v>44448</v>
      </c>
      <c r="C573" s="1" t="n">
        <v>45471</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48384-2021</t>
        </is>
      </c>
      <c r="B574" s="1" t="n">
        <v>44451</v>
      </c>
      <c r="C574" s="1" t="n">
        <v>45471</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48798-2021</t>
        </is>
      </c>
      <c r="B575" s="1" t="n">
        <v>44452</v>
      </c>
      <c r="C575" s="1" t="n">
        <v>45471</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48932-2021</t>
        </is>
      </c>
      <c r="B576" s="1" t="n">
        <v>44453</v>
      </c>
      <c r="C576" s="1" t="n">
        <v>45471</v>
      </c>
      <c r="D576" t="inlineStr">
        <is>
          <t>STOCKHOLMS LÄN</t>
        </is>
      </c>
      <c r="E576" t="inlineStr">
        <is>
          <t>NORRTÄLJE</t>
        </is>
      </c>
      <c r="G576" t="n">
        <v>11.2</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45471</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50038-2021</t>
        </is>
      </c>
      <c r="B578" s="1" t="n">
        <v>44456</v>
      </c>
      <c r="C578" s="1" t="n">
        <v>45471</v>
      </c>
      <c r="D578" t="inlineStr">
        <is>
          <t>STOCKHOLMS LÄN</t>
        </is>
      </c>
      <c r="E578" t="inlineStr">
        <is>
          <t>NORRTÄLJE</t>
        </is>
      </c>
      <c r="G578" t="n">
        <v>4.2</v>
      </c>
      <c r="H578" t="n">
        <v>0</v>
      </c>
      <c r="I578" t="n">
        <v>0</v>
      </c>
      <c r="J578" t="n">
        <v>0</v>
      </c>
      <c r="K578" t="n">
        <v>0</v>
      </c>
      <c r="L578" t="n">
        <v>0</v>
      </c>
      <c r="M578" t="n">
        <v>0</v>
      </c>
      <c r="N578" t="n">
        <v>0</v>
      </c>
      <c r="O578" t="n">
        <v>0</v>
      </c>
      <c r="P578" t="n">
        <v>0</v>
      </c>
      <c r="Q578" t="n">
        <v>0</v>
      </c>
      <c r="R578" s="2" t="inlineStr"/>
    </row>
    <row r="579" ht="15" customHeight="1">
      <c r="A579" t="inlineStr">
        <is>
          <t>A 50108-2021</t>
        </is>
      </c>
      <c r="B579" s="1" t="n">
        <v>44456</v>
      </c>
      <c r="C579" s="1" t="n">
        <v>45471</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50252-2021</t>
        </is>
      </c>
      <c r="B580" s="1" t="n">
        <v>44458</v>
      </c>
      <c r="C580" s="1" t="n">
        <v>45471</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50602-2021</t>
        </is>
      </c>
      <c r="B581" s="1" t="n">
        <v>44459</v>
      </c>
      <c r="C581" s="1" t="n">
        <v>45471</v>
      </c>
      <c r="D581" t="inlineStr">
        <is>
          <t>STOCKHOLMS LÄN</t>
        </is>
      </c>
      <c r="E581" t="inlineStr">
        <is>
          <t>NORRTÄLJE</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51279-2021</t>
        </is>
      </c>
      <c r="B582" s="1" t="n">
        <v>44461</v>
      </c>
      <c r="C582" s="1" t="n">
        <v>45471</v>
      </c>
      <c r="D582" t="inlineStr">
        <is>
          <t>STOCKHOLMS LÄN</t>
        </is>
      </c>
      <c r="E582" t="inlineStr">
        <is>
          <t>NORRTÄLJE</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51315-2021</t>
        </is>
      </c>
      <c r="B583" s="1" t="n">
        <v>44461</v>
      </c>
      <c r="C583" s="1" t="n">
        <v>45471</v>
      </c>
      <c r="D583" t="inlineStr">
        <is>
          <t>STOCKHOLMS LÄN</t>
        </is>
      </c>
      <c r="E583" t="inlineStr">
        <is>
          <t>NORRTÄLJE</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52090-2021</t>
        </is>
      </c>
      <c r="B584" s="1" t="n">
        <v>44463</v>
      </c>
      <c r="C584" s="1" t="n">
        <v>45471</v>
      </c>
      <c r="D584" t="inlineStr">
        <is>
          <t>STOCKHOLMS LÄN</t>
        </is>
      </c>
      <c r="E584" t="inlineStr">
        <is>
          <t>NORRTÄLJE</t>
        </is>
      </c>
      <c r="G584" t="n">
        <v>3.6</v>
      </c>
      <c r="H584" t="n">
        <v>0</v>
      </c>
      <c r="I584" t="n">
        <v>0</v>
      </c>
      <c r="J584" t="n">
        <v>0</v>
      </c>
      <c r="K584" t="n">
        <v>0</v>
      </c>
      <c r="L584" t="n">
        <v>0</v>
      </c>
      <c r="M584" t="n">
        <v>0</v>
      </c>
      <c r="N584" t="n">
        <v>0</v>
      </c>
      <c r="O584" t="n">
        <v>0</v>
      </c>
      <c r="P584" t="n">
        <v>0</v>
      </c>
      <c r="Q584" t="n">
        <v>0</v>
      </c>
      <c r="R584" s="2" t="inlineStr"/>
    </row>
    <row r="585" ht="15" customHeight="1">
      <c r="A585" t="inlineStr">
        <is>
          <t>A 52449-2021</t>
        </is>
      </c>
      <c r="B585" s="1" t="n">
        <v>44466</v>
      </c>
      <c r="C585" s="1" t="n">
        <v>45471</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54276-2021</t>
        </is>
      </c>
      <c r="B586" s="1" t="n">
        <v>44470</v>
      </c>
      <c r="C586" s="1" t="n">
        <v>45471</v>
      </c>
      <c r="D586" t="inlineStr">
        <is>
          <t>STOCKHOLMS LÄN</t>
        </is>
      </c>
      <c r="E586" t="inlineStr">
        <is>
          <t>NORRTÄLJE</t>
        </is>
      </c>
      <c r="G586" t="n">
        <v>7.3</v>
      </c>
      <c r="H586" t="n">
        <v>0</v>
      </c>
      <c r="I586" t="n">
        <v>0</v>
      </c>
      <c r="J586" t="n">
        <v>0</v>
      </c>
      <c r="K586" t="n">
        <v>0</v>
      </c>
      <c r="L586" t="n">
        <v>0</v>
      </c>
      <c r="M586" t="n">
        <v>0</v>
      </c>
      <c r="N586" t="n">
        <v>0</v>
      </c>
      <c r="O586" t="n">
        <v>0</v>
      </c>
      <c r="P586" t="n">
        <v>0</v>
      </c>
      <c r="Q586" t="n">
        <v>0</v>
      </c>
      <c r="R586" s="2" t="inlineStr"/>
    </row>
    <row r="587" ht="15" customHeight="1">
      <c r="A587" t="inlineStr">
        <is>
          <t>A 54273-2021</t>
        </is>
      </c>
      <c r="B587" s="1" t="n">
        <v>44470</v>
      </c>
      <c r="C587" s="1" t="n">
        <v>45471</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54272-2021</t>
        </is>
      </c>
      <c r="B588" s="1" t="n">
        <v>44470</v>
      </c>
      <c r="C588" s="1" t="n">
        <v>45471</v>
      </c>
      <c r="D588" t="inlineStr">
        <is>
          <t>STOCKHOLMS LÄN</t>
        </is>
      </c>
      <c r="E588" t="inlineStr">
        <is>
          <t>NORRTÄLJE</t>
        </is>
      </c>
      <c r="G588" t="n">
        <v>5.8</v>
      </c>
      <c r="H588" t="n">
        <v>0</v>
      </c>
      <c r="I588" t="n">
        <v>0</v>
      </c>
      <c r="J588" t="n">
        <v>0</v>
      </c>
      <c r="K588" t="n">
        <v>0</v>
      </c>
      <c r="L588" t="n">
        <v>0</v>
      </c>
      <c r="M588" t="n">
        <v>0</v>
      </c>
      <c r="N588" t="n">
        <v>0</v>
      </c>
      <c r="O588" t="n">
        <v>0</v>
      </c>
      <c r="P588" t="n">
        <v>0</v>
      </c>
      <c r="Q588" t="n">
        <v>0</v>
      </c>
      <c r="R588" s="2" t="inlineStr"/>
    </row>
    <row r="589" ht="15" customHeight="1">
      <c r="A589" t="inlineStr">
        <is>
          <t>A 54396-2021</t>
        </is>
      </c>
      <c r="B589" s="1" t="n">
        <v>44472</v>
      </c>
      <c r="C589" s="1" t="n">
        <v>45471</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55058-2021</t>
        </is>
      </c>
      <c r="B590" s="1" t="n">
        <v>44474</v>
      </c>
      <c r="C590" s="1" t="n">
        <v>45471</v>
      </c>
      <c r="D590" t="inlineStr">
        <is>
          <t>STOCKHOLMS LÄN</t>
        </is>
      </c>
      <c r="E590" t="inlineStr">
        <is>
          <t>NORRTÄLJE</t>
        </is>
      </c>
      <c r="G590" t="n">
        <v>1.9</v>
      </c>
      <c r="H590" t="n">
        <v>0</v>
      </c>
      <c r="I590" t="n">
        <v>0</v>
      </c>
      <c r="J590" t="n">
        <v>0</v>
      </c>
      <c r="K590" t="n">
        <v>0</v>
      </c>
      <c r="L590" t="n">
        <v>0</v>
      </c>
      <c r="M590" t="n">
        <v>0</v>
      </c>
      <c r="N590" t="n">
        <v>0</v>
      </c>
      <c r="O590" t="n">
        <v>0</v>
      </c>
      <c r="P590" t="n">
        <v>0</v>
      </c>
      <c r="Q590" t="n">
        <v>0</v>
      </c>
      <c r="R590" s="2" t="inlineStr"/>
    </row>
    <row r="591" ht="15" customHeight="1">
      <c r="A591" t="inlineStr">
        <is>
          <t>A 56219-2021</t>
        </is>
      </c>
      <c r="B591" s="1" t="n">
        <v>44477</v>
      </c>
      <c r="C591" s="1" t="n">
        <v>45471</v>
      </c>
      <c r="D591" t="inlineStr">
        <is>
          <t>STOCKHOLMS LÄN</t>
        </is>
      </c>
      <c r="E591" t="inlineStr">
        <is>
          <t>NORRTÄLJE</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56225-2021</t>
        </is>
      </c>
      <c r="B592" s="1" t="n">
        <v>44478</v>
      </c>
      <c r="C592" s="1" t="n">
        <v>45471</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56878-2021</t>
        </is>
      </c>
      <c r="B593" s="1" t="n">
        <v>44481</v>
      </c>
      <c r="C593" s="1" t="n">
        <v>45471</v>
      </c>
      <c r="D593" t="inlineStr">
        <is>
          <t>STOCKHOLMS LÄN</t>
        </is>
      </c>
      <c r="E593" t="inlineStr">
        <is>
          <t>NORRTÄLJE</t>
        </is>
      </c>
      <c r="G593" t="n">
        <v>4.5</v>
      </c>
      <c r="H593" t="n">
        <v>0</v>
      </c>
      <c r="I593" t="n">
        <v>0</v>
      </c>
      <c r="J593" t="n">
        <v>0</v>
      </c>
      <c r="K593" t="n">
        <v>0</v>
      </c>
      <c r="L593" t="n">
        <v>0</v>
      </c>
      <c r="M593" t="n">
        <v>0</v>
      </c>
      <c r="N593" t="n">
        <v>0</v>
      </c>
      <c r="O593" t="n">
        <v>0</v>
      </c>
      <c r="P593" t="n">
        <v>0</v>
      </c>
      <c r="Q593" t="n">
        <v>0</v>
      </c>
      <c r="R593" s="2" t="inlineStr"/>
    </row>
    <row r="594" ht="15" customHeight="1">
      <c r="A594" t="inlineStr">
        <is>
          <t>A 57442-2021</t>
        </is>
      </c>
      <c r="B594" s="1" t="n">
        <v>44483</v>
      </c>
      <c r="C594" s="1" t="n">
        <v>45471</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57507-2021</t>
        </is>
      </c>
      <c r="B595" s="1" t="n">
        <v>44483</v>
      </c>
      <c r="C595" s="1" t="n">
        <v>45471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58989-2021</t>
        </is>
      </c>
      <c r="B596" s="1" t="n">
        <v>44490</v>
      </c>
      <c r="C596" s="1" t="n">
        <v>45471</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58990-2021</t>
        </is>
      </c>
      <c r="B597" s="1" t="n">
        <v>44490</v>
      </c>
      <c r="C597" s="1" t="n">
        <v>45471</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60217-2021</t>
        </is>
      </c>
      <c r="B598" s="1" t="n">
        <v>44495</v>
      </c>
      <c r="C598" s="1" t="n">
        <v>45471</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60184-2021</t>
        </is>
      </c>
      <c r="B599" s="1" t="n">
        <v>44495</v>
      </c>
      <c r="C599" s="1" t="n">
        <v>45471</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60186-2021</t>
        </is>
      </c>
      <c r="B600" s="1" t="n">
        <v>44495</v>
      </c>
      <c r="C600" s="1" t="n">
        <v>45471</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60209-2021</t>
        </is>
      </c>
      <c r="B601" s="1" t="n">
        <v>44495</v>
      </c>
      <c r="C601" s="1" t="n">
        <v>45471</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60671-2021</t>
        </is>
      </c>
      <c r="B602" s="1" t="n">
        <v>44496</v>
      </c>
      <c r="C602" s="1" t="n">
        <v>45471</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60733-2021</t>
        </is>
      </c>
      <c r="B603" s="1" t="n">
        <v>44496</v>
      </c>
      <c r="C603" s="1" t="n">
        <v>45471</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60813-2021</t>
        </is>
      </c>
      <c r="B604" s="1" t="n">
        <v>44496</v>
      </c>
      <c r="C604" s="1" t="n">
        <v>45471</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60822-2021</t>
        </is>
      </c>
      <c r="B605" s="1" t="n">
        <v>44496</v>
      </c>
      <c r="C605" s="1" t="n">
        <v>45471</v>
      </c>
      <c r="D605" t="inlineStr">
        <is>
          <t>STOCKHOLMS LÄN</t>
        </is>
      </c>
      <c r="E605" t="inlineStr">
        <is>
          <t>NORRTÄLJE</t>
        </is>
      </c>
      <c r="G605" t="n">
        <v>7.6</v>
      </c>
      <c r="H605" t="n">
        <v>0</v>
      </c>
      <c r="I605" t="n">
        <v>0</v>
      </c>
      <c r="J605" t="n">
        <v>0</v>
      </c>
      <c r="K605" t="n">
        <v>0</v>
      </c>
      <c r="L605" t="n">
        <v>0</v>
      </c>
      <c r="M605" t="n">
        <v>0</v>
      </c>
      <c r="N605" t="n">
        <v>0</v>
      </c>
      <c r="O605" t="n">
        <v>0</v>
      </c>
      <c r="P605" t="n">
        <v>0</v>
      </c>
      <c r="Q605" t="n">
        <v>0</v>
      </c>
      <c r="R605" s="2" t="inlineStr"/>
    </row>
    <row r="606" ht="15" customHeight="1">
      <c r="A606" t="inlineStr">
        <is>
          <t>A 62030-2021</t>
        </is>
      </c>
      <c r="B606" s="1" t="n">
        <v>44502</v>
      </c>
      <c r="C606" s="1" t="n">
        <v>45471</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63530-2021</t>
        </is>
      </c>
      <c r="B607" s="1" t="n">
        <v>44508</v>
      </c>
      <c r="C607" s="1" t="n">
        <v>45471</v>
      </c>
      <c r="D607" t="inlineStr">
        <is>
          <t>STOCKHOLMS LÄN</t>
        </is>
      </c>
      <c r="E607" t="inlineStr">
        <is>
          <t>NORRTÄLJE</t>
        </is>
      </c>
      <c r="G607" t="n">
        <v>8.9</v>
      </c>
      <c r="H607" t="n">
        <v>0</v>
      </c>
      <c r="I607" t="n">
        <v>0</v>
      </c>
      <c r="J607" t="n">
        <v>0</v>
      </c>
      <c r="K607" t="n">
        <v>0</v>
      </c>
      <c r="L607" t="n">
        <v>0</v>
      </c>
      <c r="M607" t="n">
        <v>0</v>
      </c>
      <c r="N607" t="n">
        <v>0</v>
      </c>
      <c r="O607" t="n">
        <v>0</v>
      </c>
      <c r="P607" t="n">
        <v>0</v>
      </c>
      <c r="Q607" t="n">
        <v>0</v>
      </c>
      <c r="R607" s="2" t="inlineStr"/>
    </row>
    <row r="608" ht="15" customHeight="1">
      <c r="A608" t="inlineStr">
        <is>
          <t>A 64137-2021</t>
        </is>
      </c>
      <c r="B608" s="1" t="n">
        <v>44510</v>
      </c>
      <c r="C608" s="1" t="n">
        <v>45471</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64212-2021</t>
        </is>
      </c>
      <c r="B609" s="1" t="n">
        <v>44510</v>
      </c>
      <c r="C609" s="1" t="n">
        <v>45471</v>
      </c>
      <c r="D609" t="inlineStr">
        <is>
          <t>STOCKHOLMS LÄN</t>
        </is>
      </c>
      <c r="E609" t="inlineStr">
        <is>
          <t>NORRTÄLJE</t>
        </is>
      </c>
      <c r="G609" t="n">
        <v>28.7</v>
      </c>
      <c r="H609" t="n">
        <v>0</v>
      </c>
      <c r="I609" t="n">
        <v>0</v>
      </c>
      <c r="J609" t="n">
        <v>0</v>
      </c>
      <c r="K609" t="n">
        <v>0</v>
      </c>
      <c r="L609" t="n">
        <v>0</v>
      </c>
      <c r="M609" t="n">
        <v>0</v>
      </c>
      <c r="N609" t="n">
        <v>0</v>
      </c>
      <c r="O609" t="n">
        <v>0</v>
      </c>
      <c r="P609" t="n">
        <v>0</v>
      </c>
      <c r="Q609" t="n">
        <v>0</v>
      </c>
      <c r="R609" s="2" t="inlineStr"/>
    </row>
    <row r="610" ht="15" customHeight="1">
      <c r="A610" t="inlineStr">
        <is>
          <t>A 64074-2021</t>
        </is>
      </c>
      <c r="B610" s="1" t="n">
        <v>44510</v>
      </c>
      <c r="C610" s="1" t="n">
        <v>45471</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64145-2021</t>
        </is>
      </c>
      <c r="B611" s="1" t="n">
        <v>44510</v>
      </c>
      <c r="C611" s="1" t="n">
        <v>45471</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64600-2021</t>
        </is>
      </c>
      <c r="B612" s="1" t="n">
        <v>44511</v>
      </c>
      <c r="C612" s="1" t="n">
        <v>45471</v>
      </c>
      <c r="D612" t="inlineStr">
        <is>
          <t>STOCKHOLMS LÄN</t>
        </is>
      </c>
      <c r="E612" t="inlineStr">
        <is>
          <t>NORRTÄLJE</t>
        </is>
      </c>
      <c r="G612" t="n">
        <v>6.2</v>
      </c>
      <c r="H612" t="n">
        <v>0</v>
      </c>
      <c r="I612" t="n">
        <v>0</v>
      </c>
      <c r="J612" t="n">
        <v>0</v>
      </c>
      <c r="K612" t="n">
        <v>0</v>
      </c>
      <c r="L612" t="n">
        <v>0</v>
      </c>
      <c r="M612" t="n">
        <v>0</v>
      </c>
      <c r="N612" t="n">
        <v>0</v>
      </c>
      <c r="O612" t="n">
        <v>0</v>
      </c>
      <c r="P612" t="n">
        <v>0</v>
      </c>
      <c r="Q612" t="n">
        <v>0</v>
      </c>
      <c r="R612" s="2" t="inlineStr"/>
    </row>
    <row r="613" ht="15" customHeight="1">
      <c r="A613" t="inlineStr">
        <is>
          <t>A 64599-2021</t>
        </is>
      </c>
      <c r="B613" s="1" t="n">
        <v>44511</v>
      </c>
      <c r="C613" s="1" t="n">
        <v>45471</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64628-2021</t>
        </is>
      </c>
      <c r="B614" s="1" t="n">
        <v>44511</v>
      </c>
      <c r="C614" s="1" t="n">
        <v>45471</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64915-2021</t>
        </is>
      </c>
      <c r="B615" s="1" t="n">
        <v>44512</v>
      </c>
      <c r="C615" s="1" t="n">
        <v>45471</v>
      </c>
      <c r="D615" t="inlineStr">
        <is>
          <t>STOCKHOLMS LÄN</t>
        </is>
      </c>
      <c r="E615" t="inlineStr">
        <is>
          <t>NORRTÄLJE</t>
        </is>
      </c>
      <c r="G615" t="n">
        <v>2.8</v>
      </c>
      <c r="H615" t="n">
        <v>0</v>
      </c>
      <c r="I615" t="n">
        <v>0</v>
      </c>
      <c r="J615" t="n">
        <v>0</v>
      </c>
      <c r="K615" t="n">
        <v>0</v>
      </c>
      <c r="L615" t="n">
        <v>0</v>
      </c>
      <c r="M615" t="n">
        <v>0</v>
      </c>
      <c r="N615" t="n">
        <v>0</v>
      </c>
      <c r="O615" t="n">
        <v>0</v>
      </c>
      <c r="P615" t="n">
        <v>0</v>
      </c>
      <c r="Q615" t="n">
        <v>0</v>
      </c>
      <c r="R615" s="2" t="inlineStr"/>
    </row>
    <row r="616" ht="15" customHeight="1">
      <c r="A616" t="inlineStr">
        <is>
          <t>A 65359-2021</t>
        </is>
      </c>
      <c r="B616" s="1" t="n">
        <v>44515</v>
      </c>
      <c r="C616" s="1" t="n">
        <v>45471</v>
      </c>
      <c r="D616" t="inlineStr">
        <is>
          <t>STOCKHOLMS LÄN</t>
        </is>
      </c>
      <c r="E616" t="inlineStr">
        <is>
          <t>NORRTÄLJE</t>
        </is>
      </c>
      <c r="F616" t="inlineStr">
        <is>
          <t>Kyrkan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65499-2021</t>
        </is>
      </c>
      <c r="B617" s="1" t="n">
        <v>44516</v>
      </c>
      <c r="C617" s="1" t="n">
        <v>45471</v>
      </c>
      <c r="D617" t="inlineStr">
        <is>
          <t>STOCKHOLMS LÄN</t>
        </is>
      </c>
      <c r="E617" t="inlineStr">
        <is>
          <t>NORRTÄLJE</t>
        </is>
      </c>
      <c r="F617" t="inlineStr">
        <is>
          <t>Kommuner</t>
        </is>
      </c>
      <c r="G617" t="n">
        <v>5.2</v>
      </c>
      <c r="H617" t="n">
        <v>0</v>
      </c>
      <c r="I617" t="n">
        <v>0</v>
      </c>
      <c r="J617" t="n">
        <v>0</v>
      </c>
      <c r="K617" t="n">
        <v>0</v>
      </c>
      <c r="L617" t="n">
        <v>0</v>
      </c>
      <c r="M617" t="n">
        <v>0</v>
      </c>
      <c r="N617" t="n">
        <v>0</v>
      </c>
      <c r="O617" t="n">
        <v>0</v>
      </c>
      <c r="P617" t="n">
        <v>0</v>
      </c>
      <c r="Q617" t="n">
        <v>0</v>
      </c>
      <c r="R617" s="2" t="inlineStr"/>
    </row>
    <row r="618" ht="15" customHeight="1">
      <c r="A618" t="inlineStr">
        <is>
          <t>A 65513-2021</t>
        </is>
      </c>
      <c r="B618" s="1" t="n">
        <v>44516</v>
      </c>
      <c r="C618" s="1" t="n">
        <v>45471</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65511-2021</t>
        </is>
      </c>
      <c r="B619" s="1" t="n">
        <v>44516</v>
      </c>
      <c r="C619" s="1" t="n">
        <v>45471</v>
      </c>
      <c r="D619" t="inlineStr">
        <is>
          <t>STOCKHOLMS LÄN</t>
        </is>
      </c>
      <c r="E619" t="inlineStr">
        <is>
          <t>NORRTÄLJE</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65501-2021</t>
        </is>
      </c>
      <c r="B620" s="1" t="n">
        <v>44516</v>
      </c>
      <c r="C620" s="1" t="n">
        <v>45471</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65509-2021</t>
        </is>
      </c>
      <c r="B621" s="1" t="n">
        <v>44516</v>
      </c>
      <c r="C621" s="1" t="n">
        <v>45471</v>
      </c>
      <c r="D621" t="inlineStr">
        <is>
          <t>STOCKHOLMS LÄN</t>
        </is>
      </c>
      <c r="E621" t="inlineStr">
        <is>
          <t>NORRTÄLJE</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65611-2021</t>
        </is>
      </c>
      <c r="B622" s="1" t="n">
        <v>44516</v>
      </c>
      <c r="C622" s="1" t="n">
        <v>45471</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65737-2021</t>
        </is>
      </c>
      <c r="B623" s="1" t="n">
        <v>44516</v>
      </c>
      <c r="C623" s="1" t="n">
        <v>45471</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66450-2021</t>
        </is>
      </c>
      <c r="B624" s="1" t="n">
        <v>44518</v>
      </c>
      <c r="C624" s="1" t="n">
        <v>45471</v>
      </c>
      <c r="D624" t="inlineStr">
        <is>
          <t>STOCKHOLMS LÄN</t>
        </is>
      </c>
      <c r="E624" t="inlineStr">
        <is>
          <t>NORRTÄLJE</t>
        </is>
      </c>
      <c r="G624" t="n">
        <v>9.1</v>
      </c>
      <c r="H624" t="n">
        <v>0</v>
      </c>
      <c r="I624" t="n">
        <v>0</v>
      </c>
      <c r="J624" t="n">
        <v>0</v>
      </c>
      <c r="K624" t="n">
        <v>0</v>
      </c>
      <c r="L624" t="n">
        <v>0</v>
      </c>
      <c r="M624" t="n">
        <v>0</v>
      </c>
      <c r="N624" t="n">
        <v>0</v>
      </c>
      <c r="O624" t="n">
        <v>0</v>
      </c>
      <c r="P624" t="n">
        <v>0</v>
      </c>
      <c r="Q624" t="n">
        <v>0</v>
      </c>
      <c r="R624" s="2" t="inlineStr"/>
    </row>
    <row r="625" ht="15" customHeight="1">
      <c r="A625" t="inlineStr">
        <is>
          <t>A 66608-2021</t>
        </is>
      </c>
      <c r="B625" s="1" t="n">
        <v>44519</v>
      </c>
      <c r="C625" s="1" t="n">
        <v>45471</v>
      </c>
      <c r="D625" t="inlineStr">
        <is>
          <t>STOCKHOLMS LÄN</t>
        </is>
      </c>
      <c r="E625" t="inlineStr">
        <is>
          <t>NORRTÄLJE</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66592-2021</t>
        </is>
      </c>
      <c r="B626" s="1" t="n">
        <v>44519</v>
      </c>
      <c r="C626" s="1" t="n">
        <v>45471</v>
      </c>
      <c r="D626" t="inlineStr">
        <is>
          <t>STOCKHOLMS LÄN</t>
        </is>
      </c>
      <c r="E626" t="inlineStr">
        <is>
          <t>NORRTÄLJE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66769-2021</t>
        </is>
      </c>
      <c r="B627" s="1" t="n">
        <v>44521</v>
      </c>
      <c r="C627" s="1" t="n">
        <v>45471</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67285-2021</t>
        </is>
      </c>
      <c r="B628" s="1" t="n">
        <v>44523</v>
      </c>
      <c r="C628" s="1" t="n">
        <v>45471</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67525-2021</t>
        </is>
      </c>
      <c r="B629" s="1" t="n">
        <v>44524</v>
      </c>
      <c r="C629" s="1" t="n">
        <v>45471</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45471</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45471</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67990-2021</t>
        </is>
      </c>
      <c r="B632" s="1" t="n">
        <v>44525</v>
      </c>
      <c r="C632" s="1" t="n">
        <v>45471</v>
      </c>
      <c r="D632" t="inlineStr">
        <is>
          <t>STOCKHOLMS LÄN</t>
        </is>
      </c>
      <c r="E632" t="inlineStr">
        <is>
          <t>NORRTÄLJE</t>
        </is>
      </c>
      <c r="F632" t="inlineStr">
        <is>
          <t>Sveaskog</t>
        </is>
      </c>
      <c r="G632" t="n">
        <v>7.8</v>
      </c>
      <c r="H632" t="n">
        <v>0</v>
      </c>
      <c r="I632" t="n">
        <v>0</v>
      </c>
      <c r="J632" t="n">
        <v>0</v>
      </c>
      <c r="K632" t="n">
        <v>0</v>
      </c>
      <c r="L632" t="n">
        <v>0</v>
      </c>
      <c r="M632" t="n">
        <v>0</v>
      </c>
      <c r="N632" t="n">
        <v>0</v>
      </c>
      <c r="O632" t="n">
        <v>0</v>
      </c>
      <c r="P632" t="n">
        <v>0</v>
      </c>
      <c r="Q632" t="n">
        <v>0</v>
      </c>
      <c r="R632" s="2" t="inlineStr"/>
    </row>
    <row r="633" ht="15" customHeight="1">
      <c r="A633" t="inlineStr">
        <is>
          <t>A 67992-2021</t>
        </is>
      </c>
      <c r="B633" s="1" t="n">
        <v>44525</v>
      </c>
      <c r="C633" s="1" t="n">
        <v>45471</v>
      </c>
      <c r="D633" t="inlineStr">
        <is>
          <t>STOCKHOLMS LÄN</t>
        </is>
      </c>
      <c r="E633" t="inlineStr">
        <is>
          <t>NORRTÄLJE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67993-2021</t>
        </is>
      </c>
      <c r="B634" s="1" t="n">
        <v>44525</v>
      </c>
      <c r="C634" s="1" t="n">
        <v>45471</v>
      </c>
      <c r="D634" t="inlineStr">
        <is>
          <t>STOCKHOLMS LÄN</t>
        </is>
      </c>
      <c r="E634" t="inlineStr">
        <is>
          <t>NORRTÄLJE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68273-2021</t>
        </is>
      </c>
      <c r="B635" s="1" t="n">
        <v>44526</v>
      </c>
      <c r="C635" s="1" t="n">
        <v>45471</v>
      </c>
      <c r="D635" t="inlineStr">
        <is>
          <t>STOCKHOLMS LÄN</t>
        </is>
      </c>
      <c r="E635" t="inlineStr">
        <is>
          <t>NORRTÄLJE</t>
        </is>
      </c>
      <c r="G635" t="n">
        <v>5.3</v>
      </c>
      <c r="H635" t="n">
        <v>0</v>
      </c>
      <c r="I635" t="n">
        <v>0</v>
      </c>
      <c r="J635" t="n">
        <v>0</v>
      </c>
      <c r="K635" t="n">
        <v>0</v>
      </c>
      <c r="L635" t="n">
        <v>0</v>
      </c>
      <c r="M635" t="n">
        <v>0</v>
      </c>
      <c r="N635" t="n">
        <v>0</v>
      </c>
      <c r="O635" t="n">
        <v>0</v>
      </c>
      <c r="P635" t="n">
        <v>0</v>
      </c>
      <c r="Q635" t="n">
        <v>0</v>
      </c>
      <c r="R635" s="2" t="inlineStr"/>
    </row>
    <row r="636" ht="15" customHeight="1">
      <c r="A636" t="inlineStr">
        <is>
          <t>A 68361-2021</t>
        </is>
      </c>
      <c r="B636" s="1" t="n">
        <v>44528</v>
      </c>
      <c r="C636" s="1" t="n">
        <v>45471</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69034-2021</t>
        </is>
      </c>
      <c r="B637" s="1" t="n">
        <v>44529</v>
      </c>
      <c r="C637" s="1" t="n">
        <v>45471</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69539-2021</t>
        </is>
      </c>
      <c r="B638" s="1" t="n">
        <v>44531</v>
      </c>
      <c r="C638" s="1" t="n">
        <v>45471</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69723-2021</t>
        </is>
      </c>
      <c r="B639" s="1" t="n">
        <v>44532</v>
      </c>
      <c r="C639" s="1" t="n">
        <v>45471</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69816-2021</t>
        </is>
      </c>
      <c r="B640" s="1" t="n">
        <v>44532</v>
      </c>
      <c r="C640" s="1" t="n">
        <v>45471</v>
      </c>
      <c r="D640" t="inlineStr">
        <is>
          <t>STOCKHOLMS LÄN</t>
        </is>
      </c>
      <c r="E640" t="inlineStr">
        <is>
          <t>NORRTÄLJE</t>
        </is>
      </c>
      <c r="G640" t="n">
        <v>4.9</v>
      </c>
      <c r="H640" t="n">
        <v>0</v>
      </c>
      <c r="I640" t="n">
        <v>0</v>
      </c>
      <c r="J640" t="n">
        <v>0</v>
      </c>
      <c r="K640" t="n">
        <v>0</v>
      </c>
      <c r="L640" t="n">
        <v>0</v>
      </c>
      <c r="M640" t="n">
        <v>0</v>
      </c>
      <c r="N640" t="n">
        <v>0</v>
      </c>
      <c r="O640" t="n">
        <v>0</v>
      </c>
      <c r="P640" t="n">
        <v>0</v>
      </c>
      <c r="Q640" t="n">
        <v>0</v>
      </c>
      <c r="R640" s="2" t="inlineStr"/>
    </row>
    <row r="641" ht="15" customHeight="1">
      <c r="A641" t="inlineStr">
        <is>
          <t>A 70170-2021</t>
        </is>
      </c>
      <c r="B641" s="1" t="n">
        <v>44533</v>
      </c>
      <c r="C641" s="1" t="n">
        <v>45471</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69988-2021</t>
        </is>
      </c>
      <c r="B642" s="1" t="n">
        <v>44533</v>
      </c>
      <c r="C642" s="1" t="n">
        <v>45471</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70469-2021</t>
        </is>
      </c>
      <c r="B643" s="1" t="n">
        <v>44536</v>
      </c>
      <c r="C643" s="1" t="n">
        <v>45471</v>
      </c>
      <c r="D643" t="inlineStr">
        <is>
          <t>STOCKHOLMS LÄN</t>
        </is>
      </c>
      <c r="E643" t="inlineStr">
        <is>
          <t>NORRTÄLJE</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71325-2021</t>
        </is>
      </c>
      <c r="B644" s="1" t="n">
        <v>44539</v>
      </c>
      <c r="C644" s="1" t="n">
        <v>45471</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71552-2021</t>
        </is>
      </c>
      <c r="B645" s="1" t="n">
        <v>44540</v>
      </c>
      <c r="C645" s="1" t="n">
        <v>45471</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71479-2021</t>
        </is>
      </c>
      <c r="B646" s="1" t="n">
        <v>44540</v>
      </c>
      <c r="C646" s="1" t="n">
        <v>45471</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71543-2021</t>
        </is>
      </c>
      <c r="B647" s="1" t="n">
        <v>44540</v>
      </c>
      <c r="C647" s="1" t="n">
        <v>45471</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71873-2021</t>
        </is>
      </c>
      <c r="B648" s="1" t="n">
        <v>44543</v>
      </c>
      <c r="C648" s="1" t="n">
        <v>45471</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71876-2021</t>
        </is>
      </c>
      <c r="B649" s="1" t="n">
        <v>44543</v>
      </c>
      <c r="C649" s="1" t="n">
        <v>45471</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45471</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71871-2021</t>
        </is>
      </c>
      <c r="B651" s="1" t="n">
        <v>44543</v>
      </c>
      <c r="C651" s="1" t="n">
        <v>45471</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71878-2021</t>
        </is>
      </c>
      <c r="B652" s="1" t="n">
        <v>44543</v>
      </c>
      <c r="C652" s="1" t="n">
        <v>45471</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72085-2021</t>
        </is>
      </c>
      <c r="B653" s="1" t="n">
        <v>44544</v>
      </c>
      <c r="C653" s="1" t="n">
        <v>45471</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72202-2021</t>
        </is>
      </c>
      <c r="B654" s="1" t="n">
        <v>44544</v>
      </c>
      <c r="C654" s="1" t="n">
        <v>45471</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72308-2021</t>
        </is>
      </c>
      <c r="B655" s="1" t="n">
        <v>44545</v>
      </c>
      <c r="C655" s="1" t="n">
        <v>45471</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72343-2021</t>
        </is>
      </c>
      <c r="B656" s="1" t="n">
        <v>44545</v>
      </c>
      <c r="C656" s="1" t="n">
        <v>45471</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72357-2021</t>
        </is>
      </c>
      <c r="B657" s="1" t="n">
        <v>44545</v>
      </c>
      <c r="C657" s="1" t="n">
        <v>45471</v>
      </c>
      <c r="D657" t="inlineStr">
        <is>
          <t>STOCKHOLMS LÄN</t>
        </is>
      </c>
      <c r="E657" t="inlineStr">
        <is>
          <t>NORRTÄLJE</t>
        </is>
      </c>
      <c r="G657" t="n">
        <v>5.1</v>
      </c>
      <c r="H657" t="n">
        <v>0</v>
      </c>
      <c r="I657" t="n">
        <v>0</v>
      </c>
      <c r="J657" t="n">
        <v>0</v>
      </c>
      <c r="K657" t="n">
        <v>0</v>
      </c>
      <c r="L657" t="n">
        <v>0</v>
      </c>
      <c r="M657" t="n">
        <v>0</v>
      </c>
      <c r="N657" t="n">
        <v>0</v>
      </c>
      <c r="O657" t="n">
        <v>0</v>
      </c>
      <c r="P657" t="n">
        <v>0</v>
      </c>
      <c r="Q657" t="n">
        <v>0</v>
      </c>
      <c r="R657" s="2" t="inlineStr"/>
    </row>
    <row r="658" ht="15" customHeight="1">
      <c r="A658" t="inlineStr">
        <is>
          <t>A 72355-2021</t>
        </is>
      </c>
      <c r="B658" s="1" t="n">
        <v>44545</v>
      </c>
      <c r="C658" s="1" t="n">
        <v>45471</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72353-2021</t>
        </is>
      </c>
      <c r="B659" s="1" t="n">
        <v>44545</v>
      </c>
      <c r="C659" s="1" t="n">
        <v>45471</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72747-2021</t>
        </is>
      </c>
      <c r="B660" s="1" t="n">
        <v>44546</v>
      </c>
      <c r="C660" s="1" t="n">
        <v>45471</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72704-2021</t>
        </is>
      </c>
      <c r="B661" s="1" t="n">
        <v>44546</v>
      </c>
      <c r="C661" s="1" t="n">
        <v>45471</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72890-2021</t>
        </is>
      </c>
      <c r="B662" s="1" t="n">
        <v>44547</v>
      </c>
      <c r="C662" s="1" t="n">
        <v>45471</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73311-2021</t>
        </is>
      </c>
      <c r="B663" s="1" t="n">
        <v>44549</v>
      </c>
      <c r="C663" s="1" t="n">
        <v>45471</v>
      </c>
      <c r="D663" t="inlineStr">
        <is>
          <t>STOCKHOLMS LÄN</t>
        </is>
      </c>
      <c r="E663" t="inlineStr">
        <is>
          <t>NORRTÄLJE</t>
        </is>
      </c>
      <c r="G663" t="n">
        <v>5.2</v>
      </c>
      <c r="H663" t="n">
        <v>0</v>
      </c>
      <c r="I663" t="n">
        <v>0</v>
      </c>
      <c r="J663" t="n">
        <v>0</v>
      </c>
      <c r="K663" t="n">
        <v>0</v>
      </c>
      <c r="L663" t="n">
        <v>0</v>
      </c>
      <c r="M663" t="n">
        <v>0</v>
      </c>
      <c r="N663" t="n">
        <v>0</v>
      </c>
      <c r="O663" t="n">
        <v>0</v>
      </c>
      <c r="P663" t="n">
        <v>0</v>
      </c>
      <c r="Q663" t="n">
        <v>0</v>
      </c>
      <c r="R663" s="2" t="inlineStr"/>
    </row>
    <row r="664" ht="15" customHeight="1">
      <c r="A664" t="inlineStr">
        <is>
          <t>A 73307-2021</t>
        </is>
      </c>
      <c r="B664" s="1" t="n">
        <v>44549</v>
      </c>
      <c r="C664" s="1" t="n">
        <v>45471</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73271-2021</t>
        </is>
      </c>
      <c r="B665" s="1" t="n">
        <v>44550</v>
      </c>
      <c r="C665" s="1" t="n">
        <v>45471</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73504-2021</t>
        </is>
      </c>
      <c r="B666" s="1" t="n">
        <v>44551</v>
      </c>
      <c r="C666" s="1" t="n">
        <v>45471</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73855-2021</t>
        </is>
      </c>
      <c r="B667" s="1" t="n">
        <v>44552</v>
      </c>
      <c r="C667" s="1" t="n">
        <v>45471</v>
      </c>
      <c r="D667" t="inlineStr">
        <is>
          <t>STOCKHOLMS LÄN</t>
        </is>
      </c>
      <c r="E667" t="inlineStr">
        <is>
          <t>NORRTÄLJE</t>
        </is>
      </c>
      <c r="F667" t="inlineStr">
        <is>
          <t>Övriga Aktiebolag</t>
        </is>
      </c>
      <c r="G667" t="n">
        <v>4</v>
      </c>
      <c r="H667" t="n">
        <v>0</v>
      </c>
      <c r="I667" t="n">
        <v>0</v>
      </c>
      <c r="J667" t="n">
        <v>0</v>
      </c>
      <c r="K667" t="n">
        <v>0</v>
      </c>
      <c r="L667" t="n">
        <v>0</v>
      </c>
      <c r="M667" t="n">
        <v>0</v>
      </c>
      <c r="N667" t="n">
        <v>0</v>
      </c>
      <c r="O667" t="n">
        <v>0</v>
      </c>
      <c r="P667" t="n">
        <v>0</v>
      </c>
      <c r="Q667" t="n">
        <v>0</v>
      </c>
      <c r="R667" s="2" t="inlineStr"/>
    </row>
    <row r="668" ht="15" customHeight="1">
      <c r="A668" t="inlineStr">
        <is>
          <t>A 73992-2021</t>
        </is>
      </c>
      <c r="B668" s="1" t="n">
        <v>44556</v>
      </c>
      <c r="C668" s="1" t="n">
        <v>45471</v>
      </c>
      <c r="D668" t="inlineStr">
        <is>
          <t>STOCKHOLMS LÄN</t>
        </is>
      </c>
      <c r="E668" t="inlineStr">
        <is>
          <t>NORRTÄLJE</t>
        </is>
      </c>
      <c r="G668" t="n">
        <v>12.5</v>
      </c>
      <c r="H668" t="n">
        <v>0</v>
      </c>
      <c r="I668" t="n">
        <v>0</v>
      </c>
      <c r="J668" t="n">
        <v>0</v>
      </c>
      <c r="K668" t="n">
        <v>0</v>
      </c>
      <c r="L668" t="n">
        <v>0</v>
      </c>
      <c r="M668" t="n">
        <v>0</v>
      </c>
      <c r="N668" t="n">
        <v>0</v>
      </c>
      <c r="O668" t="n">
        <v>0</v>
      </c>
      <c r="P668" t="n">
        <v>0</v>
      </c>
      <c r="Q668" t="n">
        <v>0</v>
      </c>
      <c r="R668" s="2" t="inlineStr"/>
    </row>
    <row r="669" ht="15" customHeight="1">
      <c r="A669" t="inlineStr">
        <is>
          <t>A 73993-2021</t>
        </is>
      </c>
      <c r="B669" s="1" t="n">
        <v>44556</v>
      </c>
      <c r="C669" s="1" t="n">
        <v>45471</v>
      </c>
      <c r="D669" t="inlineStr">
        <is>
          <t>STOCKHOLMS LÄN</t>
        </is>
      </c>
      <c r="E669" t="inlineStr">
        <is>
          <t>NORRTÄLJE</t>
        </is>
      </c>
      <c r="G669" t="n">
        <v>5</v>
      </c>
      <c r="H669" t="n">
        <v>0</v>
      </c>
      <c r="I669" t="n">
        <v>0</v>
      </c>
      <c r="J669" t="n">
        <v>0</v>
      </c>
      <c r="K669" t="n">
        <v>0</v>
      </c>
      <c r="L669" t="n">
        <v>0</v>
      </c>
      <c r="M669" t="n">
        <v>0</v>
      </c>
      <c r="N669" t="n">
        <v>0</v>
      </c>
      <c r="O669" t="n">
        <v>0</v>
      </c>
      <c r="P669" t="n">
        <v>0</v>
      </c>
      <c r="Q669" t="n">
        <v>0</v>
      </c>
      <c r="R669" s="2" t="inlineStr"/>
    </row>
    <row r="670" ht="15" customHeight="1">
      <c r="A670" t="inlineStr">
        <is>
          <t>A 74468-2021</t>
        </is>
      </c>
      <c r="B670" s="1" t="n">
        <v>44560</v>
      </c>
      <c r="C670" s="1" t="n">
        <v>45471</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185-2022</t>
        </is>
      </c>
      <c r="B671" s="1" t="n">
        <v>44564</v>
      </c>
      <c r="C671" s="1" t="n">
        <v>45471</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190-2022</t>
        </is>
      </c>
      <c r="B672" s="1" t="n">
        <v>44564</v>
      </c>
      <c r="C672" s="1" t="n">
        <v>45471</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187-2022</t>
        </is>
      </c>
      <c r="B673" s="1" t="n">
        <v>44564</v>
      </c>
      <c r="C673" s="1" t="n">
        <v>45471</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77-2022</t>
        </is>
      </c>
      <c r="B674" s="1" t="n">
        <v>44564</v>
      </c>
      <c r="C674" s="1" t="n">
        <v>45471</v>
      </c>
      <c r="D674" t="inlineStr">
        <is>
          <t>STOCKHOLMS LÄN</t>
        </is>
      </c>
      <c r="E674" t="inlineStr">
        <is>
          <t>NORRTÄLJE</t>
        </is>
      </c>
      <c r="G674" t="n">
        <v>4.1</v>
      </c>
      <c r="H674" t="n">
        <v>0</v>
      </c>
      <c r="I674" t="n">
        <v>0</v>
      </c>
      <c r="J674" t="n">
        <v>0</v>
      </c>
      <c r="K674" t="n">
        <v>0</v>
      </c>
      <c r="L674" t="n">
        <v>0</v>
      </c>
      <c r="M674" t="n">
        <v>0</v>
      </c>
      <c r="N674" t="n">
        <v>0</v>
      </c>
      <c r="O674" t="n">
        <v>0</v>
      </c>
      <c r="P674" t="n">
        <v>0</v>
      </c>
      <c r="Q674" t="n">
        <v>0</v>
      </c>
      <c r="R674" s="2" t="inlineStr"/>
    </row>
    <row r="675" ht="15" customHeight="1">
      <c r="A675" t="inlineStr">
        <is>
          <t>A 459-2022</t>
        </is>
      </c>
      <c r="B675" s="1" t="n">
        <v>44565</v>
      </c>
      <c r="C675" s="1" t="n">
        <v>45471</v>
      </c>
      <c r="D675" t="inlineStr">
        <is>
          <t>STOCKHOLMS LÄN</t>
        </is>
      </c>
      <c r="E675" t="inlineStr">
        <is>
          <t>NORRTÄLJE</t>
        </is>
      </c>
      <c r="F675" t="inlineStr">
        <is>
          <t>Övriga Aktiebolag</t>
        </is>
      </c>
      <c r="G675" t="n">
        <v>17.3</v>
      </c>
      <c r="H675" t="n">
        <v>0</v>
      </c>
      <c r="I675" t="n">
        <v>0</v>
      </c>
      <c r="J675" t="n">
        <v>0</v>
      </c>
      <c r="K675" t="n">
        <v>0</v>
      </c>
      <c r="L675" t="n">
        <v>0</v>
      </c>
      <c r="M675" t="n">
        <v>0</v>
      </c>
      <c r="N675" t="n">
        <v>0</v>
      </c>
      <c r="O675" t="n">
        <v>0</v>
      </c>
      <c r="P675" t="n">
        <v>0</v>
      </c>
      <c r="Q675" t="n">
        <v>0</v>
      </c>
      <c r="R675" s="2" t="inlineStr"/>
    </row>
    <row r="676" ht="15" customHeight="1">
      <c r="A676" t="inlineStr">
        <is>
          <t>A 1058-2022</t>
        </is>
      </c>
      <c r="B676" s="1" t="n">
        <v>44571</v>
      </c>
      <c r="C676" s="1" t="n">
        <v>45471</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1051-2022</t>
        </is>
      </c>
      <c r="B677" s="1" t="n">
        <v>44571</v>
      </c>
      <c r="C677" s="1" t="n">
        <v>45471</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1054-2022</t>
        </is>
      </c>
      <c r="B678" s="1" t="n">
        <v>44571</v>
      </c>
      <c r="C678" s="1" t="n">
        <v>45471</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1229-2022</t>
        </is>
      </c>
      <c r="B679" s="1" t="n">
        <v>44572</v>
      </c>
      <c r="C679" s="1" t="n">
        <v>45471</v>
      </c>
      <c r="D679" t="inlineStr">
        <is>
          <t>STOCKHOLMS LÄN</t>
        </is>
      </c>
      <c r="E679" t="inlineStr">
        <is>
          <t>NORRTÄLJE</t>
        </is>
      </c>
      <c r="G679" t="n">
        <v>11.5</v>
      </c>
      <c r="H679" t="n">
        <v>0</v>
      </c>
      <c r="I679" t="n">
        <v>0</v>
      </c>
      <c r="J679" t="n">
        <v>0</v>
      </c>
      <c r="K679" t="n">
        <v>0</v>
      </c>
      <c r="L679" t="n">
        <v>0</v>
      </c>
      <c r="M679" t="n">
        <v>0</v>
      </c>
      <c r="N679" t="n">
        <v>0</v>
      </c>
      <c r="O679" t="n">
        <v>0</v>
      </c>
      <c r="P679" t="n">
        <v>0</v>
      </c>
      <c r="Q679" t="n">
        <v>0</v>
      </c>
      <c r="R679" s="2" t="inlineStr"/>
    </row>
    <row r="680" ht="15" customHeight="1">
      <c r="A680" t="inlineStr">
        <is>
          <t>A 1704-2022</t>
        </is>
      </c>
      <c r="B680" s="1" t="n">
        <v>44574</v>
      </c>
      <c r="C680" s="1" t="n">
        <v>45471</v>
      </c>
      <c r="D680" t="inlineStr">
        <is>
          <t>STOCKHOLMS LÄN</t>
        </is>
      </c>
      <c r="E680" t="inlineStr">
        <is>
          <t>NORRTÄLJE</t>
        </is>
      </c>
      <c r="G680" t="n">
        <v>6.2</v>
      </c>
      <c r="H680" t="n">
        <v>0</v>
      </c>
      <c r="I680" t="n">
        <v>0</v>
      </c>
      <c r="J680" t="n">
        <v>0</v>
      </c>
      <c r="K680" t="n">
        <v>0</v>
      </c>
      <c r="L680" t="n">
        <v>0</v>
      </c>
      <c r="M680" t="n">
        <v>0</v>
      </c>
      <c r="N680" t="n">
        <v>0</v>
      </c>
      <c r="O680" t="n">
        <v>0</v>
      </c>
      <c r="P680" t="n">
        <v>0</v>
      </c>
      <c r="Q680" t="n">
        <v>0</v>
      </c>
      <c r="R680" s="2" t="inlineStr"/>
    </row>
    <row r="681" ht="15" customHeight="1">
      <c r="A681" t="inlineStr">
        <is>
          <t>A 1968-2022</t>
        </is>
      </c>
      <c r="B681" s="1" t="n">
        <v>44575</v>
      </c>
      <c r="C681" s="1" t="n">
        <v>45471</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2182-2022</t>
        </is>
      </c>
      <c r="B682" s="1" t="n">
        <v>44578</v>
      </c>
      <c r="C682" s="1" t="n">
        <v>45471</v>
      </c>
      <c r="D682" t="inlineStr">
        <is>
          <t>STOCKHOLMS LÄN</t>
        </is>
      </c>
      <c r="E682" t="inlineStr">
        <is>
          <t>NORRTÄLJE</t>
        </is>
      </c>
      <c r="G682" t="n">
        <v>7.2</v>
      </c>
      <c r="H682" t="n">
        <v>0</v>
      </c>
      <c r="I682" t="n">
        <v>0</v>
      </c>
      <c r="J682" t="n">
        <v>0</v>
      </c>
      <c r="K682" t="n">
        <v>0</v>
      </c>
      <c r="L682" t="n">
        <v>0</v>
      </c>
      <c r="M682" t="n">
        <v>0</v>
      </c>
      <c r="N682" t="n">
        <v>0</v>
      </c>
      <c r="O682" t="n">
        <v>0</v>
      </c>
      <c r="P682" t="n">
        <v>0</v>
      </c>
      <c r="Q682" t="n">
        <v>0</v>
      </c>
      <c r="R682" s="2" t="inlineStr"/>
    </row>
    <row r="683" ht="15" customHeight="1">
      <c r="A683" t="inlineStr">
        <is>
          <t>A 2549-2022</t>
        </is>
      </c>
      <c r="B683" s="1" t="n">
        <v>44580</v>
      </c>
      <c r="C683" s="1" t="n">
        <v>45471</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2732-2022</t>
        </is>
      </c>
      <c r="B684" s="1" t="n">
        <v>44580</v>
      </c>
      <c r="C684" s="1" t="n">
        <v>45471</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2888-2022</t>
        </is>
      </c>
      <c r="B685" s="1" t="n">
        <v>44581</v>
      </c>
      <c r="C685" s="1" t="n">
        <v>45471</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2977-2022</t>
        </is>
      </c>
      <c r="B686" s="1" t="n">
        <v>44581</v>
      </c>
      <c r="C686" s="1" t="n">
        <v>45471</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3300-2022</t>
        </is>
      </c>
      <c r="B687" s="1" t="n">
        <v>44584</v>
      </c>
      <c r="C687" s="1" t="n">
        <v>45471</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3310-2022</t>
        </is>
      </c>
      <c r="B688" s="1" t="n">
        <v>44584</v>
      </c>
      <c r="C688" s="1" t="n">
        <v>45471</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3396-2022</t>
        </is>
      </c>
      <c r="B689" s="1" t="n">
        <v>44585</v>
      </c>
      <c r="C689" s="1" t="n">
        <v>45471</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3509-2022</t>
        </is>
      </c>
      <c r="B690" s="1" t="n">
        <v>44585</v>
      </c>
      <c r="C690" s="1" t="n">
        <v>45471</v>
      </c>
      <c r="D690" t="inlineStr">
        <is>
          <t>STOCKHOLMS LÄN</t>
        </is>
      </c>
      <c r="E690" t="inlineStr">
        <is>
          <t>NORRTÄLJE</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4860-2022</t>
        </is>
      </c>
      <c r="B691" s="1" t="n">
        <v>44592</v>
      </c>
      <c r="C691" s="1" t="n">
        <v>45471</v>
      </c>
      <c r="D691" t="inlineStr">
        <is>
          <t>STOCKHOLMS LÄN</t>
        </is>
      </c>
      <c r="E691" t="inlineStr">
        <is>
          <t>NORRTÄLJE</t>
        </is>
      </c>
      <c r="G691" t="n">
        <v>22.3</v>
      </c>
      <c r="H691" t="n">
        <v>0</v>
      </c>
      <c r="I691" t="n">
        <v>0</v>
      </c>
      <c r="J691" t="n">
        <v>0</v>
      </c>
      <c r="K691" t="n">
        <v>0</v>
      </c>
      <c r="L691" t="n">
        <v>0</v>
      </c>
      <c r="M691" t="n">
        <v>0</v>
      </c>
      <c r="N691" t="n">
        <v>0</v>
      </c>
      <c r="O691" t="n">
        <v>0</v>
      </c>
      <c r="P691" t="n">
        <v>0</v>
      </c>
      <c r="Q691" t="n">
        <v>0</v>
      </c>
      <c r="R691" s="2" t="inlineStr"/>
    </row>
    <row r="692" ht="15" customHeight="1">
      <c r="A692" t="inlineStr">
        <is>
          <t>A 5351-2022</t>
        </is>
      </c>
      <c r="B692" s="1" t="n">
        <v>44594</v>
      </c>
      <c r="C692" s="1" t="n">
        <v>45471</v>
      </c>
      <c r="D692" t="inlineStr">
        <is>
          <t>STOCKHOLMS LÄN</t>
        </is>
      </c>
      <c r="E692" t="inlineStr">
        <is>
          <t>NORRTÄLJE</t>
        </is>
      </c>
      <c r="G692" t="n">
        <v>4</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45471</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5611-2022</t>
        </is>
      </c>
      <c r="B694" s="1" t="n">
        <v>44595</v>
      </c>
      <c r="C694" s="1" t="n">
        <v>45471</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5831-2022</t>
        </is>
      </c>
      <c r="B695" s="1" t="n">
        <v>44596</v>
      </c>
      <c r="C695" s="1" t="n">
        <v>45471</v>
      </c>
      <c r="D695" t="inlineStr">
        <is>
          <t>STOCKHOLMS LÄN</t>
        </is>
      </c>
      <c r="E695" t="inlineStr">
        <is>
          <t>NORRTÄLJE</t>
        </is>
      </c>
      <c r="G695" t="n">
        <v>4.8</v>
      </c>
      <c r="H695" t="n">
        <v>0</v>
      </c>
      <c r="I695" t="n">
        <v>0</v>
      </c>
      <c r="J695" t="n">
        <v>0</v>
      </c>
      <c r="K695" t="n">
        <v>0</v>
      </c>
      <c r="L695" t="n">
        <v>0</v>
      </c>
      <c r="M695" t="n">
        <v>0</v>
      </c>
      <c r="N695" t="n">
        <v>0</v>
      </c>
      <c r="O695" t="n">
        <v>0</v>
      </c>
      <c r="P695" t="n">
        <v>0</v>
      </c>
      <c r="Q695" t="n">
        <v>0</v>
      </c>
      <c r="R695" s="2" t="inlineStr"/>
    </row>
    <row r="696" ht="15" customHeight="1">
      <c r="A696" t="inlineStr">
        <is>
          <t>A 5867-2022</t>
        </is>
      </c>
      <c r="B696" s="1" t="n">
        <v>44596</v>
      </c>
      <c r="C696" s="1" t="n">
        <v>45471</v>
      </c>
      <c r="D696" t="inlineStr">
        <is>
          <t>STOCKHOLMS LÄN</t>
        </is>
      </c>
      <c r="E696" t="inlineStr">
        <is>
          <t>NORRTÄLJE</t>
        </is>
      </c>
      <c r="F696" t="inlineStr">
        <is>
          <t>Naturvårdsverket</t>
        </is>
      </c>
      <c r="G696" t="n">
        <v>1.6</v>
      </c>
      <c r="H696" t="n">
        <v>0</v>
      </c>
      <c r="I696" t="n">
        <v>0</v>
      </c>
      <c r="J696" t="n">
        <v>0</v>
      </c>
      <c r="K696" t="n">
        <v>0</v>
      </c>
      <c r="L696" t="n">
        <v>0</v>
      </c>
      <c r="M696" t="n">
        <v>0</v>
      </c>
      <c r="N696" t="n">
        <v>0</v>
      </c>
      <c r="O696" t="n">
        <v>0</v>
      </c>
      <c r="P696" t="n">
        <v>0</v>
      </c>
      <c r="Q696" t="n">
        <v>0</v>
      </c>
      <c r="R696" s="2" t="inlineStr"/>
    </row>
    <row r="697" ht="15" customHeight="1">
      <c r="A697" t="inlineStr">
        <is>
          <t>A 6070-2022</t>
        </is>
      </c>
      <c r="B697" s="1" t="n">
        <v>44599</v>
      </c>
      <c r="C697" s="1" t="n">
        <v>45471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6332-2022</t>
        </is>
      </c>
      <c r="B698" s="1" t="n">
        <v>44600</v>
      </c>
      <c r="C698" s="1" t="n">
        <v>45471</v>
      </c>
      <c r="D698" t="inlineStr">
        <is>
          <t>STOCKHOLMS LÄN</t>
        </is>
      </c>
      <c r="E698" t="inlineStr">
        <is>
          <t>NORRTÄLJE</t>
        </is>
      </c>
      <c r="G698" t="n">
        <v>3.4</v>
      </c>
      <c r="H698" t="n">
        <v>0</v>
      </c>
      <c r="I698" t="n">
        <v>0</v>
      </c>
      <c r="J698" t="n">
        <v>0</v>
      </c>
      <c r="K698" t="n">
        <v>0</v>
      </c>
      <c r="L698" t="n">
        <v>0</v>
      </c>
      <c r="M698" t="n">
        <v>0</v>
      </c>
      <c r="N698" t="n">
        <v>0</v>
      </c>
      <c r="O698" t="n">
        <v>0</v>
      </c>
      <c r="P698" t="n">
        <v>0</v>
      </c>
      <c r="Q698" t="n">
        <v>0</v>
      </c>
      <c r="R698" s="2" t="inlineStr"/>
    </row>
    <row r="699" ht="15" customHeight="1">
      <c r="A699" t="inlineStr">
        <is>
          <t>A 7301-2022</t>
        </is>
      </c>
      <c r="B699" s="1" t="n">
        <v>44606</v>
      </c>
      <c r="C699" s="1" t="n">
        <v>45471</v>
      </c>
      <c r="D699" t="inlineStr">
        <is>
          <t>STOCKHOLMS LÄN</t>
        </is>
      </c>
      <c r="E699" t="inlineStr">
        <is>
          <t>NORRTÄLJE</t>
        </is>
      </c>
      <c r="G699" t="n">
        <v>6.1</v>
      </c>
      <c r="H699" t="n">
        <v>0</v>
      </c>
      <c r="I699" t="n">
        <v>0</v>
      </c>
      <c r="J699" t="n">
        <v>0</v>
      </c>
      <c r="K699" t="n">
        <v>0</v>
      </c>
      <c r="L699" t="n">
        <v>0</v>
      </c>
      <c r="M699" t="n">
        <v>0</v>
      </c>
      <c r="N699" t="n">
        <v>0</v>
      </c>
      <c r="O699" t="n">
        <v>0</v>
      </c>
      <c r="P699" t="n">
        <v>0</v>
      </c>
      <c r="Q699" t="n">
        <v>0</v>
      </c>
      <c r="R699" s="2" t="inlineStr"/>
    </row>
    <row r="700" ht="15" customHeight="1">
      <c r="A700" t="inlineStr">
        <is>
          <t>A 7565-2022</t>
        </is>
      </c>
      <c r="B700" s="1" t="n">
        <v>44607</v>
      </c>
      <c r="C700" s="1" t="n">
        <v>45471</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8024-2022</t>
        </is>
      </c>
      <c r="B701" s="1" t="n">
        <v>44609</v>
      </c>
      <c r="C701" s="1" t="n">
        <v>45471</v>
      </c>
      <c r="D701" t="inlineStr">
        <is>
          <t>STOCKHOLMS LÄN</t>
        </is>
      </c>
      <c r="E701" t="inlineStr">
        <is>
          <t>NORRTÄLJE</t>
        </is>
      </c>
      <c r="F701" t="inlineStr">
        <is>
          <t>Kyrkan</t>
        </is>
      </c>
      <c r="G701" t="n">
        <v>28.2</v>
      </c>
      <c r="H701" t="n">
        <v>0</v>
      </c>
      <c r="I701" t="n">
        <v>0</v>
      </c>
      <c r="J701" t="n">
        <v>0</v>
      </c>
      <c r="K701" t="n">
        <v>0</v>
      </c>
      <c r="L701" t="n">
        <v>0</v>
      </c>
      <c r="M701" t="n">
        <v>0</v>
      </c>
      <c r="N701" t="n">
        <v>0</v>
      </c>
      <c r="O701" t="n">
        <v>0</v>
      </c>
      <c r="P701" t="n">
        <v>0</v>
      </c>
      <c r="Q701" t="n">
        <v>0</v>
      </c>
      <c r="R701" s="2" t="inlineStr"/>
    </row>
    <row r="702" ht="15" customHeight="1">
      <c r="A702" t="inlineStr">
        <is>
          <t>A 8049-2022</t>
        </is>
      </c>
      <c r="B702" s="1" t="n">
        <v>44609</v>
      </c>
      <c r="C702" s="1" t="n">
        <v>45471</v>
      </c>
      <c r="D702" t="inlineStr">
        <is>
          <t>STOCKHOLMS LÄN</t>
        </is>
      </c>
      <c r="E702" t="inlineStr">
        <is>
          <t>NORRTÄLJE</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8160-2022</t>
        </is>
      </c>
      <c r="B703" s="1" t="n">
        <v>44609</v>
      </c>
      <c r="C703" s="1" t="n">
        <v>45471</v>
      </c>
      <c r="D703" t="inlineStr">
        <is>
          <t>STOCKHOLMS LÄN</t>
        </is>
      </c>
      <c r="E703" t="inlineStr">
        <is>
          <t>NORRTÄLJE</t>
        </is>
      </c>
      <c r="G703" t="n">
        <v>3.9</v>
      </c>
      <c r="H703" t="n">
        <v>0</v>
      </c>
      <c r="I703" t="n">
        <v>0</v>
      </c>
      <c r="J703" t="n">
        <v>0</v>
      </c>
      <c r="K703" t="n">
        <v>0</v>
      </c>
      <c r="L703" t="n">
        <v>0</v>
      </c>
      <c r="M703" t="n">
        <v>0</v>
      </c>
      <c r="N703" t="n">
        <v>0</v>
      </c>
      <c r="O703" t="n">
        <v>0</v>
      </c>
      <c r="P703" t="n">
        <v>0</v>
      </c>
      <c r="Q703" t="n">
        <v>0</v>
      </c>
      <c r="R703" s="2" t="inlineStr"/>
    </row>
    <row r="704" ht="15" customHeight="1">
      <c r="A704" t="inlineStr">
        <is>
          <t>A 8433-2022</t>
        </is>
      </c>
      <c r="B704" s="1" t="n">
        <v>44611</v>
      </c>
      <c r="C704" s="1" t="n">
        <v>45471</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9668-2022</t>
        </is>
      </c>
      <c r="B705" s="1" t="n">
        <v>44617</v>
      </c>
      <c r="C705" s="1" t="n">
        <v>45471</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9654-2022</t>
        </is>
      </c>
      <c r="B706" s="1" t="n">
        <v>44617</v>
      </c>
      <c r="C706" s="1" t="n">
        <v>45471</v>
      </c>
      <c r="D706" t="inlineStr">
        <is>
          <t>STOCKHOLMS LÄN</t>
        </is>
      </c>
      <c r="E706" t="inlineStr">
        <is>
          <t>NORRTÄLJE</t>
        </is>
      </c>
      <c r="G706" t="n">
        <v>6.4</v>
      </c>
      <c r="H706" t="n">
        <v>0</v>
      </c>
      <c r="I706" t="n">
        <v>0</v>
      </c>
      <c r="J706" t="n">
        <v>0</v>
      </c>
      <c r="K706" t="n">
        <v>0</v>
      </c>
      <c r="L706" t="n">
        <v>0</v>
      </c>
      <c r="M706" t="n">
        <v>0</v>
      </c>
      <c r="N706" t="n">
        <v>0</v>
      </c>
      <c r="O706" t="n">
        <v>0</v>
      </c>
      <c r="P706" t="n">
        <v>0</v>
      </c>
      <c r="Q706" t="n">
        <v>0</v>
      </c>
      <c r="R706" s="2" t="inlineStr"/>
    </row>
    <row r="707" ht="15" customHeight="1">
      <c r="A707" t="inlineStr">
        <is>
          <t>A 9749-2022</t>
        </is>
      </c>
      <c r="B707" s="1" t="n">
        <v>44618</v>
      </c>
      <c r="C707" s="1" t="n">
        <v>45471</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9988-2022</t>
        </is>
      </c>
      <c r="B708" s="1" t="n">
        <v>44621</v>
      </c>
      <c r="C708" s="1" t="n">
        <v>45471</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10090-2022</t>
        </is>
      </c>
      <c r="B709" s="1" t="n">
        <v>44621</v>
      </c>
      <c r="C709" s="1" t="n">
        <v>45471</v>
      </c>
      <c r="D709" t="inlineStr">
        <is>
          <t>STOCKHOLMS LÄN</t>
        </is>
      </c>
      <c r="E709" t="inlineStr">
        <is>
          <t>NORRTÄLJE</t>
        </is>
      </c>
      <c r="G709" t="n">
        <v>5.2</v>
      </c>
      <c r="H709" t="n">
        <v>0</v>
      </c>
      <c r="I709" t="n">
        <v>0</v>
      </c>
      <c r="J709" t="n">
        <v>0</v>
      </c>
      <c r="K709" t="n">
        <v>0</v>
      </c>
      <c r="L709" t="n">
        <v>0</v>
      </c>
      <c r="M709" t="n">
        <v>0</v>
      </c>
      <c r="N709" t="n">
        <v>0</v>
      </c>
      <c r="O709" t="n">
        <v>0</v>
      </c>
      <c r="P709" t="n">
        <v>0</v>
      </c>
      <c r="Q709" t="n">
        <v>0</v>
      </c>
      <c r="R709" s="2" t="inlineStr"/>
    </row>
    <row r="710" ht="15" customHeight="1">
      <c r="A710" t="inlineStr">
        <is>
          <t>A 10098-2022</t>
        </is>
      </c>
      <c r="B710" s="1" t="n">
        <v>44621</v>
      </c>
      <c r="C710" s="1" t="n">
        <v>45471</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45471</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10653-2022</t>
        </is>
      </c>
      <c r="B712" s="1" t="n">
        <v>44624</v>
      </c>
      <c r="C712" s="1" t="n">
        <v>45471</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10710-2022</t>
        </is>
      </c>
      <c r="B713" s="1" t="n">
        <v>44626</v>
      </c>
      <c r="C713" s="1" t="n">
        <v>45471</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10711-2022</t>
        </is>
      </c>
      <c r="B714" s="1" t="n">
        <v>44626</v>
      </c>
      <c r="C714" s="1" t="n">
        <v>45471</v>
      </c>
      <c r="D714" t="inlineStr">
        <is>
          <t>STOCKHOLMS LÄN</t>
        </is>
      </c>
      <c r="E714" t="inlineStr">
        <is>
          <t>NORRTÄLJE</t>
        </is>
      </c>
      <c r="G714" t="n">
        <v>0.4</v>
      </c>
      <c r="H714" t="n">
        <v>0</v>
      </c>
      <c r="I714" t="n">
        <v>0</v>
      </c>
      <c r="J714" t="n">
        <v>0</v>
      </c>
      <c r="K714" t="n">
        <v>0</v>
      </c>
      <c r="L714" t="n">
        <v>0</v>
      </c>
      <c r="M714" t="n">
        <v>0</v>
      </c>
      <c r="N714" t="n">
        <v>0</v>
      </c>
      <c r="O714" t="n">
        <v>0</v>
      </c>
      <c r="P714" t="n">
        <v>0</v>
      </c>
      <c r="Q714" t="n">
        <v>0</v>
      </c>
      <c r="R714" s="2" t="inlineStr"/>
    </row>
    <row r="715" ht="15" customHeight="1">
      <c r="A715" t="inlineStr">
        <is>
          <t>A 11150-2022</t>
        </is>
      </c>
      <c r="B715" s="1" t="n">
        <v>44629</v>
      </c>
      <c r="C715" s="1" t="n">
        <v>45471</v>
      </c>
      <c r="D715" t="inlineStr">
        <is>
          <t>STOCKHOLMS LÄN</t>
        </is>
      </c>
      <c r="E715" t="inlineStr">
        <is>
          <t>NORRTÄLJE</t>
        </is>
      </c>
      <c r="F715" t="inlineStr">
        <is>
          <t>Övriga Aktiebolag</t>
        </is>
      </c>
      <c r="G715" t="n">
        <v>6.5</v>
      </c>
      <c r="H715" t="n">
        <v>0</v>
      </c>
      <c r="I715" t="n">
        <v>0</v>
      </c>
      <c r="J715" t="n">
        <v>0</v>
      </c>
      <c r="K715" t="n">
        <v>0</v>
      </c>
      <c r="L715" t="n">
        <v>0</v>
      </c>
      <c r="M715" t="n">
        <v>0</v>
      </c>
      <c r="N715" t="n">
        <v>0</v>
      </c>
      <c r="O715" t="n">
        <v>0</v>
      </c>
      <c r="P715" t="n">
        <v>0</v>
      </c>
      <c r="Q715" t="n">
        <v>0</v>
      </c>
      <c r="R715" s="2" t="inlineStr"/>
    </row>
    <row r="716" ht="15" customHeight="1">
      <c r="A716" t="inlineStr">
        <is>
          <t>A 11229-2022</t>
        </is>
      </c>
      <c r="B716" s="1" t="n">
        <v>44629</v>
      </c>
      <c r="C716" s="1" t="n">
        <v>45471</v>
      </c>
      <c r="D716" t="inlineStr">
        <is>
          <t>STOCKHOLMS LÄN</t>
        </is>
      </c>
      <c r="E716" t="inlineStr">
        <is>
          <t>NORRTÄLJE</t>
        </is>
      </c>
      <c r="F716" t="inlineStr">
        <is>
          <t>Övriga Aktiebolag</t>
        </is>
      </c>
      <c r="G716" t="n">
        <v>4.1</v>
      </c>
      <c r="H716" t="n">
        <v>0</v>
      </c>
      <c r="I716" t="n">
        <v>0</v>
      </c>
      <c r="J716" t="n">
        <v>0</v>
      </c>
      <c r="K716" t="n">
        <v>0</v>
      </c>
      <c r="L716" t="n">
        <v>0</v>
      </c>
      <c r="M716" t="n">
        <v>0</v>
      </c>
      <c r="N716" t="n">
        <v>0</v>
      </c>
      <c r="O716" t="n">
        <v>0</v>
      </c>
      <c r="P716" t="n">
        <v>0</v>
      </c>
      <c r="Q716" t="n">
        <v>0</v>
      </c>
      <c r="R716" s="2" t="inlineStr"/>
    </row>
    <row r="717" ht="15" customHeight="1">
      <c r="A717" t="inlineStr">
        <is>
          <t>A 11533-2022</t>
        </is>
      </c>
      <c r="B717" s="1" t="n">
        <v>44631</v>
      </c>
      <c r="C717" s="1" t="n">
        <v>45471</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11821-2022</t>
        </is>
      </c>
      <c r="B718" s="1" t="n">
        <v>44634</v>
      </c>
      <c r="C718" s="1" t="n">
        <v>45471</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11900-2022</t>
        </is>
      </c>
      <c r="B719" s="1" t="n">
        <v>44635</v>
      </c>
      <c r="C719" s="1" t="n">
        <v>45471</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45471</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12270-2022</t>
        </is>
      </c>
      <c r="B721" s="1" t="n">
        <v>44637</v>
      </c>
      <c r="C721" s="1" t="n">
        <v>45471</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12314-2022</t>
        </is>
      </c>
      <c r="B722" s="1" t="n">
        <v>44637</v>
      </c>
      <c r="C722" s="1" t="n">
        <v>45471</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12268-2022</t>
        </is>
      </c>
      <c r="B723" s="1" t="n">
        <v>44637</v>
      </c>
      <c r="C723" s="1" t="n">
        <v>45471</v>
      </c>
      <c r="D723" t="inlineStr">
        <is>
          <t>STOCKHOLMS LÄN</t>
        </is>
      </c>
      <c r="E723" t="inlineStr">
        <is>
          <t>NORRTÄLJE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12357-2022</t>
        </is>
      </c>
      <c r="B724" s="1" t="n">
        <v>44637</v>
      </c>
      <c r="C724" s="1" t="n">
        <v>45471</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62765-2022</t>
        </is>
      </c>
      <c r="B725" s="1" t="n">
        <v>44637</v>
      </c>
      <c r="C725" s="1" t="n">
        <v>45471</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12874-2022</t>
        </is>
      </c>
      <c r="B726" s="1" t="n">
        <v>44642</v>
      </c>
      <c r="C726" s="1" t="n">
        <v>45471</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12816-2022</t>
        </is>
      </c>
      <c r="B727" s="1" t="n">
        <v>44642</v>
      </c>
      <c r="C727" s="1" t="n">
        <v>45471</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12877-2022</t>
        </is>
      </c>
      <c r="B728" s="1" t="n">
        <v>44642</v>
      </c>
      <c r="C728" s="1" t="n">
        <v>45471</v>
      </c>
      <c r="D728" t="inlineStr">
        <is>
          <t>STOCKHOLMS LÄN</t>
        </is>
      </c>
      <c r="E728" t="inlineStr">
        <is>
          <t>NORRTÄLJE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v>
      </c>
      <c r="C729" s="1" t="n">
        <v>45471</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13077-2022</t>
        </is>
      </c>
      <c r="B730" s="1" t="n">
        <v>44643</v>
      </c>
      <c r="C730" s="1" t="n">
        <v>45471</v>
      </c>
      <c r="D730" t="inlineStr">
        <is>
          <t>STOCKHOLMS LÄN</t>
        </is>
      </c>
      <c r="E730" t="inlineStr">
        <is>
          <t>NORRTÄLJE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13053-2022</t>
        </is>
      </c>
      <c r="B731" s="1" t="n">
        <v>44643</v>
      </c>
      <c r="C731" s="1" t="n">
        <v>45471</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13089-2022</t>
        </is>
      </c>
      <c r="B732" s="1" t="n">
        <v>44643</v>
      </c>
      <c r="C732" s="1" t="n">
        <v>45471</v>
      </c>
      <c r="D732" t="inlineStr">
        <is>
          <t>STOCKHOLMS LÄN</t>
        </is>
      </c>
      <c r="E732" t="inlineStr">
        <is>
          <t>NORRTÄLJE</t>
        </is>
      </c>
      <c r="G732" t="n">
        <v>4.5</v>
      </c>
      <c r="H732" t="n">
        <v>0</v>
      </c>
      <c r="I732" t="n">
        <v>0</v>
      </c>
      <c r="J732" t="n">
        <v>0</v>
      </c>
      <c r="K732" t="n">
        <v>0</v>
      </c>
      <c r="L732" t="n">
        <v>0</v>
      </c>
      <c r="M732" t="n">
        <v>0</v>
      </c>
      <c r="N732" t="n">
        <v>0</v>
      </c>
      <c r="O732" t="n">
        <v>0</v>
      </c>
      <c r="P732" t="n">
        <v>0</v>
      </c>
      <c r="Q732" t="n">
        <v>0</v>
      </c>
      <c r="R732" s="2" t="inlineStr"/>
    </row>
    <row r="733" ht="15" customHeight="1">
      <c r="A733" t="inlineStr">
        <is>
          <t>A 13106-2022</t>
        </is>
      </c>
      <c r="B733" s="1" t="n">
        <v>44644</v>
      </c>
      <c r="C733" s="1" t="n">
        <v>45471</v>
      </c>
      <c r="D733" t="inlineStr">
        <is>
          <t>STOCKHOLMS LÄN</t>
        </is>
      </c>
      <c r="E733" t="inlineStr">
        <is>
          <t>NORRTÄLJE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13278-2022</t>
        </is>
      </c>
      <c r="B734" s="1" t="n">
        <v>44644</v>
      </c>
      <c r="C734" s="1" t="n">
        <v>45471</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13276-2022</t>
        </is>
      </c>
      <c r="B735" s="1" t="n">
        <v>44644</v>
      </c>
      <c r="C735" s="1" t="n">
        <v>45471</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13395-2022</t>
        </is>
      </c>
      <c r="B736" s="1" t="n">
        <v>44645</v>
      </c>
      <c r="C736" s="1" t="n">
        <v>45471</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13696-2022</t>
        </is>
      </c>
      <c r="B737" s="1" t="n">
        <v>44648</v>
      </c>
      <c r="C737" s="1" t="n">
        <v>45471</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13701-2022</t>
        </is>
      </c>
      <c r="B738" s="1" t="n">
        <v>44648</v>
      </c>
      <c r="C738" s="1" t="n">
        <v>45471</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13718-2022</t>
        </is>
      </c>
      <c r="B739" s="1" t="n">
        <v>44649</v>
      </c>
      <c r="C739" s="1" t="n">
        <v>45471</v>
      </c>
      <c r="D739" t="inlineStr">
        <is>
          <t>STOCKHOLMS LÄN</t>
        </is>
      </c>
      <c r="E739" t="inlineStr">
        <is>
          <t>NORRTÄLJE</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14036-2022</t>
        </is>
      </c>
      <c r="B740" s="1" t="n">
        <v>44650</v>
      </c>
      <c r="C740" s="1" t="n">
        <v>45471</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14033-2022</t>
        </is>
      </c>
      <c r="B741" s="1" t="n">
        <v>44650</v>
      </c>
      <c r="C741" s="1" t="n">
        <v>45471</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14034-2022</t>
        </is>
      </c>
      <c r="B742" s="1" t="n">
        <v>44650</v>
      </c>
      <c r="C742" s="1" t="n">
        <v>45471</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14051-2022</t>
        </is>
      </c>
      <c r="B743" s="1" t="n">
        <v>44651</v>
      </c>
      <c r="C743" s="1" t="n">
        <v>45471</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14166-2022</t>
        </is>
      </c>
      <c r="B744" s="1" t="n">
        <v>44651</v>
      </c>
      <c r="C744" s="1" t="n">
        <v>45471</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14543-2022</t>
        </is>
      </c>
      <c r="B745" s="1" t="n">
        <v>44655</v>
      </c>
      <c r="C745" s="1" t="n">
        <v>45471</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14724-2022</t>
        </is>
      </c>
      <c r="B746" s="1" t="n">
        <v>44656</v>
      </c>
      <c r="C746" s="1" t="n">
        <v>45471</v>
      </c>
      <c r="D746" t="inlineStr">
        <is>
          <t>STOCKHOLMS LÄN</t>
        </is>
      </c>
      <c r="E746" t="inlineStr">
        <is>
          <t>NORRTÄLJE</t>
        </is>
      </c>
      <c r="F746" t="inlineStr">
        <is>
          <t>Sveaskog</t>
        </is>
      </c>
      <c r="G746" t="n">
        <v>9</v>
      </c>
      <c r="H746" t="n">
        <v>0</v>
      </c>
      <c r="I746" t="n">
        <v>0</v>
      </c>
      <c r="J746" t="n">
        <v>0</v>
      </c>
      <c r="K746" t="n">
        <v>0</v>
      </c>
      <c r="L746" t="n">
        <v>0</v>
      </c>
      <c r="M746" t="n">
        <v>0</v>
      </c>
      <c r="N746" t="n">
        <v>0</v>
      </c>
      <c r="O746" t="n">
        <v>0</v>
      </c>
      <c r="P746" t="n">
        <v>0</v>
      </c>
      <c r="Q746" t="n">
        <v>0</v>
      </c>
      <c r="R746" s="2" t="inlineStr"/>
    </row>
    <row r="747" ht="15" customHeight="1">
      <c r="A747" t="inlineStr">
        <is>
          <t>A 14716-2022</t>
        </is>
      </c>
      <c r="B747" s="1" t="n">
        <v>44656</v>
      </c>
      <c r="C747" s="1" t="n">
        <v>45471</v>
      </c>
      <c r="D747" t="inlineStr">
        <is>
          <t>STOCKHOLMS LÄN</t>
        </is>
      </c>
      <c r="E747" t="inlineStr">
        <is>
          <t>NORRTÄLJE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14869-2022</t>
        </is>
      </c>
      <c r="B748" s="1" t="n">
        <v>44656</v>
      </c>
      <c r="C748" s="1" t="n">
        <v>45471</v>
      </c>
      <c r="D748" t="inlineStr">
        <is>
          <t>STOCKHOLMS LÄN</t>
        </is>
      </c>
      <c r="E748" t="inlineStr">
        <is>
          <t>NORRTÄLJE</t>
        </is>
      </c>
      <c r="F748" t="inlineStr">
        <is>
          <t>Holmen skog AB</t>
        </is>
      </c>
      <c r="G748" t="n">
        <v>9.1</v>
      </c>
      <c r="H748" t="n">
        <v>0</v>
      </c>
      <c r="I748" t="n">
        <v>0</v>
      </c>
      <c r="J748" t="n">
        <v>0</v>
      </c>
      <c r="K748" t="n">
        <v>0</v>
      </c>
      <c r="L748" t="n">
        <v>0</v>
      </c>
      <c r="M748" t="n">
        <v>0</v>
      </c>
      <c r="N748" t="n">
        <v>0</v>
      </c>
      <c r="O748" t="n">
        <v>0</v>
      </c>
      <c r="P748" t="n">
        <v>0</v>
      </c>
      <c r="Q748" t="n">
        <v>0</v>
      </c>
      <c r="R748" s="2" t="inlineStr"/>
    </row>
    <row r="749" ht="15" customHeight="1">
      <c r="A749" t="inlineStr">
        <is>
          <t>A 15225-2022</t>
        </is>
      </c>
      <c r="B749" s="1" t="n">
        <v>44658</v>
      </c>
      <c r="C749" s="1" t="n">
        <v>45471</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45471</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15861-2022</t>
        </is>
      </c>
      <c r="B751" s="1" t="n">
        <v>44664</v>
      </c>
      <c r="C751" s="1" t="n">
        <v>45471</v>
      </c>
      <c r="D751" t="inlineStr">
        <is>
          <t>STOCKHOLMS LÄN</t>
        </is>
      </c>
      <c r="E751" t="inlineStr">
        <is>
          <t>NORRTÄLJE</t>
        </is>
      </c>
      <c r="G751" t="n">
        <v>10.2</v>
      </c>
      <c r="H751" t="n">
        <v>0</v>
      </c>
      <c r="I751" t="n">
        <v>0</v>
      </c>
      <c r="J751" t="n">
        <v>0</v>
      </c>
      <c r="K751" t="n">
        <v>0</v>
      </c>
      <c r="L751" t="n">
        <v>0</v>
      </c>
      <c r="M751" t="n">
        <v>0</v>
      </c>
      <c r="N751" t="n">
        <v>0</v>
      </c>
      <c r="O751" t="n">
        <v>0</v>
      </c>
      <c r="P751" t="n">
        <v>0</v>
      </c>
      <c r="Q751" t="n">
        <v>0</v>
      </c>
      <c r="R751" s="2" t="inlineStr"/>
    </row>
    <row r="752" ht="15" customHeight="1">
      <c r="A752" t="inlineStr">
        <is>
          <t>A 16117-2022</t>
        </is>
      </c>
      <c r="B752" s="1" t="n">
        <v>44665</v>
      </c>
      <c r="C752" s="1" t="n">
        <v>45471</v>
      </c>
      <c r="D752" t="inlineStr">
        <is>
          <t>STOCKHOLMS LÄN</t>
        </is>
      </c>
      <c r="E752" t="inlineStr">
        <is>
          <t>NORRTÄLJE</t>
        </is>
      </c>
      <c r="G752" t="n">
        <v>8.1</v>
      </c>
      <c r="H752" t="n">
        <v>0</v>
      </c>
      <c r="I752" t="n">
        <v>0</v>
      </c>
      <c r="J752" t="n">
        <v>0</v>
      </c>
      <c r="K752" t="n">
        <v>0</v>
      </c>
      <c r="L752" t="n">
        <v>0</v>
      </c>
      <c r="M752" t="n">
        <v>0</v>
      </c>
      <c r="N752" t="n">
        <v>0</v>
      </c>
      <c r="O752" t="n">
        <v>0</v>
      </c>
      <c r="P752" t="n">
        <v>0</v>
      </c>
      <c r="Q752" t="n">
        <v>0</v>
      </c>
      <c r="R752" s="2" t="inlineStr"/>
    </row>
    <row r="753" ht="15" customHeight="1">
      <c r="A753" t="inlineStr">
        <is>
          <t>A 16119-2022</t>
        </is>
      </c>
      <c r="B753" s="1" t="n">
        <v>44665</v>
      </c>
      <c r="C753" s="1" t="n">
        <v>45471</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v>
      </c>
      <c r="C754" s="1" t="n">
        <v>45471</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16224-2022</t>
        </is>
      </c>
      <c r="B755" s="1" t="n">
        <v>44670</v>
      </c>
      <c r="C755" s="1" t="n">
        <v>45471</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45471</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16229-2022</t>
        </is>
      </c>
      <c r="B757" s="1" t="n">
        <v>44670</v>
      </c>
      <c r="C757" s="1" t="n">
        <v>45471</v>
      </c>
      <c r="D757" t="inlineStr">
        <is>
          <t>STOCKHOLMS LÄN</t>
        </is>
      </c>
      <c r="E757" t="inlineStr">
        <is>
          <t>NORRTÄLJE</t>
        </is>
      </c>
      <c r="G757" t="n">
        <v>7.4</v>
      </c>
      <c r="H757" t="n">
        <v>0</v>
      </c>
      <c r="I757" t="n">
        <v>0</v>
      </c>
      <c r="J757" t="n">
        <v>0</v>
      </c>
      <c r="K757" t="n">
        <v>0</v>
      </c>
      <c r="L757" t="n">
        <v>0</v>
      </c>
      <c r="M757" t="n">
        <v>0</v>
      </c>
      <c r="N757" t="n">
        <v>0</v>
      </c>
      <c r="O757" t="n">
        <v>0</v>
      </c>
      <c r="P757" t="n">
        <v>0</v>
      </c>
      <c r="Q757" t="n">
        <v>0</v>
      </c>
      <c r="R757" s="2" t="inlineStr"/>
    </row>
    <row r="758" ht="15" customHeight="1">
      <c r="A758" t="inlineStr">
        <is>
          <t>A 16442-2022</t>
        </is>
      </c>
      <c r="B758" s="1" t="n">
        <v>44671</v>
      </c>
      <c r="C758" s="1" t="n">
        <v>45471</v>
      </c>
      <c r="D758" t="inlineStr">
        <is>
          <t>STOCKHOLMS LÄN</t>
        </is>
      </c>
      <c r="E758" t="inlineStr">
        <is>
          <t>NORRTÄLJE</t>
        </is>
      </c>
      <c r="G758" t="n">
        <v>4.8</v>
      </c>
      <c r="H758" t="n">
        <v>0</v>
      </c>
      <c r="I758" t="n">
        <v>0</v>
      </c>
      <c r="J758" t="n">
        <v>0</v>
      </c>
      <c r="K758" t="n">
        <v>0</v>
      </c>
      <c r="L758" t="n">
        <v>0</v>
      </c>
      <c r="M758" t="n">
        <v>0</v>
      </c>
      <c r="N758" t="n">
        <v>0</v>
      </c>
      <c r="O758" t="n">
        <v>0</v>
      </c>
      <c r="P758" t="n">
        <v>0</v>
      </c>
      <c r="Q758" t="n">
        <v>0</v>
      </c>
      <c r="R758" s="2" t="inlineStr"/>
    </row>
    <row r="759" ht="15" customHeight="1">
      <c r="A759" t="inlineStr">
        <is>
          <t>A 16534-2022</t>
        </is>
      </c>
      <c r="B759" s="1" t="n">
        <v>44672</v>
      </c>
      <c r="C759" s="1" t="n">
        <v>45471</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16835-2022</t>
        </is>
      </c>
      <c r="B760" s="1" t="n">
        <v>44673</v>
      </c>
      <c r="C760" s="1" t="n">
        <v>45471</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17391-2022</t>
        </is>
      </c>
      <c r="B761" s="1" t="n">
        <v>44678</v>
      </c>
      <c r="C761" s="1" t="n">
        <v>45471</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17388-2022</t>
        </is>
      </c>
      <c r="B762" s="1" t="n">
        <v>44678</v>
      </c>
      <c r="C762" s="1" t="n">
        <v>45471</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17390-2022</t>
        </is>
      </c>
      <c r="B763" s="1" t="n">
        <v>44678</v>
      </c>
      <c r="C763" s="1" t="n">
        <v>45471</v>
      </c>
      <c r="D763" t="inlineStr">
        <is>
          <t>STOCKHOLMS LÄN</t>
        </is>
      </c>
      <c r="E763" t="inlineStr">
        <is>
          <t>NORRTÄLJE</t>
        </is>
      </c>
      <c r="G763" t="n">
        <v>4.9</v>
      </c>
      <c r="H763" t="n">
        <v>0</v>
      </c>
      <c r="I763" t="n">
        <v>0</v>
      </c>
      <c r="J763" t="n">
        <v>0</v>
      </c>
      <c r="K763" t="n">
        <v>0</v>
      </c>
      <c r="L763" t="n">
        <v>0</v>
      </c>
      <c r="M763" t="n">
        <v>0</v>
      </c>
      <c r="N763" t="n">
        <v>0</v>
      </c>
      <c r="O763" t="n">
        <v>0</v>
      </c>
      <c r="P763" t="n">
        <v>0</v>
      </c>
      <c r="Q763" t="n">
        <v>0</v>
      </c>
      <c r="R763" s="2" t="inlineStr"/>
    </row>
    <row r="764" ht="15" customHeight="1">
      <c r="A764" t="inlineStr">
        <is>
          <t>A 17612-2022</t>
        </is>
      </c>
      <c r="B764" s="1" t="n">
        <v>44680</v>
      </c>
      <c r="C764" s="1" t="n">
        <v>45471</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17629-2022</t>
        </is>
      </c>
      <c r="B765" s="1" t="n">
        <v>44680</v>
      </c>
      <c r="C765" s="1" t="n">
        <v>45471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17771-2022</t>
        </is>
      </c>
      <c r="B766" s="1" t="n">
        <v>44682</v>
      </c>
      <c r="C766" s="1" t="n">
        <v>45471</v>
      </c>
      <c r="D766" t="inlineStr">
        <is>
          <t>STOCKHOLMS LÄN</t>
        </is>
      </c>
      <c r="E766" t="inlineStr">
        <is>
          <t>NORRTÄLJE</t>
        </is>
      </c>
      <c r="G766" t="n">
        <v>13.3</v>
      </c>
      <c r="H766" t="n">
        <v>0</v>
      </c>
      <c r="I766" t="n">
        <v>0</v>
      </c>
      <c r="J766" t="n">
        <v>0</v>
      </c>
      <c r="K766" t="n">
        <v>0</v>
      </c>
      <c r="L766" t="n">
        <v>0</v>
      </c>
      <c r="M766" t="n">
        <v>0</v>
      </c>
      <c r="N766" t="n">
        <v>0</v>
      </c>
      <c r="O766" t="n">
        <v>0</v>
      </c>
      <c r="P766" t="n">
        <v>0</v>
      </c>
      <c r="Q766" t="n">
        <v>0</v>
      </c>
      <c r="R766" s="2" t="inlineStr"/>
    </row>
    <row r="767" ht="15" customHeight="1">
      <c r="A767" t="inlineStr">
        <is>
          <t>A 17775-2022</t>
        </is>
      </c>
      <c r="B767" s="1" t="n">
        <v>44682</v>
      </c>
      <c r="C767" s="1" t="n">
        <v>45471</v>
      </c>
      <c r="D767" t="inlineStr">
        <is>
          <t>STOCKHOLMS LÄN</t>
        </is>
      </c>
      <c r="E767" t="inlineStr">
        <is>
          <t>NORRTÄLJE</t>
        </is>
      </c>
      <c r="G767" t="n">
        <v>4.7</v>
      </c>
      <c r="H767" t="n">
        <v>0</v>
      </c>
      <c r="I767" t="n">
        <v>0</v>
      </c>
      <c r="J767" t="n">
        <v>0</v>
      </c>
      <c r="K767" t="n">
        <v>0</v>
      </c>
      <c r="L767" t="n">
        <v>0</v>
      </c>
      <c r="M767" t="n">
        <v>0</v>
      </c>
      <c r="N767" t="n">
        <v>0</v>
      </c>
      <c r="O767" t="n">
        <v>0</v>
      </c>
      <c r="P767" t="n">
        <v>0</v>
      </c>
      <c r="Q767" t="n">
        <v>0</v>
      </c>
      <c r="R767" s="2" t="inlineStr"/>
    </row>
    <row r="768" ht="15" customHeight="1">
      <c r="A768" t="inlineStr">
        <is>
          <t>A 17773-2022</t>
        </is>
      </c>
      <c r="B768" s="1" t="n">
        <v>44682</v>
      </c>
      <c r="C768" s="1" t="n">
        <v>45471</v>
      </c>
      <c r="D768" t="inlineStr">
        <is>
          <t>STOCKHOLMS LÄN</t>
        </is>
      </c>
      <c r="E768" t="inlineStr">
        <is>
          <t>NORRTÄLJE</t>
        </is>
      </c>
      <c r="G768" t="n">
        <v>10.8</v>
      </c>
      <c r="H768" t="n">
        <v>0</v>
      </c>
      <c r="I768" t="n">
        <v>0</v>
      </c>
      <c r="J768" t="n">
        <v>0</v>
      </c>
      <c r="K768" t="n">
        <v>0</v>
      </c>
      <c r="L768" t="n">
        <v>0</v>
      </c>
      <c r="M768" t="n">
        <v>0</v>
      </c>
      <c r="N768" t="n">
        <v>0</v>
      </c>
      <c r="O768" t="n">
        <v>0</v>
      </c>
      <c r="P768" t="n">
        <v>0</v>
      </c>
      <c r="Q768" t="n">
        <v>0</v>
      </c>
      <c r="R768" s="2" t="inlineStr"/>
    </row>
    <row r="769" ht="15" customHeight="1">
      <c r="A769" t="inlineStr">
        <is>
          <t>A 17772-2022</t>
        </is>
      </c>
      <c r="B769" s="1" t="n">
        <v>44682</v>
      </c>
      <c r="C769" s="1" t="n">
        <v>45471</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17777-2022</t>
        </is>
      </c>
      <c r="B770" s="1" t="n">
        <v>44682</v>
      </c>
      <c r="C770" s="1" t="n">
        <v>45471</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17803-2022</t>
        </is>
      </c>
      <c r="B771" s="1" t="n">
        <v>44683</v>
      </c>
      <c r="C771" s="1" t="n">
        <v>45471</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17952-2022</t>
        </is>
      </c>
      <c r="B772" s="1" t="n">
        <v>44683</v>
      </c>
      <c r="C772" s="1" t="n">
        <v>45471</v>
      </c>
      <c r="D772" t="inlineStr">
        <is>
          <t>STOCKHOLMS LÄN</t>
        </is>
      </c>
      <c r="E772" t="inlineStr">
        <is>
          <t>NORRTÄLJE</t>
        </is>
      </c>
      <c r="G772" t="n">
        <v>51.1</v>
      </c>
      <c r="H772" t="n">
        <v>0</v>
      </c>
      <c r="I772" t="n">
        <v>0</v>
      </c>
      <c r="J772" t="n">
        <v>0</v>
      </c>
      <c r="K772" t="n">
        <v>0</v>
      </c>
      <c r="L772" t="n">
        <v>0</v>
      </c>
      <c r="M772" t="n">
        <v>0</v>
      </c>
      <c r="N772" t="n">
        <v>0</v>
      </c>
      <c r="O772" t="n">
        <v>0</v>
      </c>
      <c r="P772" t="n">
        <v>0</v>
      </c>
      <c r="Q772" t="n">
        <v>0</v>
      </c>
      <c r="R772" s="2" t="inlineStr"/>
    </row>
    <row r="773" ht="15" customHeight="1">
      <c r="A773" t="inlineStr">
        <is>
          <t>A 18092-2022</t>
        </is>
      </c>
      <c r="B773" s="1" t="n">
        <v>44684</v>
      </c>
      <c r="C773" s="1" t="n">
        <v>45471</v>
      </c>
      <c r="D773" t="inlineStr">
        <is>
          <t>STOCKHOLMS LÄN</t>
        </is>
      </c>
      <c r="E773" t="inlineStr">
        <is>
          <t>NORRTÄLJE</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18103-2022</t>
        </is>
      </c>
      <c r="B774" s="1" t="n">
        <v>44684</v>
      </c>
      <c r="C774" s="1" t="n">
        <v>45471</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18350-2022</t>
        </is>
      </c>
      <c r="B775" s="1" t="n">
        <v>44685</v>
      </c>
      <c r="C775" s="1" t="n">
        <v>45471</v>
      </c>
      <c r="D775" t="inlineStr">
        <is>
          <t>STOCKHOLMS LÄN</t>
        </is>
      </c>
      <c r="E775" t="inlineStr">
        <is>
          <t>NORRTÄLJE</t>
        </is>
      </c>
      <c r="F775" t="inlineStr">
        <is>
          <t>Holmen skog AB</t>
        </is>
      </c>
      <c r="G775" t="n">
        <v>7.1</v>
      </c>
      <c r="H775" t="n">
        <v>0</v>
      </c>
      <c r="I775" t="n">
        <v>0</v>
      </c>
      <c r="J775" t="n">
        <v>0</v>
      </c>
      <c r="K775" t="n">
        <v>0</v>
      </c>
      <c r="L775" t="n">
        <v>0</v>
      </c>
      <c r="M775" t="n">
        <v>0</v>
      </c>
      <c r="N775" t="n">
        <v>0</v>
      </c>
      <c r="O775" t="n">
        <v>0</v>
      </c>
      <c r="P775" t="n">
        <v>0</v>
      </c>
      <c r="Q775" t="n">
        <v>0</v>
      </c>
      <c r="R775" s="2" t="inlineStr"/>
    </row>
    <row r="776" ht="15" customHeight="1">
      <c r="A776" t="inlineStr">
        <is>
          <t>A 18546-2022</t>
        </is>
      </c>
      <c r="B776" s="1" t="n">
        <v>44686</v>
      </c>
      <c r="C776" s="1" t="n">
        <v>45471</v>
      </c>
      <c r="D776" t="inlineStr">
        <is>
          <t>STOCKHOLMS LÄN</t>
        </is>
      </c>
      <c r="E776" t="inlineStr">
        <is>
          <t>NORRTÄLJE</t>
        </is>
      </c>
      <c r="G776" t="n">
        <v>15.2</v>
      </c>
      <c r="H776" t="n">
        <v>0</v>
      </c>
      <c r="I776" t="n">
        <v>0</v>
      </c>
      <c r="J776" t="n">
        <v>0</v>
      </c>
      <c r="K776" t="n">
        <v>0</v>
      </c>
      <c r="L776" t="n">
        <v>0</v>
      </c>
      <c r="M776" t="n">
        <v>0</v>
      </c>
      <c r="N776" t="n">
        <v>0</v>
      </c>
      <c r="O776" t="n">
        <v>0</v>
      </c>
      <c r="P776" t="n">
        <v>0</v>
      </c>
      <c r="Q776" t="n">
        <v>0</v>
      </c>
      <c r="R776" s="2" t="inlineStr"/>
    </row>
    <row r="777" ht="15" customHeight="1">
      <c r="A777" t="inlineStr">
        <is>
          <t>A 18665-2022</t>
        </is>
      </c>
      <c r="B777" s="1" t="n">
        <v>44687</v>
      </c>
      <c r="C777" s="1" t="n">
        <v>45471</v>
      </c>
      <c r="D777" t="inlineStr">
        <is>
          <t>STOCKHOLMS LÄN</t>
        </is>
      </c>
      <c r="E777" t="inlineStr">
        <is>
          <t>NORRTÄLJE</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18787-2022</t>
        </is>
      </c>
      <c r="B778" s="1" t="n">
        <v>44687</v>
      </c>
      <c r="C778" s="1" t="n">
        <v>45471</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18846-2022</t>
        </is>
      </c>
      <c r="B779" s="1" t="n">
        <v>44690</v>
      </c>
      <c r="C779" s="1" t="n">
        <v>45471</v>
      </c>
      <c r="D779" t="inlineStr">
        <is>
          <t>STOCKHOLMS LÄN</t>
        </is>
      </c>
      <c r="E779" t="inlineStr">
        <is>
          <t>NORRTÄLJE</t>
        </is>
      </c>
      <c r="G779" t="n">
        <v>7</v>
      </c>
      <c r="H779" t="n">
        <v>0</v>
      </c>
      <c r="I779" t="n">
        <v>0</v>
      </c>
      <c r="J779" t="n">
        <v>0</v>
      </c>
      <c r="K779" t="n">
        <v>0</v>
      </c>
      <c r="L779" t="n">
        <v>0</v>
      </c>
      <c r="M779" t="n">
        <v>0</v>
      </c>
      <c r="N779" t="n">
        <v>0</v>
      </c>
      <c r="O779" t="n">
        <v>0</v>
      </c>
      <c r="P779" t="n">
        <v>0</v>
      </c>
      <c r="Q779" t="n">
        <v>0</v>
      </c>
      <c r="R779" s="2" t="inlineStr"/>
    </row>
    <row r="780" ht="15" customHeight="1">
      <c r="A780" t="inlineStr">
        <is>
          <t>A 18905-2022</t>
        </is>
      </c>
      <c r="B780" s="1" t="n">
        <v>44690</v>
      </c>
      <c r="C780" s="1" t="n">
        <v>45471</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18894-2022</t>
        </is>
      </c>
      <c r="B781" s="1" t="n">
        <v>44690</v>
      </c>
      <c r="C781" s="1" t="n">
        <v>45471</v>
      </c>
      <c r="D781" t="inlineStr">
        <is>
          <t>STOCKHOLMS LÄN</t>
        </is>
      </c>
      <c r="E781" t="inlineStr">
        <is>
          <t>NORRTÄLJE</t>
        </is>
      </c>
      <c r="G781" t="n">
        <v>3.6</v>
      </c>
      <c r="H781" t="n">
        <v>0</v>
      </c>
      <c r="I781" t="n">
        <v>0</v>
      </c>
      <c r="J781" t="n">
        <v>0</v>
      </c>
      <c r="K781" t="n">
        <v>0</v>
      </c>
      <c r="L781" t="n">
        <v>0</v>
      </c>
      <c r="M781" t="n">
        <v>0</v>
      </c>
      <c r="N781" t="n">
        <v>0</v>
      </c>
      <c r="O781" t="n">
        <v>0</v>
      </c>
      <c r="P781" t="n">
        <v>0</v>
      </c>
      <c r="Q781" t="n">
        <v>0</v>
      </c>
      <c r="R781" s="2" t="inlineStr"/>
    </row>
    <row r="782" ht="15" customHeight="1">
      <c r="A782" t="inlineStr">
        <is>
          <t>A 19116-2022</t>
        </is>
      </c>
      <c r="B782" s="1" t="n">
        <v>44691</v>
      </c>
      <c r="C782" s="1" t="n">
        <v>45471</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19118-2022</t>
        </is>
      </c>
      <c r="B783" s="1" t="n">
        <v>44691</v>
      </c>
      <c r="C783" s="1" t="n">
        <v>45471</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19580-2022</t>
        </is>
      </c>
      <c r="B784" s="1" t="n">
        <v>44693</v>
      </c>
      <c r="C784" s="1" t="n">
        <v>45471</v>
      </c>
      <c r="D784" t="inlineStr">
        <is>
          <t>STOCKHOLMS LÄN</t>
        </is>
      </c>
      <c r="E784" t="inlineStr">
        <is>
          <t>NORRTÄLJE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19729-2022</t>
        </is>
      </c>
      <c r="B785" s="1" t="n">
        <v>44694</v>
      </c>
      <c r="C785" s="1" t="n">
        <v>45471</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19728-2022</t>
        </is>
      </c>
      <c r="B786" s="1" t="n">
        <v>44694</v>
      </c>
      <c r="C786" s="1" t="n">
        <v>45471</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19982-2022</t>
        </is>
      </c>
      <c r="B787" s="1" t="n">
        <v>44697</v>
      </c>
      <c r="C787" s="1" t="n">
        <v>45471</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19983-2022</t>
        </is>
      </c>
      <c r="B788" s="1" t="n">
        <v>44697</v>
      </c>
      <c r="C788" s="1" t="n">
        <v>45471</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20121-2022</t>
        </is>
      </c>
      <c r="B789" s="1" t="n">
        <v>44698</v>
      </c>
      <c r="C789" s="1" t="n">
        <v>45471</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20129-2022</t>
        </is>
      </c>
      <c r="B790" s="1" t="n">
        <v>44698</v>
      </c>
      <c r="C790" s="1" t="n">
        <v>45471</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20291-2022</t>
        </is>
      </c>
      <c r="B791" s="1" t="n">
        <v>44698</v>
      </c>
      <c r="C791" s="1" t="n">
        <v>45471</v>
      </c>
      <c r="D791" t="inlineStr">
        <is>
          <t>STOCKHOLMS LÄN</t>
        </is>
      </c>
      <c r="E791" t="inlineStr">
        <is>
          <t>NORRTÄLJE</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20294-2022</t>
        </is>
      </c>
      <c r="B792" s="1" t="n">
        <v>44698</v>
      </c>
      <c r="C792" s="1" t="n">
        <v>45471</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20295-2022</t>
        </is>
      </c>
      <c r="B793" s="1" t="n">
        <v>44698</v>
      </c>
      <c r="C793" s="1" t="n">
        <v>45471</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20618-2022</t>
        </is>
      </c>
      <c r="B794" s="1" t="n">
        <v>44700</v>
      </c>
      <c r="C794" s="1" t="n">
        <v>45471</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21102-2022</t>
        </is>
      </c>
      <c r="B795" s="1" t="n">
        <v>44704</v>
      </c>
      <c r="C795" s="1" t="n">
        <v>45471</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21158-2022</t>
        </is>
      </c>
      <c r="B796" s="1" t="n">
        <v>44704</v>
      </c>
      <c r="C796" s="1" t="n">
        <v>45471</v>
      </c>
      <c r="D796" t="inlineStr">
        <is>
          <t>STOCKHOLMS LÄN</t>
        </is>
      </c>
      <c r="E796" t="inlineStr">
        <is>
          <t>NORRTÄLJE</t>
        </is>
      </c>
      <c r="G796" t="n">
        <v>17.8</v>
      </c>
      <c r="H796" t="n">
        <v>0</v>
      </c>
      <c r="I796" t="n">
        <v>0</v>
      </c>
      <c r="J796" t="n">
        <v>0</v>
      </c>
      <c r="K796" t="n">
        <v>0</v>
      </c>
      <c r="L796" t="n">
        <v>0</v>
      </c>
      <c r="M796" t="n">
        <v>0</v>
      </c>
      <c r="N796" t="n">
        <v>0</v>
      </c>
      <c r="O796" t="n">
        <v>0</v>
      </c>
      <c r="P796" t="n">
        <v>0</v>
      </c>
      <c r="Q796" t="n">
        <v>0</v>
      </c>
      <c r="R796" s="2" t="inlineStr"/>
    </row>
    <row r="797" ht="15" customHeight="1">
      <c r="A797" t="inlineStr">
        <is>
          <t>A 21174-2022</t>
        </is>
      </c>
      <c r="B797" s="1" t="n">
        <v>44704</v>
      </c>
      <c r="C797" s="1" t="n">
        <v>45471</v>
      </c>
      <c r="D797" t="inlineStr">
        <is>
          <t>STOCKHOLMS LÄN</t>
        </is>
      </c>
      <c r="E797" t="inlineStr">
        <is>
          <t>NORRTÄLJE</t>
        </is>
      </c>
      <c r="G797" t="n">
        <v>5.2</v>
      </c>
      <c r="H797" t="n">
        <v>0</v>
      </c>
      <c r="I797" t="n">
        <v>0</v>
      </c>
      <c r="J797" t="n">
        <v>0</v>
      </c>
      <c r="K797" t="n">
        <v>0</v>
      </c>
      <c r="L797" t="n">
        <v>0</v>
      </c>
      <c r="M797" t="n">
        <v>0</v>
      </c>
      <c r="N797" t="n">
        <v>0</v>
      </c>
      <c r="O797" t="n">
        <v>0</v>
      </c>
      <c r="P797" t="n">
        <v>0</v>
      </c>
      <c r="Q797" t="n">
        <v>0</v>
      </c>
      <c r="R797" s="2" t="inlineStr"/>
    </row>
    <row r="798" ht="15" customHeight="1">
      <c r="A798" t="inlineStr">
        <is>
          <t>A 21480-2022</t>
        </is>
      </c>
      <c r="B798" s="1" t="n">
        <v>44704</v>
      </c>
      <c r="C798" s="1" t="n">
        <v>45471</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21178-2022</t>
        </is>
      </c>
      <c r="B799" s="1" t="n">
        <v>44704</v>
      </c>
      <c r="C799" s="1" t="n">
        <v>45471</v>
      </c>
      <c r="D799" t="inlineStr">
        <is>
          <t>STOCKHOLMS LÄN</t>
        </is>
      </c>
      <c r="E799" t="inlineStr">
        <is>
          <t>NORRTÄLJE</t>
        </is>
      </c>
      <c r="G799" t="n">
        <v>6</v>
      </c>
      <c r="H799" t="n">
        <v>0</v>
      </c>
      <c r="I799" t="n">
        <v>0</v>
      </c>
      <c r="J799" t="n">
        <v>0</v>
      </c>
      <c r="K799" t="n">
        <v>0</v>
      </c>
      <c r="L799" t="n">
        <v>0</v>
      </c>
      <c r="M799" t="n">
        <v>0</v>
      </c>
      <c r="N799" t="n">
        <v>0</v>
      </c>
      <c r="O799" t="n">
        <v>0</v>
      </c>
      <c r="P799" t="n">
        <v>0</v>
      </c>
      <c r="Q799" t="n">
        <v>0</v>
      </c>
      <c r="R799" s="2" t="inlineStr"/>
    </row>
    <row r="800" ht="15" customHeight="1">
      <c r="A800" t="inlineStr">
        <is>
          <t>A 21329-2022</t>
        </is>
      </c>
      <c r="B800" s="1" t="n">
        <v>44705</v>
      </c>
      <c r="C800" s="1" t="n">
        <v>45471</v>
      </c>
      <c r="D800" t="inlineStr">
        <is>
          <t>STOCKHOLMS LÄN</t>
        </is>
      </c>
      <c r="E800" t="inlineStr">
        <is>
          <t>NORRTÄLJE</t>
        </is>
      </c>
      <c r="G800" t="n">
        <v>4.1</v>
      </c>
      <c r="H800" t="n">
        <v>0</v>
      </c>
      <c r="I800" t="n">
        <v>0</v>
      </c>
      <c r="J800" t="n">
        <v>0</v>
      </c>
      <c r="K800" t="n">
        <v>0</v>
      </c>
      <c r="L800" t="n">
        <v>0</v>
      </c>
      <c r="M800" t="n">
        <v>0</v>
      </c>
      <c r="N800" t="n">
        <v>0</v>
      </c>
      <c r="O800" t="n">
        <v>0</v>
      </c>
      <c r="P800" t="n">
        <v>0</v>
      </c>
      <c r="Q800" t="n">
        <v>0</v>
      </c>
      <c r="R800" s="2" t="inlineStr"/>
    </row>
    <row r="801" ht="15" customHeight="1">
      <c r="A801" t="inlineStr">
        <is>
          <t>A 21739-2022</t>
        </is>
      </c>
      <c r="B801" s="1" t="n">
        <v>44708</v>
      </c>
      <c r="C801" s="1" t="n">
        <v>45471</v>
      </c>
      <c r="D801" t="inlineStr">
        <is>
          <t>STOCKHOLMS LÄN</t>
        </is>
      </c>
      <c r="E801" t="inlineStr">
        <is>
          <t>NORRTÄLJE</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21723-2022</t>
        </is>
      </c>
      <c r="B802" s="1" t="n">
        <v>44708</v>
      </c>
      <c r="C802" s="1" t="n">
        <v>45471</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21726-2022</t>
        </is>
      </c>
      <c r="B803" s="1" t="n">
        <v>44708</v>
      </c>
      <c r="C803" s="1" t="n">
        <v>45471</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21803-2022</t>
        </is>
      </c>
      <c r="B804" s="1" t="n">
        <v>44708</v>
      </c>
      <c r="C804" s="1" t="n">
        <v>45471</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21970-2022</t>
        </is>
      </c>
      <c r="B805" s="1" t="n">
        <v>44711</v>
      </c>
      <c r="C805" s="1" t="n">
        <v>45471</v>
      </c>
      <c r="D805" t="inlineStr">
        <is>
          <t>STOCKHOLMS LÄN</t>
        </is>
      </c>
      <c r="E805" t="inlineStr">
        <is>
          <t>NORRTÄLJE</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22072-2022</t>
        </is>
      </c>
      <c r="B806" s="1" t="n">
        <v>44711</v>
      </c>
      <c r="C806" s="1" t="n">
        <v>45471</v>
      </c>
      <c r="D806" t="inlineStr">
        <is>
          <t>STOCKHOLMS LÄN</t>
        </is>
      </c>
      <c r="E806" t="inlineStr">
        <is>
          <t>NORRTÄLJE</t>
        </is>
      </c>
      <c r="G806" t="n">
        <v>9.6</v>
      </c>
      <c r="H806" t="n">
        <v>0</v>
      </c>
      <c r="I806" t="n">
        <v>0</v>
      </c>
      <c r="J806" t="n">
        <v>0</v>
      </c>
      <c r="K806" t="n">
        <v>0</v>
      </c>
      <c r="L806" t="n">
        <v>0</v>
      </c>
      <c r="M806" t="n">
        <v>0</v>
      </c>
      <c r="N806" t="n">
        <v>0</v>
      </c>
      <c r="O806" t="n">
        <v>0</v>
      </c>
      <c r="P806" t="n">
        <v>0</v>
      </c>
      <c r="Q806" t="n">
        <v>0</v>
      </c>
      <c r="R806" s="2" t="inlineStr"/>
    </row>
    <row r="807" ht="15" customHeight="1">
      <c r="A807" t="inlineStr">
        <is>
          <t>A 22071-2022</t>
        </is>
      </c>
      <c r="B807" s="1" t="n">
        <v>44711</v>
      </c>
      <c r="C807" s="1" t="n">
        <v>45471</v>
      </c>
      <c r="D807" t="inlineStr">
        <is>
          <t>STOCKHOLMS LÄN</t>
        </is>
      </c>
      <c r="E807" t="inlineStr">
        <is>
          <t>NORRTÄLJE</t>
        </is>
      </c>
      <c r="G807" t="n">
        <v>7</v>
      </c>
      <c r="H807" t="n">
        <v>0</v>
      </c>
      <c r="I807" t="n">
        <v>0</v>
      </c>
      <c r="J807" t="n">
        <v>0</v>
      </c>
      <c r="K807" t="n">
        <v>0</v>
      </c>
      <c r="L807" t="n">
        <v>0</v>
      </c>
      <c r="M807" t="n">
        <v>0</v>
      </c>
      <c r="N807" t="n">
        <v>0</v>
      </c>
      <c r="O807" t="n">
        <v>0</v>
      </c>
      <c r="P807" t="n">
        <v>0</v>
      </c>
      <c r="Q807" t="n">
        <v>0</v>
      </c>
      <c r="R807" s="2" t="inlineStr"/>
    </row>
    <row r="808" ht="15" customHeight="1">
      <c r="A808" t="inlineStr">
        <is>
          <t>A 22269-2022</t>
        </is>
      </c>
      <c r="B808" s="1" t="n">
        <v>44712</v>
      </c>
      <c r="C808" s="1" t="n">
        <v>45471</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22316-2022</t>
        </is>
      </c>
      <c r="B809" s="1" t="n">
        <v>44712</v>
      </c>
      <c r="C809" s="1" t="n">
        <v>45471</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22503-2022</t>
        </is>
      </c>
      <c r="B810" s="1" t="n">
        <v>44713</v>
      </c>
      <c r="C810" s="1" t="n">
        <v>45471</v>
      </c>
      <c r="D810" t="inlineStr">
        <is>
          <t>STOCKHOLMS LÄN</t>
        </is>
      </c>
      <c r="E810" t="inlineStr">
        <is>
          <t>NORRTÄLJE</t>
        </is>
      </c>
      <c r="G810" t="n">
        <v>5.1</v>
      </c>
      <c r="H810" t="n">
        <v>0</v>
      </c>
      <c r="I810" t="n">
        <v>0</v>
      </c>
      <c r="J810" t="n">
        <v>0</v>
      </c>
      <c r="K810" t="n">
        <v>0</v>
      </c>
      <c r="L810" t="n">
        <v>0</v>
      </c>
      <c r="M810" t="n">
        <v>0</v>
      </c>
      <c r="N810" t="n">
        <v>0</v>
      </c>
      <c r="O810" t="n">
        <v>0</v>
      </c>
      <c r="P810" t="n">
        <v>0</v>
      </c>
      <c r="Q810" t="n">
        <v>0</v>
      </c>
      <c r="R810" s="2" t="inlineStr"/>
    </row>
    <row r="811" ht="15" customHeight="1">
      <c r="A811" t="inlineStr">
        <is>
          <t>A 22697-2022</t>
        </is>
      </c>
      <c r="B811" s="1" t="n">
        <v>44714</v>
      </c>
      <c r="C811" s="1" t="n">
        <v>45471</v>
      </c>
      <c r="D811" t="inlineStr">
        <is>
          <t>STOCKHOLMS LÄN</t>
        </is>
      </c>
      <c r="E811" t="inlineStr">
        <is>
          <t>NORRTÄLJE</t>
        </is>
      </c>
      <c r="G811" t="n">
        <v>5.6</v>
      </c>
      <c r="H811" t="n">
        <v>0</v>
      </c>
      <c r="I811" t="n">
        <v>0</v>
      </c>
      <c r="J811" t="n">
        <v>0</v>
      </c>
      <c r="K811" t="n">
        <v>0</v>
      </c>
      <c r="L811" t="n">
        <v>0</v>
      </c>
      <c r="M811" t="n">
        <v>0</v>
      </c>
      <c r="N811" t="n">
        <v>0</v>
      </c>
      <c r="O811" t="n">
        <v>0</v>
      </c>
      <c r="P811" t="n">
        <v>0</v>
      </c>
      <c r="Q811" t="n">
        <v>0</v>
      </c>
      <c r="R811" s="2" t="inlineStr"/>
    </row>
    <row r="812" ht="15" customHeight="1">
      <c r="A812" t="inlineStr">
        <is>
          <t>A 22628-2022</t>
        </is>
      </c>
      <c r="B812" s="1" t="n">
        <v>44714</v>
      </c>
      <c r="C812" s="1" t="n">
        <v>45471</v>
      </c>
      <c r="D812" t="inlineStr">
        <is>
          <t>STOCKHOLMS LÄN</t>
        </is>
      </c>
      <c r="E812" t="inlineStr">
        <is>
          <t>NORRTÄLJE</t>
        </is>
      </c>
      <c r="G812" t="n">
        <v>11.4</v>
      </c>
      <c r="H812" t="n">
        <v>0</v>
      </c>
      <c r="I812" t="n">
        <v>0</v>
      </c>
      <c r="J812" t="n">
        <v>0</v>
      </c>
      <c r="K812" t="n">
        <v>0</v>
      </c>
      <c r="L812" t="n">
        <v>0</v>
      </c>
      <c r="M812" t="n">
        <v>0</v>
      </c>
      <c r="N812" t="n">
        <v>0</v>
      </c>
      <c r="O812" t="n">
        <v>0</v>
      </c>
      <c r="P812" t="n">
        <v>0</v>
      </c>
      <c r="Q812" t="n">
        <v>0</v>
      </c>
      <c r="R812" s="2" t="inlineStr"/>
    </row>
    <row r="813" ht="15" customHeight="1">
      <c r="A813" t="inlineStr">
        <is>
          <t>A 22636-2022</t>
        </is>
      </c>
      <c r="B813" s="1" t="n">
        <v>44714</v>
      </c>
      <c r="C813" s="1" t="n">
        <v>45471</v>
      </c>
      <c r="D813" t="inlineStr">
        <is>
          <t>STOCKHOLMS LÄN</t>
        </is>
      </c>
      <c r="E813" t="inlineStr">
        <is>
          <t>NORRTÄLJE</t>
        </is>
      </c>
      <c r="G813" t="n">
        <v>16.6</v>
      </c>
      <c r="H813" t="n">
        <v>0</v>
      </c>
      <c r="I813" t="n">
        <v>0</v>
      </c>
      <c r="J813" t="n">
        <v>0</v>
      </c>
      <c r="K813" t="n">
        <v>0</v>
      </c>
      <c r="L813" t="n">
        <v>0</v>
      </c>
      <c r="M813" t="n">
        <v>0</v>
      </c>
      <c r="N813" t="n">
        <v>0</v>
      </c>
      <c r="O813" t="n">
        <v>0</v>
      </c>
      <c r="P813" t="n">
        <v>0</v>
      </c>
      <c r="Q813" t="n">
        <v>0</v>
      </c>
      <c r="R813" s="2" t="inlineStr"/>
    </row>
    <row r="814" ht="15" customHeight="1">
      <c r="A814" t="inlineStr">
        <is>
          <t>A 22716-2022</t>
        </is>
      </c>
      <c r="B814" s="1" t="n">
        <v>44714</v>
      </c>
      <c r="C814" s="1" t="n">
        <v>45471</v>
      </c>
      <c r="D814" t="inlineStr">
        <is>
          <t>STOCKHOLMS LÄN</t>
        </is>
      </c>
      <c r="E814" t="inlineStr">
        <is>
          <t>NORRTÄLJE</t>
        </is>
      </c>
      <c r="G814" t="n">
        <v>13.5</v>
      </c>
      <c r="H814" t="n">
        <v>0</v>
      </c>
      <c r="I814" t="n">
        <v>0</v>
      </c>
      <c r="J814" t="n">
        <v>0</v>
      </c>
      <c r="K814" t="n">
        <v>0</v>
      </c>
      <c r="L814" t="n">
        <v>0</v>
      </c>
      <c r="M814" t="n">
        <v>0</v>
      </c>
      <c r="N814" t="n">
        <v>0</v>
      </c>
      <c r="O814" t="n">
        <v>0</v>
      </c>
      <c r="P814" t="n">
        <v>0</v>
      </c>
      <c r="Q814" t="n">
        <v>0</v>
      </c>
      <c r="R814" s="2" t="inlineStr"/>
    </row>
    <row r="815" ht="15" customHeight="1">
      <c r="A815" t="inlineStr">
        <is>
          <t>A 22756-2022</t>
        </is>
      </c>
      <c r="B815" s="1" t="n">
        <v>44715</v>
      </c>
      <c r="C815" s="1" t="n">
        <v>45471</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23125-2022</t>
        </is>
      </c>
      <c r="B816" s="1" t="n">
        <v>44719</v>
      </c>
      <c r="C816" s="1" t="n">
        <v>45471</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23770-2022</t>
        </is>
      </c>
      <c r="B817" s="1" t="n">
        <v>44722</v>
      </c>
      <c r="C817" s="1" t="n">
        <v>45471</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23801-2022</t>
        </is>
      </c>
      <c r="B818" s="1" t="n">
        <v>44722</v>
      </c>
      <c r="C818" s="1" t="n">
        <v>45471</v>
      </c>
      <c r="D818" t="inlineStr">
        <is>
          <t>STOCKHOLMS LÄN</t>
        </is>
      </c>
      <c r="E818" t="inlineStr">
        <is>
          <t>NORRTÄLJE</t>
        </is>
      </c>
      <c r="G818" t="n">
        <v>6.8</v>
      </c>
      <c r="H818" t="n">
        <v>0</v>
      </c>
      <c r="I818" t="n">
        <v>0</v>
      </c>
      <c r="J818" t="n">
        <v>0</v>
      </c>
      <c r="K818" t="n">
        <v>0</v>
      </c>
      <c r="L818" t="n">
        <v>0</v>
      </c>
      <c r="M818" t="n">
        <v>0</v>
      </c>
      <c r="N818" t="n">
        <v>0</v>
      </c>
      <c r="O818" t="n">
        <v>0</v>
      </c>
      <c r="P818" t="n">
        <v>0</v>
      </c>
      <c r="Q818" t="n">
        <v>0</v>
      </c>
      <c r="R818" s="2" t="inlineStr"/>
    </row>
    <row r="819" ht="15" customHeight="1">
      <c r="A819" t="inlineStr">
        <is>
          <t>A 24101-2022</t>
        </is>
      </c>
      <c r="B819" s="1" t="n">
        <v>44725</v>
      </c>
      <c r="C819" s="1" t="n">
        <v>45471</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24162-2022</t>
        </is>
      </c>
      <c r="B820" s="1" t="n">
        <v>44725</v>
      </c>
      <c r="C820" s="1" t="n">
        <v>45471</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24167-2022</t>
        </is>
      </c>
      <c r="B821" s="1" t="n">
        <v>44725</v>
      </c>
      <c r="C821" s="1" t="n">
        <v>45471</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24152-2022</t>
        </is>
      </c>
      <c r="B822" s="1" t="n">
        <v>44725</v>
      </c>
      <c r="C822" s="1" t="n">
        <v>45471</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24534-2022</t>
        </is>
      </c>
      <c r="B823" s="1" t="n">
        <v>44727</v>
      </c>
      <c r="C823" s="1" t="n">
        <v>45471</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24977-2022</t>
        </is>
      </c>
      <c r="B824" s="1" t="n">
        <v>44728</v>
      </c>
      <c r="C824" s="1" t="n">
        <v>45471</v>
      </c>
      <c r="D824" t="inlineStr">
        <is>
          <t>STOCKHOLMS LÄN</t>
        </is>
      </c>
      <c r="E824" t="inlineStr">
        <is>
          <t>NORRTÄLJE</t>
        </is>
      </c>
      <c r="F824" t="inlineStr">
        <is>
          <t>Kyrkan</t>
        </is>
      </c>
      <c r="G824" t="n">
        <v>1</v>
      </c>
      <c r="H824" t="n">
        <v>0</v>
      </c>
      <c r="I824" t="n">
        <v>0</v>
      </c>
      <c r="J824" t="n">
        <v>0</v>
      </c>
      <c r="K824" t="n">
        <v>0</v>
      </c>
      <c r="L824" t="n">
        <v>0</v>
      </c>
      <c r="M824" t="n">
        <v>0</v>
      </c>
      <c r="N824" t="n">
        <v>0</v>
      </c>
      <c r="O824" t="n">
        <v>0</v>
      </c>
      <c r="P824" t="n">
        <v>0</v>
      </c>
      <c r="Q824" t="n">
        <v>0</v>
      </c>
      <c r="R824" s="2" t="inlineStr"/>
    </row>
    <row r="825" ht="15" customHeight="1">
      <c r="A825" t="inlineStr">
        <is>
          <t>A 25525-2022</t>
        </is>
      </c>
      <c r="B825" s="1" t="n">
        <v>44732</v>
      </c>
      <c r="C825" s="1" t="n">
        <v>45471</v>
      </c>
      <c r="D825" t="inlineStr">
        <is>
          <t>STOCKHOLMS LÄN</t>
        </is>
      </c>
      <c r="E825" t="inlineStr">
        <is>
          <t>NORRTÄLJE</t>
        </is>
      </c>
      <c r="G825" t="n">
        <v>2.2</v>
      </c>
      <c r="H825" t="n">
        <v>0</v>
      </c>
      <c r="I825" t="n">
        <v>0</v>
      </c>
      <c r="J825" t="n">
        <v>0</v>
      </c>
      <c r="K825" t="n">
        <v>0</v>
      </c>
      <c r="L825" t="n">
        <v>0</v>
      </c>
      <c r="M825" t="n">
        <v>0</v>
      </c>
      <c r="N825" t="n">
        <v>0</v>
      </c>
      <c r="O825" t="n">
        <v>0</v>
      </c>
      <c r="P825" t="n">
        <v>0</v>
      </c>
      <c r="Q825" t="n">
        <v>0</v>
      </c>
      <c r="R825" s="2" t="inlineStr"/>
    </row>
    <row r="826" ht="15" customHeight="1">
      <c r="A826" t="inlineStr">
        <is>
          <t>A 25621-2022</t>
        </is>
      </c>
      <c r="B826" s="1" t="n">
        <v>44732</v>
      </c>
      <c r="C826" s="1" t="n">
        <v>45471</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25619-2022</t>
        </is>
      </c>
      <c r="B827" s="1" t="n">
        <v>44732</v>
      </c>
      <c r="C827" s="1" t="n">
        <v>45471</v>
      </c>
      <c r="D827" t="inlineStr">
        <is>
          <t>STOCKHOLMS LÄN</t>
        </is>
      </c>
      <c r="E827" t="inlineStr">
        <is>
          <t>NORRTÄLJE</t>
        </is>
      </c>
      <c r="G827" t="n">
        <v>3.9</v>
      </c>
      <c r="H827" t="n">
        <v>0</v>
      </c>
      <c r="I827" t="n">
        <v>0</v>
      </c>
      <c r="J827" t="n">
        <v>0</v>
      </c>
      <c r="K827" t="n">
        <v>0</v>
      </c>
      <c r="L827" t="n">
        <v>0</v>
      </c>
      <c r="M827" t="n">
        <v>0</v>
      </c>
      <c r="N827" t="n">
        <v>0</v>
      </c>
      <c r="O827" t="n">
        <v>0</v>
      </c>
      <c r="P827" t="n">
        <v>0</v>
      </c>
      <c r="Q827" t="n">
        <v>0</v>
      </c>
      <c r="R827" s="2" t="inlineStr"/>
    </row>
    <row r="828" ht="15" customHeight="1">
      <c r="A828" t="inlineStr">
        <is>
          <t>A 26328-2022</t>
        </is>
      </c>
      <c r="B828" s="1" t="n">
        <v>44735</v>
      </c>
      <c r="C828" s="1" t="n">
        <v>45471</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26335-2022</t>
        </is>
      </c>
      <c r="B829" s="1" t="n">
        <v>44735</v>
      </c>
      <c r="C829" s="1" t="n">
        <v>45471</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27538-2022</t>
        </is>
      </c>
      <c r="B830" s="1" t="n">
        <v>44742</v>
      </c>
      <c r="C830" s="1" t="n">
        <v>45471</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27715-2022</t>
        </is>
      </c>
      <c r="B831" s="1" t="n">
        <v>44743</v>
      </c>
      <c r="C831" s="1" t="n">
        <v>45471</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27827-2022</t>
        </is>
      </c>
      <c r="B832" s="1" t="n">
        <v>44743</v>
      </c>
      <c r="C832" s="1" t="n">
        <v>45471</v>
      </c>
      <c r="D832" t="inlineStr">
        <is>
          <t>STOCKHOLMS LÄN</t>
        </is>
      </c>
      <c r="E832" t="inlineStr">
        <is>
          <t>NORRTÄLJE</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27870-2022</t>
        </is>
      </c>
      <c r="B833" s="1" t="n">
        <v>44743</v>
      </c>
      <c r="C833" s="1" t="n">
        <v>45471</v>
      </c>
      <c r="D833" t="inlineStr">
        <is>
          <t>STOCKHOLMS LÄN</t>
        </is>
      </c>
      <c r="E833" t="inlineStr">
        <is>
          <t>NORRTÄLJE</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27828-2022</t>
        </is>
      </c>
      <c r="B834" s="1" t="n">
        <v>44743</v>
      </c>
      <c r="C834" s="1" t="n">
        <v>45471</v>
      </c>
      <c r="D834" t="inlineStr">
        <is>
          <t>STOCKHOLMS LÄN</t>
        </is>
      </c>
      <c r="E834" t="inlineStr">
        <is>
          <t>NORRTÄLJE</t>
        </is>
      </c>
      <c r="F834" t="inlineStr">
        <is>
          <t>Kommuner</t>
        </is>
      </c>
      <c r="G834" t="n">
        <v>1.6</v>
      </c>
      <c r="H834" t="n">
        <v>0</v>
      </c>
      <c r="I834" t="n">
        <v>0</v>
      </c>
      <c r="J834" t="n">
        <v>0</v>
      </c>
      <c r="K834" t="n">
        <v>0</v>
      </c>
      <c r="L834" t="n">
        <v>0</v>
      </c>
      <c r="M834" t="n">
        <v>0</v>
      </c>
      <c r="N834" t="n">
        <v>0</v>
      </c>
      <c r="O834" t="n">
        <v>0</v>
      </c>
      <c r="P834" t="n">
        <v>0</v>
      </c>
      <c r="Q834" t="n">
        <v>0</v>
      </c>
      <c r="R834" s="2" t="inlineStr"/>
    </row>
    <row r="835" ht="15" customHeight="1">
      <c r="A835" t="inlineStr">
        <is>
          <t>A 27824-2022</t>
        </is>
      </c>
      <c r="B835" s="1" t="n">
        <v>44743</v>
      </c>
      <c r="C835" s="1" t="n">
        <v>45471</v>
      </c>
      <c r="D835" t="inlineStr">
        <is>
          <t>STOCKHOLMS LÄN</t>
        </is>
      </c>
      <c r="E835" t="inlineStr">
        <is>
          <t>NORRTÄLJE</t>
        </is>
      </c>
      <c r="F835" t="inlineStr">
        <is>
          <t>Kommuner</t>
        </is>
      </c>
      <c r="G835" t="n">
        <v>3.1</v>
      </c>
      <c r="H835" t="n">
        <v>0</v>
      </c>
      <c r="I835" t="n">
        <v>0</v>
      </c>
      <c r="J835" t="n">
        <v>0</v>
      </c>
      <c r="K835" t="n">
        <v>0</v>
      </c>
      <c r="L835" t="n">
        <v>0</v>
      </c>
      <c r="M835" t="n">
        <v>0</v>
      </c>
      <c r="N835" t="n">
        <v>0</v>
      </c>
      <c r="O835" t="n">
        <v>0</v>
      </c>
      <c r="P835" t="n">
        <v>0</v>
      </c>
      <c r="Q835" t="n">
        <v>0</v>
      </c>
      <c r="R835" s="2" t="inlineStr"/>
    </row>
    <row r="836" ht="15" customHeight="1">
      <c r="A836" t="inlineStr">
        <is>
          <t>A 27831-2022</t>
        </is>
      </c>
      <c r="B836" s="1" t="n">
        <v>44743</v>
      </c>
      <c r="C836" s="1" t="n">
        <v>45471</v>
      </c>
      <c r="D836" t="inlineStr">
        <is>
          <t>STOCKHOLMS LÄN</t>
        </is>
      </c>
      <c r="E836" t="inlineStr">
        <is>
          <t>NORRTÄLJE</t>
        </is>
      </c>
      <c r="F836" t="inlineStr">
        <is>
          <t>Kommuner</t>
        </is>
      </c>
      <c r="G836" t="n">
        <v>4</v>
      </c>
      <c r="H836" t="n">
        <v>0</v>
      </c>
      <c r="I836" t="n">
        <v>0</v>
      </c>
      <c r="J836" t="n">
        <v>0</v>
      </c>
      <c r="K836" t="n">
        <v>0</v>
      </c>
      <c r="L836" t="n">
        <v>0</v>
      </c>
      <c r="M836" t="n">
        <v>0</v>
      </c>
      <c r="N836" t="n">
        <v>0</v>
      </c>
      <c r="O836" t="n">
        <v>0</v>
      </c>
      <c r="P836" t="n">
        <v>0</v>
      </c>
      <c r="Q836" t="n">
        <v>0</v>
      </c>
      <c r="R836" s="2" t="inlineStr"/>
    </row>
    <row r="837" ht="15" customHeight="1">
      <c r="A837" t="inlineStr">
        <is>
          <t>A 27885-2022</t>
        </is>
      </c>
      <c r="B837" s="1" t="n">
        <v>44743</v>
      </c>
      <c r="C837" s="1" t="n">
        <v>45471</v>
      </c>
      <c r="D837" t="inlineStr">
        <is>
          <t>STOCKHOLMS LÄN</t>
        </is>
      </c>
      <c r="E837" t="inlineStr">
        <is>
          <t>NORRTÄLJE</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27867-2022</t>
        </is>
      </c>
      <c r="B838" s="1" t="n">
        <v>44743</v>
      </c>
      <c r="C838" s="1" t="n">
        <v>45471</v>
      </c>
      <c r="D838" t="inlineStr">
        <is>
          <t>STOCKHOLMS LÄN</t>
        </is>
      </c>
      <c r="E838" t="inlineStr">
        <is>
          <t>NORRTÄLJE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28042-2022</t>
        </is>
      </c>
      <c r="B839" s="1" t="n">
        <v>44744</v>
      </c>
      <c r="C839" s="1" t="n">
        <v>45471</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28100-2022</t>
        </is>
      </c>
      <c r="B840" s="1" t="n">
        <v>44746</v>
      </c>
      <c r="C840" s="1" t="n">
        <v>45471</v>
      </c>
      <c r="D840" t="inlineStr">
        <is>
          <t>STOCKHOLMS LÄN</t>
        </is>
      </c>
      <c r="E840" t="inlineStr">
        <is>
          <t>NORRTÄLJE</t>
        </is>
      </c>
      <c r="F840" t="inlineStr">
        <is>
          <t>Holmen skog AB</t>
        </is>
      </c>
      <c r="G840" t="n">
        <v>5.8</v>
      </c>
      <c r="H840" t="n">
        <v>0</v>
      </c>
      <c r="I840" t="n">
        <v>0</v>
      </c>
      <c r="J840" t="n">
        <v>0</v>
      </c>
      <c r="K840" t="n">
        <v>0</v>
      </c>
      <c r="L840" t="n">
        <v>0</v>
      </c>
      <c r="M840" t="n">
        <v>0</v>
      </c>
      <c r="N840" t="n">
        <v>0</v>
      </c>
      <c r="O840" t="n">
        <v>0</v>
      </c>
      <c r="P840" t="n">
        <v>0</v>
      </c>
      <c r="Q840" t="n">
        <v>0</v>
      </c>
      <c r="R840" s="2" t="inlineStr"/>
    </row>
    <row r="841" ht="15" customHeight="1">
      <c r="A841" t="inlineStr">
        <is>
          <t>A 28182-2022</t>
        </is>
      </c>
      <c r="B841" s="1" t="n">
        <v>44746</v>
      </c>
      <c r="C841" s="1" t="n">
        <v>45471</v>
      </c>
      <c r="D841" t="inlineStr">
        <is>
          <t>STOCKHOLMS LÄN</t>
        </is>
      </c>
      <c r="E841" t="inlineStr">
        <is>
          <t>NORRTÄLJE</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28209-2022</t>
        </is>
      </c>
      <c r="B842" s="1" t="n">
        <v>44746</v>
      </c>
      <c r="C842" s="1" t="n">
        <v>45471</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28365-2022</t>
        </is>
      </c>
      <c r="B843" s="1" t="n">
        <v>44747</v>
      </c>
      <c r="C843" s="1" t="n">
        <v>45471</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28900-2022</t>
        </is>
      </c>
      <c r="B844" s="1" t="n">
        <v>44749</v>
      </c>
      <c r="C844" s="1" t="n">
        <v>45471</v>
      </c>
      <c r="D844" t="inlineStr">
        <is>
          <t>STOCKHOLMS LÄN</t>
        </is>
      </c>
      <c r="E844" t="inlineStr">
        <is>
          <t>NORRTÄLJE</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28959-2022</t>
        </is>
      </c>
      <c r="B845" s="1" t="n">
        <v>44749</v>
      </c>
      <c r="C845" s="1" t="n">
        <v>45471</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29070-2022</t>
        </is>
      </c>
      <c r="B846" s="1" t="n">
        <v>44750</v>
      </c>
      <c r="C846" s="1" t="n">
        <v>45471</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29266-2022</t>
        </is>
      </c>
      <c r="B847" s="1" t="n">
        <v>44750</v>
      </c>
      <c r="C847" s="1" t="n">
        <v>45471</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29278-2022</t>
        </is>
      </c>
      <c r="B848" s="1" t="n">
        <v>44750</v>
      </c>
      <c r="C848" s="1" t="n">
        <v>45471</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29362-2022</t>
        </is>
      </c>
      <c r="B849" s="1" t="n">
        <v>44753</v>
      </c>
      <c r="C849" s="1" t="n">
        <v>45471</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29395-2022</t>
        </is>
      </c>
      <c r="B850" s="1" t="n">
        <v>44753</v>
      </c>
      <c r="C850" s="1" t="n">
        <v>45471</v>
      </c>
      <c r="D850" t="inlineStr">
        <is>
          <t>STOCKHOLMS LÄN</t>
        </is>
      </c>
      <c r="E850" t="inlineStr">
        <is>
          <t>NORRTÄLJE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29868-2022</t>
        </is>
      </c>
      <c r="B851" s="1" t="n">
        <v>44756</v>
      </c>
      <c r="C851" s="1" t="n">
        <v>45471</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30151-2022</t>
        </is>
      </c>
      <c r="B852" s="1" t="n">
        <v>44757</v>
      </c>
      <c r="C852" s="1" t="n">
        <v>45471</v>
      </c>
      <c r="D852" t="inlineStr">
        <is>
          <t>STOCKHOLMS LÄN</t>
        </is>
      </c>
      <c r="E852" t="inlineStr">
        <is>
          <t>NORRTÄLJE</t>
        </is>
      </c>
      <c r="G852" t="n">
        <v>12.6</v>
      </c>
      <c r="H852" t="n">
        <v>0</v>
      </c>
      <c r="I852" t="n">
        <v>0</v>
      </c>
      <c r="J852" t="n">
        <v>0</v>
      </c>
      <c r="K852" t="n">
        <v>0</v>
      </c>
      <c r="L852" t="n">
        <v>0</v>
      </c>
      <c r="M852" t="n">
        <v>0</v>
      </c>
      <c r="N852" t="n">
        <v>0</v>
      </c>
      <c r="O852" t="n">
        <v>0</v>
      </c>
      <c r="P852" t="n">
        <v>0</v>
      </c>
      <c r="Q852" t="n">
        <v>0</v>
      </c>
      <c r="R852" s="2" t="inlineStr"/>
    </row>
    <row r="853" ht="15" customHeight="1">
      <c r="A853" t="inlineStr">
        <is>
          <t>A 30164-2022</t>
        </is>
      </c>
      <c r="B853" s="1" t="n">
        <v>44757</v>
      </c>
      <c r="C853" s="1" t="n">
        <v>45471</v>
      </c>
      <c r="D853" t="inlineStr">
        <is>
          <t>STOCKHOLMS LÄN</t>
        </is>
      </c>
      <c r="E853" t="inlineStr">
        <is>
          <t>NORRTÄLJE</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30171-2022</t>
        </is>
      </c>
      <c r="B854" s="1" t="n">
        <v>44757</v>
      </c>
      <c r="C854" s="1" t="n">
        <v>45471</v>
      </c>
      <c r="D854" t="inlineStr">
        <is>
          <t>STOCKHOLMS LÄN</t>
        </is>
      </c>
      <c r="E854" t="inlineStr">
        <is>
          <t>NORRTÄLJE</t>
        </is>
      </c>
      <c r="F854" t="inlineStr">
        <is>
          <t>Holmen skog AB</t>
        </is>
      </c>
      <c r="G854" t="n">
        <v>6.3</v>
      </c>
      <c r="H854" t="n">
        <v>0</v>
      </c>
      <c r="I854" t="n">
        <v>0</v>
      </c>
      <c r="J854" t="n">
        <v>0</v>
      </c>
      <c r="K854" t="n">
        <v>0</v>
      </c>
      <c r="L854" t="n">
        <v>0</v>
      </c>
      <c r="M854" t="n">
        <v>0</v>
      </c>
      <c r="N854" t="n">
        <v>0</v>
      </c>
      <c r="O854" t="n">
        <v>0</v>
      </c>
      <c r="P854" t="n">
        <v>0</v>
      </c>
      <c r="Q854" t="n">
        <v>0</v>
      </c>
      <c r="R854" s="2" t="inlineStr"/>
    </row>
    <row r="855" ht="15" customHeight="1">
      <c r="A855" t="inlineStr">
        <is>
          <t>A 30283-2022</t>
        </is>
      </c>
      <c r="B855" s="1" t="n">
        <v>44760</v>
      </c>
      <c r="C855" s="1" t="n">
        <v>45471</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45471</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30286-2022</t>
        </is>
      </c>
      <c r="B857" s="1" t="n">
        <v>44760</v>
      </c>
      <c r="C857" s="1" t="n">
        <v>45471</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30290-2022</t>
        </is>
      </c>
      <c r="B858" s="1" t="n">
        <v>44760</v>
      </c>
      <c r="C858" s="1" t="n">
        <v>45471</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30620-2022</t>
        </is>
      </c>
      <c r="B859" s="1" t="n">
        <v>44763</v>
      </c>
      <c r="C859" s="1" t="n">
        <v>45471</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30624-2022</t>
        </is>
      </c>
      <c r="B860" s="1" t="n">
        <v>44763</v>
      </c>
      <c r="C860" s="1" t="n">
        <v>45471</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30758-2022</t>
        </is>
      </c>
      <c r="B861" s="1" t="n">
        <v>44764</v>
      </c>
      <c r="C861" s="1" t="n">
        <v>45471</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30740-2022</t>
        </is>
      </c>
      <c r="B862" s="1" t="n">
        <v>44764</v>
      </c>
      <c r="C862" s="1" t="n">
        <v>45471</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30750-2022</t>
        </is>
      </c>
      <c r="B863" s="1" t="n">
        <v>44764</v>
      </c>
      <c r="C863" s="1" t="n">
        <v>45471</v>
      </c>
      <c r="D863" t="inlineStr">
        <is>
          <t>STOCKHOLMS LÄN</t>
        </is>
      </c>
      <c r="E863" t="inlineStr">
        <is>
          <t>NORRTÄLJE</t>
        </is>
      </c>
      <c r="G863" t="n">
        <v>3.7</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45471</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30886-2022</t>
        </is>
      </c>
      <c r="B865" s="1" t="n">
        <v>44767</v>
      </c>
      <c r="C865" s="1" t="n">
        <v>45471</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31102-2022</t>
        </is>
      </c>
      <c r="B866" s="1" t="n">
        <v>44769</v>
      </c>
      <c r="C866" s="1" t="n">
        <v>45471</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31092-2022</t>
        </is>
      </c>
      <c r="B867" s="1" t="n">
        <v>44769</v>
      </c>
      <c r="C867" s="1" t="n">
        <v>45471</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31052-2022</t>
        </is>
      </c>
      <c r="B868" s="1" t="n">
        <v>44769</v>
      </c>
      <c r="C868" s="1" t="n">
        <v>45471</v>
      </c>
      <c r="D868" t="inlineStr">
        <is>
          <t>STOCKHOLMS LÄN</t>
        </is>
      </c>
      <c r="E868" t="inlineStr">
        <is>
          <t>NORRTÄLJE</t>
        </is>
      </c>
      <c r="G868" t="n">
        <v>6</v>
      </c>
      <c r="H868" t="n">
        <v>0</v>
      </c>
      <c r="I868" t="n">
        <v>0</v>
      </c>
      <c r="J868" t="n">
        <v>0</v>
      </c>
      <c r="K868" t="n">
        <v>0</v>
      </c>
      <c r="L868" t="n">
        <v>0</v>
      </c>
      <c r="M868" t="n">
        <v>0</v>
      </c>
      <c r="N868" t="n">
        <v>0</v>
      </c>
      <c r="O868" t="n">
        <v>0</v>
      </c>
      <c r="P868" t="n">
        <v>0</v>
      </c>
      <c r="Q868" t="n">
        <v>0</v>
      </c>
      <c r="R868" s="2" t="inlineStr"/>
    </row>
    <row r="869" ht="15" customHeight="1">
      <c r="A869" t="inlineStr">
        <is>
          <t>A 31105-2022</t>
        </is>
      </c>
      <c r="B869" s="1" t="n">
        <v>44769</v>
      </c>
      <c r="C869" s="1" t="n">
        <v>45471</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31107-2022</t>
        </is>
      </c>
      <c r="B870" s="1" t="n">
        <v>44769</v>
      </c>
      <c r="C870" s="1" t="n">
        <v>45471</v>
      </c>
      <c r="D870" t="inlineStr">
        <is>
          <t>STOCKHOLMS LÄN</t>
        </is>
      </c>
      <c r="E870" t="inlineStr">
        <is>
          <t>NORRTÄLJE</t>
        </is>
      </c>
      <c r="G870" t="n">
        <v>3.8</v>
      </c>
      <c r="H870" t="n">
        <v>0</v>
      </c>
      <c r="I870" t="n">
        <v>0</v>
      </c>
      <c r="J870" t="n">
        <v>0</v>
      </c>
      <c r="K870" t="n">
        <v>0</v>
      </c>
      <c r="L870" t="n">
        <v>0</v>
      </c>
      <c r="M870" t="n">
        <v>0</v>
      </c>
      <c r="N870" t="n">
        <v>0</v>
      </c>
      <c r="O870" t="n">
        <v>0</v>
      </c>
      <c r="P870" t="n">
        <v>0</v>
      </c>
      <c r="Q870" t="n">
        <v>0</v>
      </c>
      <c r="R870" s="2" t="inlineStr"/>
    </row>
    <row r="871" ht="15" customHeight="1">
      <c r="A871" t="inlineStr">
        <is>
          <t>A 31057-2022</t>
        </is>
      </c>
      <c r="B871" s="1" t="n">
        <v>44769</v>
      </c>
      <c r="C871" s="1" t="n">
        <v>45471</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31236-2022</t>
        </is>
      </c>
      <c r="B872" s="1" t="n">
        <v>44771</v>
      </c>
      <c r="C872" s="1" t="n">
        <v>45471</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31281-2022</t>
        </is>
      </c>
      <c r="B873" s="1" t="n">
        <v>44771</v>
      </c>
      <c r="C873" s="1" t="n">
        <v>45471</v>
      </c>
      <c r="D873" t="inlineStr">
        <is>
          <t>STOCKHOLMS LÄN</t>
        </is>
      </c>
      <c r="E873" t="inlineStr">
        <is>
          <t>NORRTÄLJE</t>
        </is>
      </c>
      <c r="F873" t="inlineStr">
        <is>
          <t>Holmen skog AB</t>
        </is>
      </c>
      <c r="G873" t="n">
        <v>5.2</v>
      </c>
      <c r="H873" t="n">
        <v>0</v>
      </c>
      <c r="I873" t="n">
        <v>0</v>
      </c>
      <c r="J873" t="n">
        <v>0</v>
      </c>
      <c r="K873" t="n">
        <v>0</v>
      </c>
      <c r="L873" t="n">
        <v>0</v>
      </c>
      <c r="M873" t="n">
        <v>0</v>
      </c>
      <c r="N873" t="n">
        <v>0</v>
      </c>
      <c r="O873" t="n">
        <v>0</v>
      </c>
      <c r="P873" t="n">
        <v>0</v>
      </c>
      <c r="Q873" t="n">
        <v>0</v>
      </c>
      <c r="R873" s="2" t="inlineStr"/>
    </row>
    <row r="874" ht="15" customHeight="1">
      <c r="A874" t="inlineStr">
        <is>
          <t>A 31283-2022</t>
        </is>
      </c>
      <c r="B874" s="1" t="n">
        <v>44771</v>
      </c>
      <c r="C874" s="1" t="n">
        <v>45471</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31559-2022</t>
        </is>
      </c>
      <c r="B875" s="1" t="n">
        <v>44775</v>
      </c>
      <c r="C875" s="1" t="n">
        <v>45471</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31807-2022</t>
        </is>
      </c>
      <c r="B876" s="1" t="n">
        <v>44776</v>
      </c>
      <c r="C876" s="1" t="n">
        <v>45471</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31938-2022</t>
        </is>
      </c>
      <c r="B877" s="1" t="n">
        <v>44777</v>
      </c>
      <c r="C877" s="1" t="n">
        <v>45471</v>
      </c>
      <c r="D877" t="inlineStr">
        <is>
          <t>STOCKHOLMS LÄN</t>
        </is>
      </c>
      <c r="E877" t="inlineStr">
        <is>
          <t>NORRTÄLJE</t>
        </is>
      </c>
      <c r="G877" t="n">
        <v>7.8</v>
      </c>
      <c r="H877" t="n">
        <v>0</v>
      </c>
      <c r="I877" t="n">
        <v>0</v>
      </c>
      <c r="J877" t="n">
        <v>0</v>
      </c>
      <c r="K877" t="n">
        <v>0</v>
      </c>
      <c r="L877" t="n">
        <v>0</v>
      </c>
      <c r="M877" t="n">
        <v>0</v>
      </c>
      <c r="N877" t="n">
        <v>0</v>
      </c>
      <c r="O877" t="n">
        <v>0</v>
      </c>
      <c r="P877" t="n">
        <v>0</v>
      </c>
      <c r="Q877" t="n">
        <v>0</v>
      </c>
      <c r="R877" s="2" t="inlineStr"/>
    </row>
    <row r="878" ht="15" customHeight="1">
      <c r="A878" t="inlineStr">
        <is>
          <t>A 31936-2022</t>
        </is>
      </c>
      <c r="B878" s="1" t="n">
        <v>44777</v>
      </c>
      <c r="C878" s="1" t="n">
        <v>45471</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31924-2022</t>
        </is>
      </c>
      <c r="B879" s="1" t="n">
        <v>44777</v>
      </c>
      <c r="C879" s="1" t="n">
        <v>45471</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31939-2022</t>
        </is>
      </c>
      <c r="B880" s="1" t="n">
        <v>44777</v>
      </c>
      <c r="C880" s="1" t="n">
        <v>45471</v>
      </c>
      <c r="D880" t="inlineStr">
        <is>
          <t>STOCKHOLMS LÄN</t>
        </is>
      </c>
      <c r="E880" t="inlineStr">
        <is>
          <t>NORRTÄLJE</t>
        </is>
      </c>
      <c r="G880" t="n">
        <v>13.5</v>
      </c>
      <c r="H880" t="n">
        <v>0</v>
      </c>
      <c r="I880" t="n">
        <v>0</v>
      </c>
      <c r="J880" t="n">
        <v>0</v>
      </c>
      <c r="K880" t="n">
        <v>0</v>
      </c>
      <c r="L880" t="n">
        <v>0</v>
      </c>
      <c r="M880" t="n">
        <v>0</v>
      </c>
      <c r="N880" t="n">
        <v>0</v>
      </c>
      <c r="O880" t="n">
        <v>0</v>
      </c>
      <c r="P880" t="n">
        <v>0</v>
      </c>
      <c r="Q880" t="n">
        <v>0</v>
      </c>
      <c r="R880" s="2" t="inlineStr"/>
    </row>
    <row r="881" ht="15" customHeight="1">
      <c r="A881" t="inlineStr">
        <is>
          <t>A 31926-2022</t>
        </is>
      </c>
      <c r="B881" s="1" t="n">
        <v>44777</v>
      </c>
      <c r="C881" s="1" t="n">
        <v>45471</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31934-2022</t>
        </is>
      </c>
      <c r="B882" s="1" t="n">
        <v>44777</v>
      </c>
      <c r="C882" s="1" t="n">
        <v>45471</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32103-2022</t>
        </is>
      </c>
      <c r="B883" s="1" t="n">
        <v>44778</v>
      </c>
      <c r="C883" s="1" t="n">
        <v>45471</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32111-2022</t>
        </is>
      </c>
      <c r="B884" s="1" t="n">
        <v>44779</v>
      </c>
      <c r="C884" s="1" t="n">
        <v>45471</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32101-2022</t>
        </is>
      </c>
      <c r="B885" s="1" t="n">
        <v>44778</v>
      </c>
      <c r="C885" s="1" t="n">
        <v>45471</v>
      </c>
      <c r="D885" t="inlineStr">
        <is>
          <t>STOCKHOLMS LÄN</t>
        </is>
      </c>
      <c r="E885" t="inlineStr">
        <is>
          <t>NORRTÄLJE</t>
        </is>
      </c>
      <c r="G885" t="n">
        <v>4.4</v>
      </c>
      <c r="H885" t="n">
        <v>0</v>
      </c>
      <c r="I885" t="n">
        <v>0</v>
      </c>
      <c r="J885" t="n">
        <v>0</v>
      </c>
      <c r="K885" t="n">
        <v>0</v>
      </c>
      <c r="L885" t="n">
        <v>0</v>
      </c>
      <c r="M885" t="n">
        <v>0</v>
      </c>
      <c r="N885" t="n">
        <v>0</v>
      </c>
      <c r="O885" t="n">
        <v>0</v>
      </c>
      <c r="P885" t="n">
        <v>0</v>
      </c>
      <c r="Q885" t="n">
        <v>0</v>
      </c>
      <c r="R885" s="2" t="inlineStr"/>
    </row>
    <row r="886" ht="15" customHeight="1">
      <c r="A886" t="inlineStr">
        <is>
          <t>A 32100-2022</t>
        </is>
      </c>
      <c r="B886" s="1" t="n">
        <v>44778</v>
      </c>
      <c r="C886" s="1" t="n">
        <v>45471</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32102-2022</t>
        </is>
      </c>
      <c r="B887" s="1" t="n">
        <v>44778</v>
      </c>
      <c r="C887" s="1" t="n">
        <v>45471</v>
      </c>
      <c r="D887" t="inlineStr">
        <is>
          <t>STOCKHOLMS LÄN</t>
        </is>
      </c>
      <c r="E887" t="inlineStr">
        <is>
          <t>NORRTÄLJE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32514-2022</t>
        </is>
      </c>
      <c r="B888" s="1" t="n">
        <v>44782</v>
      </c>
      <c r="C888" s="1" t="n">
        <v>45471</v>
      </c>
      <c r="D888" t="inlineStr">
        <is>
          <t>STOCKHOLMS LÄN</t>
        </is>
      </c>
      <c r="E888" t="inlineStr">
        <is>
          <t>NORRTÄLJE</t>
        </is>
      </c>
      <c r="G888" t="n">
        <v>5.1</v>
      </c>
      <c r="H888" t="n">
        <v>0</v>
      </c>
      <c r="I888" t="n">
        <v>0</v>
      </c>
      <c r="J888" t="n">
        <v>0</v>
      </c>
      <c r="K888" t="n">
        <v>0</v>
      </c>
      <c r="L888" t="n">
        <v>0</v>
      </c>
      <c r="M888" t="n">
        <v>0</v>
      </c>
      <c r="N888" t="n">
        <v>0</v>
      </c>
      <c r="O888" t="n">
        <v>0</v>
      </c>
      <c r="P888" t="n">
        <v>0</v>
      </c>
      <c r="Q888" t="n">
        <v>0</v>
      </c>
      <c r="R888" s="2" t="inlineStr"/>
    </row>
    <row r="889" ht="15" customHeight="1">
      <c r="A889" t="inlineStr">
        <is>
          <t>A 32705-2022</t>
        </is>
      </c>
      <c r="B889" s="1" t="n">
        <v>44783</v>
      </c>
      <c r="C889" s="1" t="n">
        <v>45471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33055-2022</t>
        </is>
      </c>
      <c r="B890" s="1" t="n">
        <v>44785</v>
      </c>
      <c r="C890" s="1" t="n">
        <v>45471</v>
      </c>
      <c r="D890" t="inlineStr">
        <is>
          <t>STOCKHOLMS LÄN</t>
        </is>
      </c>
      <c r="E890" t="inlineStr">
        <is>
          <t>NORRTÄLJE</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45471</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33445-2022</t>
        </is>
      </c>
      <c r="B892" s="1" t="n">
        <v>44788</v>
      </c>
      <c r="C892" s="1" t="n">
        <v>45471</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33793-2022</t>
        </is>
      </c>
      <c r="B893" s="1" t="n">
        <v>44790</v>
      </c>
      <c r="C893" s="1" t="n">
        <v>45471</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33895-2022</t>
        </is>
      </c>
      <c r="B894" s="1" t="n">
        <v>44790</v>
      </c>
      <c r="C894" s="1" t="n">
        <v>45471</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34773-2022</t>
        </is>
      </c>
      <c r="B895" s="1" t="n">
        <v>44795</v>
      </c>
      <c r="C895" s="1" t="n">
        <v>45471</v>
      </c>
      <c r="D895" t="inlineStr">
        <is>
          <t>STOCKHOLMS LÄN</t>
        </is>
      </c>
      <c r="E895" t="inlineStr">
        <is>
          <t>NORRTÄLJE</t>
        </is>
      </c>
      <c r="G895" t="n">
        <v>3.9</v>
      </c>
      <c r="H895" t="n">
        <v>0</v>
      </c>
      <c r="I895" t="n">
        <v>0</v>
      </c>
      <c r="J895" t="n">
        <v>0</v>
      </c>
      <c r="K895" t="n">
        <v>0</v>
      </c>
      <c r="L895" t="n">
        <v>0</v>
      </c>
      <c r="M895" t="n">
        <v>0</v>
      </c>
      <c r="N895" t="n">
        <v>0</v>
      </c>
      <c r="O895" t="n">
        <v>0</v>
      </c>
      <c r="P895" t="n">
        <v>0</v>
      </c>
      <c r="Q895" t="n">
        <v>0</v>
      </c>
      <c r="R895" s="2" t="inlineStr"/>
    </row>
    <row r="896" ht="15" customHeight="1">
      <c r="A896" t="inlineStr">
        <is>
          <t>A 35121-2022</t>
        </is>
      </c>
      <c r="B896" s="1" t="n">
        <v>44797</v>
      </c>
      <c r="C896" s="1" t="n">
        <v>45471</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35161-2022</t>
        </is>
      </c>
      <c r="B897" s="1" t="n">
        <v>44797</v>
      </c>
      <c r="C897" s="1" t="n">
        <v>45471</v>
      </c>
      <c r="D897" t="inlineStr">
        <is>
          <t>STOCKHOLMS LÄN</t>
        </is>
      </c>
      <c r="E897" t="inlineStr">
        <is>
          <t>NORRTÄLJE</t>
        </is>
      </c>
      <c r="G897" t="n">
        <v>6</v>
      </c>
      <c r="H897" t="n">
        <v>0</v>
      </c>
      <c r="I897" t="n">
        <v>0</v>
      </c>
      <c r="J897" t="n">
        <v>0</v>
      </c>
      <c r="K897" t="n">
        <v>0</v>
      </c>
      <c r="L897" t="n">
        <v>0</v>
      </c>
      <c r="M897" t="n">
        <v>0</v>
      </c>
      <c r="N897" t="n">
        <v>0</v>
      </c>
      <c r="O897" t="n">
        <v>0</v>
      </c>
      <c r="P897" t="n">
        <v>0</v>
      </c>
      <c r="Q897" t="n">
        <v>0</v>
      </c>
      <c r="R897" s="2" t="inlineStr"/>
    </row>
    <row r="898" ht="15" customHeight="1">
      <c r="A898" t="inlineStr">
        <is>
          <t>A 35156-2022</t>
        </is>
      </c>
      <c r="B898" s="1" t="n">
        <v>44797</v>
      </c>
      <c r="C898" s="1" t="n">
        <v>45471</v>
      </c>
      <c r="D898" t="inlineStr">
        <is>
          <t>STOCKHOLMS LÄN</t>
        </is>
      </c>
      <c r="E898" t="inlineStr">
        <is>
          <t>NORRTÄLJE</t>
        </is>
      </c>
      <c r="G898" t="n">
        <v>3.6</v>
      </c>
      <c r="H898" t="n">
        <v>0</v>
      </c>
      <c r="I898" t="n">
        <v>0</v>
      </c>
      <c r="J898" t="n">
        <v>0</v>
      </c>
      <c r="K898" t="n">
        <v>0</v>
      </c>
      <c r="L898" t="n">
        <v>0</v>
      </c>
      <c r="M898" t="n">
        <v>0</v>
      </c>
      <c r="N898" t="n">
        <v>0</v>
      </c>
      <c r="O898" t="n">
        <v>0</v>
      </c>
      <c r="P898" t="n">
        <v>0</v>
      </c>
      <c r="Q898" t="n">
        <v>0</v>
      </c>
      <c r="R898" s="2" t="inlineStr"/>
    </row>
    <row r="899" ht="15" customHeight="1">
      <c r="A899" t="inlineStr">
        <is>
          <t>A 35708-2022</t>
        </is>
      </c>
      <c r="B899" s="1" t="n">
        <v>44799</v>
      </c>
      <c r="C899" s="1" t="n">
        <v>45471</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36269-2022</t>
        </is>
      </c>
      <c r="B900" s="1" t="n">
        <v>44803</v>
      </c>
      <c r="C900" s="1" t="n">
        <v>45471</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36308-2022</t>
        </is>
      </c>
      <c r="B901" s="1" t="n">
        <v>44803</v>
      </c>
      <c r="C901" s="1" t="n">
        <v>45471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36975-2022</t>
        </is>
      </c>
      <c r="B902" s="1" t="n">
        <v>44806</v>
      </c>
      <c r="C902" s="1" t="n">
        <v>45471</v>
      </c>
      <c r="D902" t="inlineStr">
        <is>
          <t>STOCKHOLMS LÄN</t>
        </is>
      </c>
      <c r="E902" t="inlineStr">
        <is>
          <t>NORRTÄLJE</t>
        </is>
      </c>
      <c r="G902" t="n">
        <v>4.7</v>
      </c>
      <c r="H902" t="n">
        <v>0</v>
      </c>
      <c r="I902" t="n">
        <v>0</v>
      </c>
      <c r="J902" t="n">
        <v>0</v>
      </c>
      <c r="K902" t="n">
        <v>0</v>
      </c>
      <c r="L902" t="n">
        <v>0</v>
      </c>
      <c r="M902" t="n">
        <v>0</v>
      </c>
      <c r="N902" t="n">
        <v>0</v>
      </c>
      <c r="O902" t="n">
        <v>0</v>
      </c>
      <c r="P902" t="n">
        <v>0</v>
      </c>
      <c r="Q902" t="n">
        <v>0</v>
      </c>
      <c r="R902" s="2" t="inlineStr"/>
    </row>
    <row r="903" ht="15" customHeight="1">
      <c r="A903" t="inlineStr">
        <is>
          <t>A 37550-2022</t>
        </is>
      </c>
      <c r="B903" s="1" t="n">
        <v>44809</v>
      </c>
      <c r="C903" s="1" t="n">
        <v>45471</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37679-2022</t>
        </is>
      </c>
      <c r="B904" s="1" t="n">
        <v>44810</v>
      </c>
      <c r="C904" s="1" t="n">
        <v>45471</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37815-2022</t>
        </is>
      </c>
      <c r="B905" s="1" t="n">
        <v>44810</v>
      </c>
      <c r="C905" s="1" t="n">
        <v>45471</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38449-2022</t>
        </is>
      </c>
      <c r="B906" s="1" t="n">
        <v>44813</v>
      </c>
      <c r="C906" s="1" t="n">
        <v>45471</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45471</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38590-2022</t>
        </is>
      </c>
      <c r="B908" s="1" t="n">
        <v>44813</v>
      </c>
      <c r="C908" s="1" t="n">
        <v>45471</v>
      </c>
      <c r="D908" t="inlineStr">
        <is>
          <t>STOCKHOLMS LÄN</t>
        </is>
      </c>
      <c r="E908" t="inlineStr">
        <is>
          <t>NORRTÄLJE</t>
        </is>
      </c>
      <c r="G908" t="n">
        <v>5.9</v>
      </c>
      <c r="H908" t="n">
        <v>0</v>
      </c>
      <c r="I908" t="n">
        <v>0</v>
      </c>
      <c r="J908" t="n">
        <v>0</v>
      </c>
      <c r="K908" t="n">
        <v>0</v>
      </c>
      <c r="L908" t="n">
        <v>0</v>
      </c>
      <c r="M908" t="n">
        <v>0</v>
      </c>
      <c r="N908" t="n">
        <v>0</v>
      </c>
      <c r="O908" t="n">
        <v>0</v>
      </c>
      <c r="P908" t="n">
        <v>0</v>
      </c>
      <c r="Q908" t="n">
        <v>0</v>
      </c>
      <c r="R908" s="2" t="inlineStr"/>
    </row>
    <row r="909" ht="15" customHeight="1">
      <c r="A909" t="inlineStr">
        <is>
          <t>A 38610-2022</t>
        </is>
      </c>
      <c r="B909" s="1" t="n">
        <v>44813</v>
      </c>
      <c r="C909" s="1" t="n">
        <v>45471</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38720-2022</t>
        </is>
      </c>
      <c r="B910" s="1" t="n">
        <v>44815</v>
      </c>
      <c r="C910" s="1" t="n">
        <v>45471</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38721-2022</t>
        </is>
      </c>
      <c r="B911" s="1" t="n">
        <v>44815</v>
      </c>
      <c r="C911" s="1" t="n">
        <v>45471</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38927-2022</t>
        </is>
      </c>
      <c r="B912" s="1" t="n">
        <v>44816</v>
      </c>
      <c r="C912" s="1" t="n">
        <v>45471</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45471</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38990-2022</t>
        </is>
      </c>
      <c r="B914" s="1" t="n">
        <v>44816</v>
      </c>
      <c r="C914" s="1" t="n">
        <v>45471</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38991-2022</t>
        </is>
      </c>
      <c r="B915" s="1" t="n">
        <v>44816</v>
      </c>
      <c r="C915" s="1" t="n">
        <v>45471</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38985-2022</t>
        </is>
      </c>
      <c r="B916" s="1" t="n">
        <v>44816</v>
      </c>
      <c r="C916" s="1" t="n">
        <v>45471</v>
      </c>
      <c r="D916" t="inlineStr">
        <is>
          <t>STOCKHOLMS LÄN</t>
        </is>
      </c>
      <c r="E916" t="inlineStr">
        <is>
          <t>NORRTÄLJE</t>
        </is>
      </c>
      <c r="G916" t="n">
        <v>10.1</v>
      </c>
      <c r="H916" t="n">
        <v>0</v>
      </c>
      <c r="I916" t="n">
        <v>0</v>
      </c>
      <c r="J916" t="n">
        <v>0</v>
      </c>
      <c r="K916" t="n">
        <v>0</v>
      </c>
      <c r="L916" t="n">
        <v>0</v>
      </c>
      <c r="M916" t="n">
        <v>0</v>
      </c>
      <c r="N916" t="n">
        <v>0</v>
      </c>
      <c r="O916" t="n">
        <v>0</v>
      </c>
      <c r="P916" t="n">
        <v>0</v>
      </c>
      <c r="Q916" t="n">
        <v>0</v>
      </c>
      <c r="R916" s="2" t="inlineStr"/>
    </row>
    <row r="917" ht="15" customHeight="1">
      <c r="A917" t="inlineStr">
        <is>
          <t>A 38992-2022</t>
        </is>
      </c>
      <c r="B917" s="1" t="n">
        <v>44817</v>
      </c>
      <c r="C917" s="1" t="n">
        <v>45471</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39213-2022</t>
        </is>
      </c>
      <c r="B918" s="1" t="n">
        <v>44817</v>
      </c>
      <c r="C918" s="1" t="n">
        <v>45471</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39319-2022</t>
        </is>
      </c>
      <c r="B919" s="1" t="n">
        <v>44817</v>
      </c>
      <c r="C919" s="1" t="n">
        <v>45471</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39318-2022</t>
        </is>
      </c>
      <c r="B920" s="1" t="n">
        <v>44817</v>
      </c>
      <c r="C920" s="1" t="n">
        <v>45471</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39854-2022</t>
        </is>
      </c>
      <c r="B921" s="1" t="n">
        <v>44819</v>
      </c>
      <c r="C921" s="1" t="n">
        <v>45471</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39869-2022</t>
        </is>
      </c>
      <c r="B922" s="1" t="n">
        <v>44819</v>
      </c>
      <c r="C922" s="1" t="n">
        <v>45471</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39867-2022</t>
        </is>
      </c>
      <c r="B923" s="1" t="n">
        <v>44819</v>
      </c>
      <c r="C923" s="1" t="n">
        <v>45471</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40504-2022</t>
        </is>
      </c>
      <c r="B924" s="1" t="n">
        <v>44823</v>
      </c>
      <c r="C924" s="1" t="n">
        <v>45471</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40503-2022</t>
        </is>
      </c>
      <c r="B925" s="1" t="n">
        <v>44823</v>
      </c>
      <c r="C925" s="1" t="n">
        <v>45471</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40656-2022</t>
        </is>
      </c>
      <c r="B926" s="1" t="n">
        <v>44824</v>
      </c>
      <c r="C926" s="1" t="n">
        <v>45471</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40751-2022</t>
        </is>
      </c>
      <c r="B927" s="1" t="n">
        <v>44824</v>
      </c>
      <c r="C927" s="1" t="n">
        <v>45471</v>
      </c>
      <c r="D927" t="inlineStr">
        <is>
          <t>STOCKHOLMS LÄN</t>
        </is>
      </c>
      <c r="E927" t="inlineStr">
        <is>
          <t>NORRTÄLJE</t>
        </is>
      </c>
      <c r="G927" t="n">
        <v>6.1</v>
      </c>
      <c r="H927" t="n">
        <v>0</v>
      </c>
      <c r="I927" t="n">
        <v>0</v>
      </c>
      <c r="J927" t="n">
        <v>0</v>
      </c>
      <c r="K927" t="n">
        <v>0</v>
      </c>
      <c r="L927" t="n">
        <v>0</v>
      </c>
      <c r="M927" t="n">
        <v>0</v>
      </c>
      <c r="N927" t="n">
        <v>0</v>
      </c>
      <c r="O927" t="n">
        <v>0</v>
      </c>
      <c r="P927" t="n">
        <v>0</v>
      </c>
      <c r="Q927" t="n">
        <v>0</v>
      </c>
      <c r="R927" s="2" t="inlineStr"/>
    </row>
    <row r="928" ht="15" customHeight="1">
      <c r="A928" t="inlineStr">
        <is>
          <t>A 41398-2022</t>
        </is>
      </c>
      <c r="B928" s="1" t="n">
        <v>44826</v>
      </c>
      <c r="C928" s="1" t="n">
        <v>45471</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41320-2022</t>
        </is>
      </c>
      <c r="B929" s="1" t="n">
        <v>44826</v>
      </c>
      <c r="C929" s="1" t="n">
        <v>45471</v>
      </c>
      <c r="D929" t="inlineStr">
        <is>
          <t>STOCKHOLMS LÄN</t>
        </is>
      </c>
      <c r="E929" t="inlineStr">
        <is>
          <t>NORRTÄLJE</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42087-2022</t>
        </is>
      </c>
      <c r="B930" s="1" t="n">
        <v>44830</v>
      </c>
      <c r="C930" s="1" t="n">
        <v>45471</v>
      </c>
      <c r="D930" t="inlineStr">
        <is>
          <t>STOCKHOLMS LÄN</t>
        </is>
      </c>
      <c r="E930" t="inlineStr">
        <is>
          <t>NORRTÄLJE</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42112-2022</t>
        </is>
      </c>
      <c r="B931" s="1" t="n">
        <v>44830</v>
      </c>
      <c r="C931" s="1" t="n">
        <v>45471</v>
      </c>
      <c r="D931" t="inlineStr">
        <is>
          <t>STOCKHOLMS LÄN</t>
        </is>
      </c>
      <c r="E931" t="inlineStr">
        <is>
          <t>NORRTÄLJE</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42126-2022</t>
        </is>
      </c>
      <c r="B932" s="1" t="n">
        <v>44830</v>
      </c>
      <c r="C932" s="1" t="n">
        <v>45471</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42867-2022</t>
        </is>
      </c>
      <c r="B933" s="1" t="n">
        <v>44832</v>
      </c>
      <c r="C933" s="1" t="n">
        <v>45471</v>
      </c>
      <c r="D933" t="inlineStr">
        <is>
          <t>STOCKHOLMS LÄN</t>
        </is>
      </c>
      <c r="E933" t="inlineStr">
        <is>
          <t>NORRTÄLJE</t>
        </is>
      </c>
      <c r="G933" t="n">
        <v>6.4</v>
      </c>
      <c r="H933" t="n">
        <v>0</v>
      </c>
      <c r="I933" t="n">
        <v>0</v>
      </c>
      <c r="J933" t="n">
        <v>0</v>
      </c>
      <c r="K933" t="n">
        <v>0</v>
      </c>
      <c r="L933" t="n">
        <v>0</v>
      </c>
      <c r="M933" t="n">
        <v>0</v>
      </c>
      <c r="N933" t="n">
        <v>0</v>
      </c>
      <c r="O933" t="n">
        <v>0</v>
      </c>
      <c r="P933" t="n">
        <v>0</v>
      </c>
      <c r="Q933" t="n">
        <v>0</v>
      </c>
      <c r="R933" s="2" t="inlineStr"/>
    </row>
    <row r="934" ht="15" customHeight="1">
      <c r="A934" t="inlineStr">
        <is>
          <t>A 42955-2022</t>
        </is>
      </c>
      <c r="B934" s="1" t="n">
        <v>44833</v>
      </c>
      <c r="C934" s="1" t="n">
        <v>45471</v>
      </c>
      <c r="D934" t="inlineStr">
        <is>
          <t>STOCKHOLMS LÄN</t>
        </is>
      </c>
      <c r="E934" t="inlineStr">
        <is>
          <t>NORRTÄLJE</t>
        </is>
      </c>
      <c r="G934" t="n">
        <v>13.1</v>
      </c>
      <c r="H934" t="n">
        <v>0</v>
      </c>
      <c r="I934" t="n">
        <v>0</v>
      </c>
      <c r="J934" t="n">
        <v>0</v>
      </c>
      <c r="K934" t="n">
        <v>0</v>
      </c>
      <c r="L934" t="n">
        <v>0</v>
      </c>
      <c r="M934" t="n">
        <v>0</v>
      </c>
      <c r="N934" t="n">
        <v>0</v>
      </c>
      <c r="O934" t="n">
        <v>0</v>
      </c>
      <c r="P934" t="n">
        <v>0</v>
      </c>
      <c r="Q934" t="n">
        <v>0</v>
      </c>
      <c r="R934" s="2" t="inlineStr"/>
    </row>
    <row r="935" ht="15" customHeight="1">
      <c r="A935" t="inlineStr">
        <is>
          <t>A 43036-2022</t>
        </is>
      </c>
      <c r="B935" s="1" t="n">
        <v>44833</v>
      </c>
      <c r="C935" s="1" t="n">
        <v>45471</v>
      </c>
      <c r="D935" t="inlineStr">
        <is>
          <t>STOCKHOLMS LÄN</t>
        </is>
      </c>
      <c r="E935" t="inlineStr">
        <is>
          <t>NORRTÄLJE</t>
        </is>
      </c>
      <c r="F935" t="inlineStr">
        <is>
          <t>Kyrkan</t>
        </is>
      </c>
      <c r="G935" t="n">
        <v>1.7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v>
      </c>
      <c r="C936" s="1" t="n">
        <v>45471</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43374-2022</t>
        </is>
      </c>
      <c r="B937" s="1" t="n">
        <v>44834</v>
      </c>
      <c r="C937" s="1" t="n">
        <v>45471</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43972-2022</t>
        </is>
      </c>
      <c r="B938" s="1" t="n">
        <v>44838</v>
      </c>
      <c r="C938" s="1" t="n">
        <v>45471</v>
      </c>
      <c r="D938" t="inlineStr">
        <is>
          <t>STOCKHOLMS LÄN</t>
        </is>
      </c>
      <c r="E938" t="inlineStr">
        <is>
          <t>NORRTÄLJE</t>
        </is>
      </c>
      <c r="F938" t="inlineStr">
        <is>
          <t>Holmen skog AB</t>
        </is>
      </c>
      <c r="G938" t="n">
        <v>8.6</v>
      </c>
      <c r="H938" t="n">
        <v>0</v>
      </c>
      <c r="I938" t="n">
        <v>0</v>
      </c>
      <c r="J938" t="n">
        <v>0</v>
      </c>
      <c r="K938" t="n">
        <v>0</v>
      </c>
      <c r="L938" t="n">
        <v>0</v>
      </c>
      <c r="M938" t="n">
        <v>0</v>
      </c>
      <c r="N938" t="n">
        <v>0</v>
      </c>
      <c r="O938" t="n">
        <v>0</v>
      </c>
      <c r="P938" t="n">
        <v>0</v>
      </c>
      <c r="Q938" t="n">
        <v>0</v>
      </c>
      <c r="R938" s="2" t="inlineStr"/>
    </row>
    <row r="939" ht="15" customHeight="1">
      <c r="A939" t="inlineStr">
        <is>
          <t>A 44349-2022</t>
        </is>
      </c>
      <c r="B939" s="1" t="n">
        <v>44839</v>
      </c>
      <c r="C939" s="1" t="n">
        <v>45471</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45255-2022</t>
        </is>
      </c>
      <c r="B940" s="1" t="n">
        <v>44840</v>
      </c>
      <c r="C940" s="1" t="n">
        <v>45471</v>
      </c>
      <c r="D940" t="inlineStr">
        <is>
          <t>STOCKHOLMS LÄN</t>
        </is>
      </c>
      <c r="E940" t="inlineStr">
        <is>
          <t>NORRTÄLJE</t>
        </is>
      </c>
      <c r="G940" t="n">
        <v>4.1</v>
      </c>
      <c r="H940" t="n">
        <v>0</v>
      </c>
      <c r="I940" t="n">
        <v>0</v>
      </c>
      <c r="J940" t="n">
        <v>0</v>
      </c>
      <c r="K940" t="n">
        <v>0</v>
      </c>
      <c r="L940" t="n">
        <v>0</v>
      </c>
      <c r="M940" t="n">
        <v>0</v>
      </c>
      <c r="N940" t="n">
        <v>0</v>
      </c>
      <c r="O940" t="n">
        <v>0</v>
      </c>
      <c r="P940" t="n">
        <v>0</v>
      </c>
      <c r="Q940" t="n">
        <v>0</v>
      </c>
      <c r="R940" s="2" t="inlineStr"/>
    </row>
    <row r="941" ht="15" customHeight="1">
      <c r="A941" t="inlineStr">
        <is>
          <t>A 44917-2022</t>
        </is>
      </c>
      <c r="B941" s="1" t="n">
        <v>44841</v>
      </c>
      <c r="C941" s="1" t="n">
        <v>45471</v>
      </c>
      <c r="D941" t="inlineStr">
        <is>
          <t>STOCKHOLMS LÄN</t>
        </is>
      </c>
      <c r="E941" t="inlineStr">
        <is>
          <t>NORRTÄLJE</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45541-2022</t>
        </is>
      </c>
      <c r="B942" s="1" t="n">
        <v>44845</v>
      </c>
      <c r="C942" s="1" t="n">
        <v>45471</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45539-2022</t>
        </is>
      </c>
      <c r="B943" s="1" t="n">
        <v>44845</v>
      </c>
      <c r="C943" s="1" t="n">
        <v>45471</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45549-2022</t>
        </is>
      </c>
      <c r="B944" s="1" t="n">
        <v>44845</v>
      </c>
      <c r="C944" s="1" t="n">
        <v>45471</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46914-2022</t>
        </is>
      </c>
      <c r="B945" s="1" t="n">
        <v>44851</v>
      </c>
      <c r="C945" s="1" t="n">
        <v>45471</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47076-2022</t>
        </is>
      </c>
      <c r="B946" s="1" t="n">
        <v>44852</v>
      </c>
      <c r="C946" s="1" t="n">
        <v>45471</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47079-2022</t>
        </is>
      </c>
      <c r="B947" s="1" t="n">
        <v>44852</v>
      </c>
      <c r="C947" s="1" t="n">
        <v>45471</v>
      </c>
      <c r="D947" t="inlineStr">
        <is>
          <t>STOCKHOLMS LÄN</t>
        </is>
      </c>
      <c r="E947" t="inlineStr">
        <is>
          <t>NORRTÄLJE</t>
        </is>
      </c>
      <c r="G947" t="n">
        <v>4.5</v>
      </c>
      <c r="H947" t="n">
        <v>0</v>
      </c>
      <c r="I947" t="n">
        <v>0</v>
      </c>
      <c r="J947" t="n">
        <v>0</v>
      </c>
      <c r="K947" t="n">
        <v>0</v>
      </c>
      <c r="L947" t="n">
        <v>0</v>
      </c>
      <c r="M947" t="n">
        <v>0</v>
      </c>
      <c r="N947" t="n">
        <v>0</v>
      </c>
      <c r="O947" t="n">
        <v>0</v>
      </c>
      <c r="P947" t="n">
        <v>0</v>
      </c>
      <c r="Q947" t="n">
        <v>0</v>
      </c>
      <c r="R947" s="2" t="inlineStr"/>
    </row>
    <row r="948" ht="15" customHeight="1">
      <c r="A948" t="inlineStr">
        <is>
          <t>A 47626-2022</t>
        </is>
      </c>
      <c r="B948" s="1" t="n">
        <v>44854</v>
      </c>
      <c r="C948" s="1" t="n">
        <v>45471</v>
      </c>
      <c r="D948" t="inlineStr">
        <is>
          <t>STOCKHOLMS LÄN</t>
        </is>
      </c>
      <c r="E948" t="inlineStr">
        <is>
          <t>NORRTÄLJE</t>
        </is>
      </c>
      <c r="G948" t="n">
        <v>2</v>
      </c>
      <c r="H948" t="n">
        <v>0</v>
      </c>
      <c r="I948" t="n">
        <v>0</v>
      </c>
      <c r="J948" t="n">
        <v>0</v>
      </c>
      <c r="K948" t="n">
        <v>0</v>
      </c>
      <c r="L948" t="n">
        <v>0</v>
      </c>
      <c r="M948" t="n">
        <v>0</v>
      </c>
      <c r="N948" t="n">
        <v>0</v>
      </c>
      <c r="O948" t="n">
        <v>0</v>
      </c>
      <c r="P948" t="n">
        <v>0</v>
      </c>
      <c r="Q948" t="n">
        <v>0</v>
      </c>
      <c r="R948" s="2" t="inlineStr"/>
    </row>
    <row r="949" ht="15" customHeight="1">
      <c r="A949" t="inlineStr">
        <is>
          <t>A 48316-2022</t>
        </is>
      </c>
      <c r="B949" s="1" t="n">
        <v>44854</v>
      </c>
      <c r="C949" s="1" t="n">
        <v>45471</v>
      </c>
      <c r="D949" t="inlineStr">
        <is>
          <t>STOCKHOLMS LÄN</t>
        </is>
      </c>
      <c r="E949" t="inlineStr">
        <is>
          <t>NORRTÄLJE</t>
        </is>
      </c>
      <c r="G949" t="n">
        <v>4.5</v>
      </c>
      <c r="H949" t="n">
        <v>0</v>
      </c>
      <c r="I949" t="n">
        <v>0</v>
      </c>
      <c r="J949" t="n">
        <v>0</v>
      </c>
      <c r="K949" t="n">
        <v>0</v>
      </c>
      <c r="L949" t="n">
        <v>0</v>
      </c>
      <c r="M949" t="n">
        <v>0</v>
      </c>
      <c r="N949" t="n">
        <v>0</v>
      </c>
      <c r="O949" t="n">
        <v>0</v>
      </c>
      <c r="P949" t="n">
        <v>0</v>
      </c>
      <c r="Q949" t="n">
        <v>0</v>
      </c>
      <c r="R949" s="2" t="inlineStr"/>
    </row>
    <row r="950" ht="15" customHeight="1">
      <c r="A950" t="inlineStr">
        <is>
          <t>A 47929-2022</t>
        </is>
      </c>
      <c r="B950" s="1" t="n">
        <v>44855</v>
      </c>
      <c r="C950" s="1" t="n">
        <v>45471</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48490-2022</t>
        </is>
      </c>
      <c r="B951" s="1" t="n">
        <v>44858</v>
      </c>
      <c r="C951" s="1" t="n">
        <v>45471</v>
      </c>
      <c r="D951" t="inlineStr">
        <is>
          <t>STOCKHOLMS LÄN</t>
        </is>
      </c>
      <c r="E951" t="inlineStr">
        <is>
          <t>NORRTÄLJE</t>
        </is>
      </c>
      <c r="G951" t="n">
        <v>15.8</v>
      </c>
      <c r="H951" t="n">
        <v>0</v>
      </c>
      <c r="I951" t="n">
        <v>0</v>
      </c>
      <c r="J951" t="n">
        <v>0</v>
      </c>
      <c r="K951" t="n">
        <v>0</v>
      </c>
      <c r="L951" t="n">
        <v>0</v>
      </c>
      <c r="M951" t="n">
        <v>0</v>
      </c>
      <c r="N951" t="n">
        <v>0</v>
      </c>
      <c r="O951" t="n">
        <v>0</v>
      </c>
      <c r="P951" t="n">
        <v>0</v>
      </c>
      <c r="Q951" t="n">
        <v>0</v>
      </c>
      <c r="R951" s="2" t="inlineStr"/>
    </row>
    <row r="952" ht="15" customHeight="1">
      <c r="A952" t="inlineStr">
        <is>
          <t>A 48161-2022</t>
        </is>
      </c>
      <c r="B952" s="1" t="n">
        <v>44858</v>
      </c>
      <c r="C952" s="1" t="n">
        <v>45471</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48453-2022</t>
        </is>
      </c>
      <c r="B953" s="1" t="n">
        <v>44858</v>
      </c>
      <c r="C953" s="1" t="n">
        <v>45471</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48492-2022</t>
        </is>
      </c>
      <c r="B954" s="1" t="n">
        <v>44858</v>
      </c>
      <c r="C954" s="1" t="n">
        <v>45471</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50065-2022</t>
        </is>
      </c>
      <c r="B955" s="1" t="n">
        <v>44865</v>
      </c>
      <c r="C955" s="1" t="n">
        <v>45471</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50469-2022</t>
        </is>
      </c>
      <c r="B956" s="1" t="n">
        <v>44866</v>
      </c>
      <c r="C956" s="1" t="n">
        <v>45471</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50481-2022</t>
        </is>
      </c>
      <c r="B957" s="1" t="n">
        <v>44866</v>
      </c>
      <c r="C957" s="1" t="n">
        <v>45471</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50465-2022</t>
        </is>
      </c>
      <c r="B958" s="1" t="n">
        <v>44866</v>
      </c>
      <c r="C958" s="1" t="n">
        <v>45471</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50488-2022</t>
        </is>
      </c>
      <c r="B959" s="1" t="n">
        <v>44866</v>
      </c>
      <c r="C959" s="1" t="n">
        <v>45471</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50563-2022</t>
        </is>
      </c>
      <c r="B960" s="1" t="n">
        <v>44866</v>
      </c>
      <c r="C960" s="1" t="n">
        <v>45471</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50569-2022</t>
        </is>
      </c>
      <c r="B961" s="1" t="n">
        <v>44866</v>
      </c>
      <c r="C961" s="1" t="n">
        <v>45471</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50484-2022</t>
        </is>
      </c>
      <c r="B962" s="1" t="n">
        <v>44866</v>
      </c>
      <c r="C962" s="1" t="n">
        <v>45471</v>
      </c>
      <c r="D962" t="inlineStr">
        <is>
          <t>STOCKHOLMS LÄN</t>
        </is>
      </c>
      <c r="E962" t="inlineStr">
        <is>
          <t>NORRTÄLJE</t>
        </is>
      </c>
      <c r="G962" t="n">
        <v>6.7</v>
      </c>
      <c r="H962" t="n">
        <v>0</v>
      </c>
      <c r="I962" t="n">
        <v>0</v>
      </c>
      <c r="J962" t="n">
        <v>0</v>
      </c>
      <c r="K962" t="n">
        <v>0</v>
      </c>
      <c r="L962" t="n">
        <v>0</v>
      </c>
      <c r="M962" t="n">
        <v>0</v>
      </c>
      <c r="N962" t="n">
        <v>0</v>
      </c>
      <c r="O962" t="n">
        <v>0</v>
      </c>
      <c r="P962" t="n">
        <v>0</v>
      </c>
      <c r="Q962" t="n">
        <v>0</v>
      </c>
      <c r="R962" s="2" t="inlineStr"/>
    </row>
    <row r="963" ht="15" customHeight="1">
      <c r="A963" t="inlineStr">
        <is>
          <t>A 50970-2022</t>
        </is>
      </c>
      <c r="B963" s="1" t="n">
        <v>44867</v>
      </c>
      <c r="C963" s="1" t="n">
        <v>45471</v>
      </c>
      <c r="D963" t="inlineStr">
        <is>
          <t>STOCKHOLMS LÄN</t>
        </is>
      </c>
      <c r="E963" t="inlineStr">
        <is>
          <t>NORRTÄLJE</t>
        </is>
      </c>
      <c r="G963" t="n">
        <v>9</v>
      </c>
      <c r="H963" t="n">
        <v>0</v>
      </c>
      <c r="I963" t="n">
        <v>0</v>
      </c>
      <c r="J963" t="n">
        <v>0</v>
      </c>
      <c r="K963" t="n">
        <v>0</v>
      </c>
      <c r="L963" t="n">
        <v>0</v>
      </c>
      <c r="M963" t="n">
        <v>0</v>
      </c>
      <c r="N963" t="n">
        <v>0</v>
      </c>
      <c r="O963" t="n">
        <v>0</v>
      </c>
      <c r="P963" t="n">
        <v>0</v>
      </c>
      <c r="Q963" t="n">
        <v>0</v>
      </c>
      <c r="R963" s="2" t="inlineStr"/>
    </row>
    <row r="964" ht="15" customHeight="1">
      <c r="A964" t="inlineStr">
        <is>
          <t>A 50983-2022</t>
        </is>
      </c>
      <c r="B964" s="1" t="n">
        <v>44867</v>
      </c>
      <c r="C964" s="1" t="n">
        <v>45471</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50907-2022</t>
        </is>
      </c>
      <c r="B965" s="1" t="n">
        <v>44867</v>
      </c>
      <c r="C965" s="1" t="n">
        <v>45471</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45471</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51116-2022</t>
        </is>
      </c>
      <c r="B967" s="1" t="n">
        <v>44868</v>
      </c>
      <c r="C967" s="1" t="n">
        <v>45471</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51265-2022</t>
        </is>
      </c>
      <c r="B968" s="1" t="n">
        <v>44868</v>
      </c>
      <c r="C968" s="1" t="n">
        <v>45471</v>
      </c>
      <c r="D968" t="inlineStr">
        <is>
          <t>STOCKHOLMS LÄN</t>
        </is>
      </c>
      <c r="E968" t="inlineStr">
        <is>
          <t>NORRTÄLJE</t>
        </is>
      </c>
      <c r="G968" t="n">
        <v>3.1</v>
      </c>
      <c r="H968" t="n">
        <v>0</v>
      </c>
      <c r="I968" t="n">
        <v>0</v>
      </c>
      <c r="J968" t="n">
        <v>0</v>
      </c>
      <c r="K968" t="n">
        <v>0</v>
      </c>
      <c r="L968" t="n">
        <v>0</v>
      </c>
      <c r="M968" t="n">
        <v>0</v>
      </c>
      <c r="N968" t="n">
        <v>0</v>
      </c>
      <c r="O968" t="n">
        <v>0</v>
      </c>
      <c r="P968" t="n">
        <v>0</v>
      </c>
      <c r="Q968" t="n">
        <v>0</v>
      </c>
      <c r="R968" s="2" t="inlineStr"/>
    </row>
    <row r="969" ht="15" customHeight="1">
      <c r="A969" t="inlineStr">
        <is>
          <t>A 52139-2022</t>
        </is>
      </c>
      <c r="B969" s="1" t="n">
        <v>44868</v>
      </c>
      <c r="C969" s="1" t="n">
        <v>45471</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52133-2022</t>
        </is>
      </c>
      <c r="B970" s="1" t="n">
        <v>44868</v>
      </c>
      <c r="C970" s="1" t="n">
        <v>45471</v>
      </c>
      <c r="D970" t="inlineStr">
        <is>
          <t>STOCKHOLMS LÄN</t>
        </is>
      </c>
      <c r="E970" t="inlineStr">
        <is>
          <t>NORRTÄLJE</t>
        </is>
      </c>
      <c r="G970" t="n">
        <v>11.5</v>
      </c>
      <c r="H970" t="n">
        <v>0</v>
      </c>
      <c r="I970" t="n">
        <v>0</v>
      </c>
      <c r="J970" t="n">
        <v>0</v>
      </c>
      <c r="K970" t="n">
        <v>0</v>
      </c>
      <c r="L970" t="n">
        <v>0</v>
      </c>
      <c r="M970" t="n">
        <v>0</v>
      </c>
      <c r="N970" t="n">
        <v>0</v>
      </c>
      <c r="O970" t="n">
        <v>0</v>
      </c>
      <c r="P970" t="n">
        <v>0</v>
      </c>
      <c r="Q970" t="n">
        <v>0</v>
      </c>
      <c r="R970" s="2" t="inlineStr"/>
    </row>
    <row r="971" ht="15" customHeight="1">
      <c r="A971" t="inlineStr">
        <is>
          <t>A 52260-2022</t>
        </is>
      </c>
      <c r="B971" s="1" t="n">
        <v>44869</v>
      </c>
      <c r="C971" s="1" t="n">
        <v>45471</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51984-2022</t>
        </is>
      </c>
      <c r="B972" s="1" t="n">
        <v>44872</v>
      </c>
      <c r="C972" s="1" t="n">
        <v>45471</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52322-2022</t>
        </is>
      </c>
      <c r="B973" s="1" t="n">
        <v>44873</v>
      </c>
      <c r="C973" s="1" t="n">
        <v>45471</v>
      </c>
      <c r="D973" t="inlineStr">
        <is>
          <t>STOCKHOLMS LÄN</t>
        </is>
      </c>
      <c r="E973" t="inlineStr">
        <is>
          <t>NORRTÄLJE</t>
        </is>
      </c>
      <c r="G973" t="n">
        <v>5.5</v>
      </c>
      <c r="H973" t="n">
        <v>0</v>
      </c>
      <c r="I973" t="n">
        <v>0</v>
      </c>
      <c r="J973" t="n">
        <v>0</v>
      </c>
      <c r="K973" t="n">
        <v>0</v>
      </c>
      <c r="L973" t="n">
        <v>0</v>
      </c>
      <c r="M973" t="n">
        <v>0</v>
      </c>
      <c r="N973" t="n">
        <v>0</v>
      </c>
      <c r="O973" t="n">
        <v>0</v>
      </c>
      <c r="P973" t="n">
        <v>0</v>
      </c>
      <c r="Q973" t="n">
        <v>0</v>
      </c>
      <c r="R973" s="2" t="inlineStr"/>
    </row>
    <row r="974" ht="15" customHeight="1">
      <c r="A974" t="inlineStr">
        <is>
          <t>A 53461-2022</t>
        </is>
      </c>
      <c r="B974" s="1" t="n">
        <v>44879</v>
      </c>
      <c r="C974" s="1" t="n">
        <v>45471</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53600-2022</t>
        </is>
      </c>
      <c r="B975" s="1" t="n">
        <v>44879</v>
      </c>
      <c r="C975" s="1" t="n">
        <v>45471</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53459-2022</t>
        </is>
      </c>
      <c r="B976" s="1" t="n">
        <v>44879</v>
      </c>
      <c r="C976" s="1" t="n">
        <v>45471</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53884-2022</t>
        </is>
      </c>
      <c r="B977" s="1" t="n">
        <v>44880</v>
      </c>
      <c r="C977" s="1" t="n">
        <v>45471</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54169-2022</t>
        </is>
      </c>
      <c r="B978" s="1" t="n">
        <v>44881</v>
      </c>
      <c r="C978" s="1" t="n">
        <v>45471</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54175-2022</t>
        </is>
      </c>
      <c r="B979" s="1" t="n">
        <v>44881</v>
      </c>
      <c r="C979" s="1" t="n">
        <v>45471</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54355-2022</t>
        </is>
      </c>
      <c r="B980" s="1" t="n">
        <v>44882</v>
      </c>
      <c r="C980" s="1" t="n">
        <v>45471</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54427-2022</t>
        </is>
      </c>
      <c r="B981" s="1" t="n">
        <v>44882</v>
      </c>
      <c r="C981" s="1" t="n">
        <v>45471</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54340-2022</t>
        </is>
      </c>
      <c r="B982" s="1" t="n">
        <v>44882</v>
      </c>
      <c r="C982" s="1" t="n">
        <v>45471</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54358-2022</t>
        </is>
      </c>
      <c r="B983" s="1" t="n">
        <v>44882</v>
      </c>
      <c r="C983" s="1" t="n">
        <v>45471</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54354-2022</t>
        </is>
      </c>
      <c r="B984" s="1" t="n">
        <v>44882</v>
      </c>
      <c r="C984" s="1" t="n">
        <v>45471</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55047-2022</t>
        </is>
      </c>
      <c r="B985" s="1" t="n">
        <v>44886</v>
      </c>
      <c r="C985" s="1" t="n">
        <v>45471</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55696-2022</t>
        </is>
      </c>
      <c r="B986" s="1" t="n">
        <v>44888</v>
      </c>
      <c r="C986" s="1" t="n">
        <v>45471</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57037-2022</t>
        </is>
      </c>
      <c r="B987" s="1" t="n">
        <v>44895</v>
      </c>
      <c r="C987" s="1" t="n">
        <v>45471</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59767-2022</t>
        </is>
      </c>
      <c r="B988" s="1" t="n">
        <v>44900</v>
      </c>
      <c r="C988" s="1" t="n">
        <v>45471</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45471</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58492-2022</t>
        </is>
      </c>
      <c r="B990" s="1" t="n">
        <v>44902</v>
      </c>
      <c r="C990" s="1" t="n">
        <v>45471</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58543-2022</t>
        </is>
      </c>
      <c r="B991" s="1" t="n">
        <v>44902</v>
      </c>
      <c r="C991" s="1" t="n">
        <v>45471</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58993-2022</t>
        </is>
      </c>
      <c r="B992" s="1" t="n">
        <v>44903</v>
      </c>
      <c r="C992" s="1" t="n">
        <v>45471</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60525-2022</t>
        </is>
      </c>
      <c r="B993" s="1" t="n">
        <v>44904</v>
      </c>
      <c r="C993" s="1" t="n">
        <v>45471</v>
      </c>
      <c r="D993" t="inlineStr">
        <is>
          <t>STOCKHOLMS LÄN</t>
        </is>
      </c>
      <c r="E993" t="inlineStr">
        <is>
          <t>NORRTÄLJE</t>
        </is>
      </c>
      <c r="G993" t="n">
        <v>13.4</v>
      </c>
      <c r="H993" t="n">
        <v>0</v>
      </c>
      <c r="I993" t="n">
        <v>0</v>
      </c>
      <c r="J993" t="n">
        <v>0</v>
      </c>
      <c r="K993" t="n">
        <v>0</v>
      </c>
      <c r="L993" t="n">
        <v>0</v>
      </c>
      <c r="M993" t="n">
        <v>0</v>
      </c>
      <c r="N993" t="n">
        <v>0</v>
      </c>
      <c r="O993" t="n">
        <v>0</v>
      </c>
      <c r="P993" t="n">
        <v>0</v>
      </c>
      <c r="Q993" t="n">
        <v>0</v>
      </c>
      <c r="R993" s="2" t="inlineStr"/>
    </row>
    <row r="994" ht="15" customHeight="1">
      <c r="A994" t="inlineStr">
        <is>
          <t>A 59717-2022</t>
        </is>
      </c>
      <c r="B994" s="1" t="n">
        <v>44908</v>
      </c>
      <c r="C994" s="1" t="n">
        <v>45471</v>
      </c>
      <c r="D994" t="inlineStr">
        <is>
          <t>STOCKHOLMS LÄN</t>
        </is>
      </c>
      <c r="E994" t="inlineStr">
        <is>
          <t>NORRTÄLJE</t>
        </is>
      </c>
      <c r="F994" t="inlineStr">
        <is>
          <t>Holmen skog AB</t>
        </is>
      </c>
      <c r="G994" t="n">
        <v>5.5</v>
      </c>
      <c r="H994" t="n">
        <v>0</v>
      </c>
      <c r="I994" t="n">
        <v>0</v>
      </c>
      <c r="J994" t="n">
        <v>0</v>
      </c>
      <c r="K994" t="n">
        <v>0</v>
      </c>
      <c r="L994" t="n">
        <v>0</v>
      </c>
      <c r="M994" t="n">
        <v>0</v>
      </c>
      <c r="N994" t="n">
        <v>0</v>
      </c>
      <c r="O994" t="n">
        <v>0</v>
      </c>
      <c r="P994" t="n">
        <v>0</v>
      </c>
      <c r="Q994" t="n">
        <v>0</v>
      </c>
      <c r="R994" s="2" t="inlineStr"/>
    </row>
    <row r="995" ht="15" customHeight="1">
      <c r="A995" t="inlineStr">
        <is>
          <t>A 59893-2022</t>
        </is>
      </c>
      <c r="B995" s="1" t="n">
        <v>44908</v>
      </c>
      <c r="C995" s="1" t="n">
        <v>45471</v>
      </c>
      <c r="D995" t="inlineStr">
        <is>
          <t>STOCKHOLMS LÄN</t>
        </is>
      </c>
      <c r="E995" t="inlineStr">
        <is>
          <t>NORRTÄLJE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59892-2022</t>
        </is>
      </c>
      <c r="B996" s="1" t="n">
        <v>44908</v>
      </c>
      <c r="C996" s="1" t="n">
        <v>45471</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60840-2022</t>
        </is>
      </c>
      <c r="B997" s="1" t="n">
        <v>44914</v>
      </c>
      <c r="C997" s="1" t="n">
        <v>45471</v>
      </c>
      <c r="D997" t="inlineStr">
        <is>
          <t>STOCKHOLMS LÄN</t>
        </is>
      </c>
      <c r="E997" t="inlineStr">
        <is>
          <t>NORRTÄLJE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61016-2022</t>
        </is>
      </c>
      <c r="B998" s="1" t="n">
        <v>44914</v>
      </c>
      <c r="C998" s="1" t="n">
        <v>45471</v>
      </c>
      <c r="D998" t="inlineStr">
        <is>
          <t>STOCKHOLMS LÄN</t>
        </is>
      </c>
      <c r="E998" t="inlineStr">
        <is>
          <t>NORRTÄLJE</t>
        </is>
      </c>
      <c r="G998" t="n">
        <v>4.4</v>
      </c>
      <c r="H998" t="n">
        <v>0</v>
      </c>
      <c r="I998" t="n">
        <v>0</v>
      </c>
      <c r="J998" t="n">
        <v>0</v>
      </c>
      <c r="K998" t="n">
        <v>0</v>
      </c>
      <c r="L998" t="n">
        <v>0</v>
      </c>
      <c r="M998" t="n">
        <v>0</v>
      </c>
      <c r="N998" t="n">
        <v>0</v>
      </c>
      <c r="O998" t="n">
        <v>0</v>
      </c>
      <c r="P998" t="n">
        <v>0</v>
      </c>
      <c r="Q998" t="n">
        <v>0</v>
      </c>
      <c r="R998" s="2" t="inlineStr"/>
    </row>
    <row r="999" ht="15" customHeight="1">
      <c r="A999" t="inlineStr">
        <is>
          <t>A 62206-2022</t>
        </is>
      </c>
      <c r="B999" s="1" t="n">
        <v>44922</v>
      </c>
      <c r="C999" s="1" t="n">
        <v>45471</v>
      </c>
      <c r="D999" t="inlineStr">
        <is>
          <t>STOCKHOLMS LÄN</t>
        </is>
      </c>
      <c r="E999" t="inlineStr">
        <is>
          <t>NORRTÄLJE</t>
        </is>
      </c>
      <c r="G999" t="n">
        <v>2.9</v>
      </c>
      <c r="H999" t="n">
        <v>0</v>
      </c>
      <c r="I999" t="n">
        <v>0</v>
      </c>
      <c r="J999" t="n">
        <v>0</v>
      </c>
      <c r="K999" t="n">
        <v>0</v>
      </c>
      <c r="L999" t="n">
        <v>0</v>
      </c>
      <c r="M999" t="n">
        <v>0</v>
      </c>
      <c r="N999" t="n">
        <v>0</v>
      </c>
      <c r="O999" t="n">
        <v>0</v>
      </c>
      <c r="P999" t="n">
        <v>0</v>
      </c>
      <c r="Q999" t="n">
        <v>0</v>
      </c>
      <c r="R999" s="2" t="inlineStr"/>
    </row>
    <row r="1000" ht="15" customHeight="1">
      <c r="A1000" t="inlineStr">
        <is>
          <t>A 62398-2022</t>
        </is>
      </c>
      <c r="B1000" s="1" t="n">
        <v>44923</v>
      </c>
      <c r="C1000" s="1" t="n">
        <v>45471</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62593-2022</t>
        </is>
      </c>
      <c r="B1001" s="1" t="n">
        <v>44925</v>
      </c>
      <c r="C1001" s="1" t="n">
        <v>45471</v>
      </c>
      <c r="D1001" t="inlineStr">
        <is>
          <t>STOCKHOLMS LÄN</t>
        </is>
      </c>
      <c r="E1001" t="inlineStr">
        <is>
          <t>NORRTÄLJE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576-2023</t>
        </is>
      </c>
      <c r="B1002" s="1" t="n">
        <v>44925</v>
      </c>
      <c r="C1002" s="1" t="n">
        <v>45471</v>
      </c>
      <c r="D1002" t="inlineStr">
        <is>
          <t>STOCKHOLMS LÄN</t>
        </is>
      </c>
      <c r="E1002" t="inlineStr">
        <is>
          <t>NORRTÄLJE</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574-2023</t>
        </is>
      </c>
      <c r="B1003" s="1" t="n">
        <v>44925</v>
      </c>
      <c r="C1003" s="1" t="n">
        <v>45471</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755-2023</t>
        </is>
      </c>
      <c r="B1004" s="1" t="n">
        <v>44931</v>
      </c>
      <c r="C1004" s="1" t="n">
        <v>45471</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875-2023</t>
        </is>
      </c>
      <c r="B1005" s="1" t="n">
        <v>44931</v>
      </c>
      <c r="C1005" s="1" t="n">
        <v>45471</v>
      </c>
      <c r="D1005" t="inlineStr">
        <is>
          <t>STOCKHOLMS LÄN</t>
        </is>
      </c>
      <c r="E1005" t="inlineStr">
        <is>
          <t>NORRTÄLJE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951-2023</t>
        </is>
      </c>
      <c r="B1006" s="1" t="n">
        <v>44934</v>
      </c>
      <c r="C1006" s="1" t="n">
        <v>45471</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1183-2023</t>
        </is>
      </c>
      <c r="B1007" s="1" t="n">
        <v>44935</v>
      </c>
      <c r="C1007" s="1" t="n">
        <v>45471</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1335-2023</t>
        </is>
      </c>
      <c r="B1008" s="1" t="n">
        <v>44936</v>
      </c>
      <c r="C1008" s="1" t="n">
        <v>45471</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1373-2023</t>
        </is>
      </c>
      <c r="B1009" s="1" t="n">
        <v>44936</v>
      </c>
      <c r="C1009" s="1" t="n">
        <v>45471</v>
      </c>
      <c r="D1009" t="inlineStr">
        <is>
          <t>STOCKHOLMS LÄN</t>
        </is>
      </c>
      <c r="E1009" t="inlineStr">
        <is>
          <t>NORRTÄLJE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1448-2023</t>
        </is>
      </c>
      <c r="B1010" s="1" t="n">
        <v>44937</v>
      </c>
      <c r="C1010" s="1" t="n">
        <v>45471</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1740-2023</t>
        </is>
      </c>
      <c r="B1011" s="1" t="n">
        <v>44938</v>
      </c>
      <c r="C1011" s="1" t="n">
        <v>45471</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1847-2023</t>
        </is>
      </c>
      <c r="B1012" s="1" t="n">
        <v>44938</v>
      </c>
      <c r="C1012" s="1" t="n">
        <v>45471</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2103-2023</t>
        </is>
      </c>
      <c r="B1013" s="1" t="n">
        <v>44939</v>
      </c>
      <c r="C1013" s="1" t="n">
        <v>45471</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2976-2023</t>
        </is>
      </c>
      <c r="B1014" s="1" t="n">
        <v>44945</v>
      </c>
      <c r="C1014" s="1" t="n">
        <v>45471</v>
      </c>
      <c r="D1014" t="inlineStr">
        <is>
          <t>STOCKHOLMS LÄN</t>
        </is>
      </c>
      <c r="E1014" t="inlineStr">
        <is>
          <t>NORRTÄLJE</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2890-2023</t>
        </is>
      </c>
      <c r="B1015" s="1" t="n">
        <v>44945</v>
      </c>
      <c r="C1015" s="1" t="n">
        <v>45471</v>
      </c>
      <c r="D1015" t="inlineStr">
        <is>
          <t>STOCKHOLMS LÄN</t>
        </is>
      </c>
      <c r="E1015" t="inlineStr">
        <is>
          <t>NORRTÄLJE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2982-2023</t>
        </is>
      </c>
      <c r="B1016" s="1" t="n">
        <v>44945</v>
      </c>
      <c r="C1016" s="1" t="n">
        <v>45471</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3383-2023</t>
        </is>
      </c>
      <c r="B1017" s="1" t="n">
        <v>44949</v>
      </c>
      <c r="C1017" s="1" t="n">
        <v>45471</v>
      </c>
      <c r="D1017" t="inlineStr">
        <is>
          <t>STOCKHOLMS LÄN</t>
        </is>
      </c>
      <c r="E1017" t="inlineStr">
        <is>
          <t>NORRTÄLJE</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3444-2023</t>
        </is>
      </c>
      <c r="B1018" s="1" t="n">
        <v>44949</v>
      </c>
      <c r="C1018" s="1" t="n">
        <v>45471</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4035-2023</t>
        </is>
      </c>
      <c r="B1019" s="1" t="n">
        <v>44952</v>
      </c>
      <c r="C1019" s="1" t="n">
        <v>45471</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4058-2023</t>
        </is>
      </c>
      <c r="B1020" s="1" t="n">
        <v>44952</v>
      </c>
      <c r="C1020" s="1" t="n">
        <v>45471</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4194-2023</t>
        </is>
      </c>
      <c r="B1021" s="1" t="n">
        <v>44953</v>
      </c>
      <c r="C1021" s="1" t="n">
        <v>45471</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4168-2023</t>
        </is>
      </c>
      <c r="B1022" s="1" t="n">
        <v>44953</v>
      </c>
      <c r="C1022" s="1" t="n">
        <v>45471</v>
      </c>
      <c r="D1022" t="inlineStr">
        <is>
          <t>STOCKHOLMS LÄN</t>
        </is>
      </c>
      <c r="E1022" t="inlineStr">
        <is>
          <t>NORRTÄLJE</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4316-2023</t>
        </is>
      </c>
      <c r="B1023" s="1" t="n">
        <v>44953</v>
      </c>
      <c r="C1023" s="1" t="n">
        <v>45471</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4326-2023</t>
        </is>
      </c>
      <c r="B1024" s="1" t="n">
        <v>44953</v>
      </c>
      <c r="C1024" s="1" t="n">
        <v>45471</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4322-2023</t>
        </is>
      </c>
      <c r="B1025" s="1" t="n">
        <v>44953</v>
      </c>
      <c r="C1025" s="1" t="n">
        <v>45471</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4364-2023</t>
        </is>
      </c>
      <c r="B1026" s="1" t="n">
        <v>44954</v>
      </c>
      <c r="C1026" s="1" t="n">
        <v>45471</v>
      </c>
      <c r="D1026" t="inlineStr">
        <is>
          <t>STOCKHOLMS LÄN</t>
        </is>
      </c>
      <c r="E1026" t="inlineStr">
        <is>
          <t>NORRTÄLJE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4385-2023</t>
        </is>
      </c>
      <c r="B1027" s="1" t="n">
        <v>44955</v>
      </c>
      <c r="C1027" s="1" t="n">
        <v>45471</v>
      </c>
      <c r="D1027" t="inlineStr">
        <is>
          <t>STOCKHOLMS LÄN</t>
        </is>
      </c>
      <c r="E1027" t="inlineStr">
        <is>
          <t>NORRTÄLJE</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4395-2023</t>
        </is>
      </c>
      <c r="B1028" s="1" t="n">
        <v>44956</v>
      </c>
      <c r="C1028" s="1" t="n">
        <v>45471</v>
      </c>
      <c r="D1028" t="inlineStr">
        <is>
          <t>STOCKHOLMS LÄN</t>
        </is>
      </c>
      <c r="E1028" t="inlineStr">
        <is>
          <t>NORRTÄLJE</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4438-2023</t>
        </is>
      </c>
      <c r="B1029" s="1" t="n">
        <v>44956</v>
      </c>
      <c r="C1029" s="1" t="n">
        <v>45471</v>
      </c>
      <c r="D1029" t="inlineStr">
        <is>
          <t>STOCKHOLMS LÄN</t>
        </is>
      </c>
      <c r="E1029" t="inlineStr">
        <is>
          <t>NORRTÄLJE</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4593-2023</t>
        </is>
      </c>
      <c r="B1030" s="1" t="n">
        <v>44956</v>
      </c>
      <c r="C1030" s="1" t="n">
        <v>45471</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4596-2023</t>
        </is>
      </c>
      <c r="B1031" s="1" t="n">
        <v>44956</v>
      </c>
      <c r="C1031" s="1" t="n">
        <v>45471</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4553-2023</t>
        </is>
      </c>
      <c r="B1032" s="1" t="n">
        <v>44956</v>
      </c>
      <c r="C1032" s="1" t="n">
        <v>45471</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5137-2023</t>
        </is>
      </c>
      <c r="B1033" s="1" t="n">
        <v>44958</v>
      </c>
      <c r="C1033" s="1" t="n">
        <v>45471</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5207-2023</t>
        </is>
      </c>
      <c r="B1034" s="1" t="n">
        <v>44959</v>
      </c>
      <c r="C1034" s="1" t="n">
        <v>45471</v>
      </c>
      <c r="D1034" t="inlineStr">
        <is>
          <t>STOCKHOLMS LÄN</t>
        </is>
      </c>
      <c r="E1034" t="inlineStr">
        <is>
          <t>NORRTÄLJE</t>
        </is>
      </c>
      <c r="F1034" t="inlineStr">
        <is>
          <t>Holmen skog AB</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5422-2023</t>
        </is>
      </c>
      <c r="B1035" s="1" t="n">
        <v>44959</v>
      </c>
      <c r="C1035" s="1" t="n">
        <v>45471</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5244-2023</t>
        </is>
      </c>
      <c r="B1036" s="1" t="n">
        <v>44959</v>
      </c>
      <c r="C1036" s="1" t="n">
        <v>45471</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5423-2023</t>
        </is>
      </c>
      <c r="B1037" s="1" t="n">
        <v>44959</v>
      </c>
      <c r="C1037" s="1" t="n">
        <v>45471</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6312-2023</t>
        </is>
      </c>
      <c r="B1038" s="1" t="n">
        <v>44959</v>
      </c>
      <c r="C1038" s="1" t="n">
        <v>45471</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v>
      </c>
      <c r="C1039" s="1" t="n">
        <v>45471</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5501-2023</t>
        </is>
      </c>
      <c r="B1040" s="1" t="n">
        <v>44960</v>
      </c>
      <c r="C1040" s="1" t="n">
        <v>45471</v>
      </c>
      <c r="D1040" t="inlineStr">
        <is>
          <t>STOCKHOLMS LÄN</t>
        </is>
      </c>
      <c r="E1040" t="inlineStr">
        <is>
          <t>NORRTÄLJE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6496-2023</t>
        </is>
      </c>
      <c r="B1041" s="1" t="n">
        <v>44960</v>
      </c>
      <c r="C1041" s="1" t="n">
        <v>45471</v>
      </c>
      <c r="D1041" t="inlineStr">
        <is>
          <t>STOCKHOLMS LÄN</t>
        </is>
      </c>
      <c r="E1041" t="inlineStr">
        <is>
          <t>NORRTÄLJE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5732-2023</t>
        </is>
      </c>
      <c r="B1042" s="1" t="n">
        <v>44962</v>
      </c>
      <c r="C1042" s="1" t="n">
        <v>45471</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5823-2023</t>
        </is>
      </c>
      <c r="B1043" s="1" t="n">
        <v>44963</v>
      </c>
      <c r="C1043" s="1" t="n">
        <v>45471</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5839-2023</t>
        </is>
      </c>
      <c r="B1044" s="1" t="n">
        <v>44963</v>
      </c>
      <c r="C1044" s="1" t="n">
        <v>45471</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6433-2023</t>
        </is>
      </c>
      <c r="B1045" s="1" t="n">
        <v>44965</v>
      </c>
      <c r="C1045" s="1" t="n">
        <v>45471</v>
      </c>
      <c r="D1045" t="inlineStr">
        <is>
          <t>STOCKHOLMS LÄN</t>
        </is>
      </c>
      <c r="E1045" t="inlineStr">
        <is>
          <t>NORRTÄLJE</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7230-2023</t>
        </is>
      </c>
      <c r="B1046" s="1" t="n">
        <v>44965</v>
      </c>
      <c r="C1046" s="1" t="n">
        <v>45471</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6437-2023</t>
        </is>
      </c>
      <c r="B1047" s="1" t="n">
        <v>44965</v>
      </c>
      <c r="C1047" s="1" t="n">
        <v>45471</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7093-2023</t>
        </is>
      </c>
      <c r="B1048" s="1" t="n">
        <v>44970</v>
      </c>
      <c r="C1048" s="1" t="n">
        <v>45471</v>
      </c>
      <c r="D1048" t="inlineStr">
        <is>
          <t>STOCKHOLMS LÄN</t>
        </is>
      </c>
      <c r="E1048" t="inlineStr">
        <is>
          <t>NORRTÄLJE</t>
        </is>
      </c>
      <c r="F1048" t="inlineStr">
        <is>
          <t>Sveaskog</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7190-2023</t>
        </is>
      </c>
      <c r="B1049" s="1" t="n">
        <v>44970</v>
      </c>
      <c r="C1049" s="1" t="n">
        <v>45471</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7120-2023</t>
        </is>
      </c>
      <c r="B1050" s="1" t="n">
        <v>44970</v>
      </c>
      <c r="C1050" s="1" t="n">
        <v>45471</v>
      </c>
      <c r="D1050" t="inlineStr">
        <is>
          <t>STOCKHOLMS LÄN</t>
        </is>
      </c>
      <c r="E1050" t="inlineStr">
        <is>
          <t>NORRTÄLJE</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7638-2023</t>
        </is>
      </c>
      <c r="B1051" s="1" t="n">
        <v>44972</v>
      </c>
      <c r="C1051" s="1" t="n">
        <v>45471</v>
      </c>
      <c r="D1051" t="inlineStr">
        <is>
          <t>STOCKHOLMS LÄN</t>
        </is>
      </c>
      <c r="E1051" t="inlineStr">
        <is>
          <t>NORRTÄLJE</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7966-2023</t>
        </is>
      </c>
      <c r="B1052" s="1" t="n">
        <v>44973</v>
      </c>
      <c r="C1052" s="1" t="n">
        <v>45471</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7974-2023</t>
        </is>
      </c>
      <c r="B1053" s="1" t="n">
        <v>44973</v>
      </c>
      <c r="C1053" s="1" t="n">
        <v>45471</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8296-2023</t>
        </is>
      </c>
      <c r="B1054" s="1" t="n">
        <v>44974</v>
      </c>
      <c r="C1054" s="1" t="n">
        <v>45471</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8586-2023</t>
        </is>
      </c>
      <c r="B1055" s="1" t="n">
        <v>44977</v>
      </c>
      <c r="C1055" s="1" t="n">
        <v>45471</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9401-2023</t>
        </is>
      </c>
      <c r="B1056" s="1" t="n">
        <v>44977</v>
      </c>
      <c r="C1056" s="1" t="n">
        <v>45471</v>
      </c>
      <c r="D1056" t="inlineStr">
        <is>
          <t>STOCKHOLMS LÄN</t>
        </is>
      </c>
      <c r="E1056" t="inlineStr">
        <is>
          <t>NORRTÄLJE</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8730-2023</t>
        </is>
      </c>
      <c r="B1057" s="1" t="n">
        <v>44978</v>
      </c>
      <c r="C1057" s="1" t="n">
        <v>45471</v>
      </c>
      <c r="D1057" t="inlineStr">
        <is>
          <t>STOCKHOLMS LÄN</t>
        </is>
      </c>
      <c r="E1057" t="inlineStr">
        <is>
          <t>NORRTÄLJE</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8762-2023</t>
        </is>
      </c>
      <c r="B1058" s="1" t="n">
        <v>44978</v>
      </c>
      <c r="C1058" s="1" t="n">
        <v>45471</v>
      </c>
      <c r="D1058" t="inlineStr">
        <is>
          <t>STOCKHOLMS LÄN</t>
        </is>
      </c>
      <c r="E1058" t="inlineStr">
        <is>
          <t>NORRTÄLJE</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8899-2023</t>
        </is>
      </c>
      <c r="B1059" s="1" t="n">
        <v>44979</v>
      </c>
      <c r="C1059" s="1" t="n">
        <v>45471</v>
      </c>
      <c r="D1059" t="inlineStr">
        <is>
          <t>STOCKHOLMS LÄN</t>
        </is>
      </c>
      <c r="E1059" t="inlineStr">
        <is>
          <t>NORRTÄLJE</t>
        </is>
      </c>
      <c r="F1059" t="inlineStr">
        <is>
          <t>Naturvårdsverket</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9189-2023</t>
        </is>
      </c>
      <c r="B1060" s="1" t="n">
        <v>44980</v>
      </c>
      <c r="C1060" s="1" t="n">
        <v>45471</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9184-2023</t>
        </is>
      </c>
      <c r="B1061" s="1" t="n">
        <v>44980</v>
      </c>
      <c r="C1061" s="1" t="n">
        <v>45471</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9255-2023</t>
        </is>
      </c>
      <c r="B1062" s="1" t="n">
        <v>44980</v>
      </c>
      <c r="C1062" s="1" t="n">
        <v>45471</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9329-2023</t>
        </is>
      </c>
      <c r="B1063" s="1" t="n">
        <v>44980</v>
      </c>
      <c r="C1063" s="1" t="n">
        <v>45471</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9793-2023</t>
        </is>
      </c>
      <c r="B1064" s="1" t="n">
        <v>44984</v>
      </c>
      <c r="C1064" s="1" t="n">
        <v>45471</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9914-2023</t>
        </is>
      </c>
      <c r="B1065" s="1" t="n">
        <v>44985</v>
      </c>
      <c r="C1065" s="1" t="n">
        <v>45471</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9965-2023</t>
        </is>
      </c>
      <c r="B1066" s="1" t="n">
        <v>44985</v>
      </c>
      <c r="C1066" s="1" t="n">
        <v>45471</v>
      </c>
      <c r="D1066" t="inlineStr">
        <is>
          <t>STOCKHOLMS LÄN</t>
        </is>
      </c>
      <c r="E1066" t="inlineStr">
        <is>
          <t>NORRTÄLJE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9995-2023</t>
        </is>
      </c>
      <c r="B1067" s="1" t="n">
        <v>44985</v>
      </c>
      <c r="C1067" s="1" t="n">
        <v>45471</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10036-2023</t>
        </is>
      </c>
      <c r="B1068" s="1" t="n">
        <v>44985</v>
      </c>
      <c r="C1068" s="1" t="n">
        <v>45471</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10039-2023</t>
        </is>
      </c>
      <c r="B1069" s="1" t="n">
        <v>44985</v>
      </c>
      <c r="C1069" s="1" t="n">
        <v>45471</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9945-2023</t>
        </is>
      </c>
      <c r="B1070" s="1" t="n">
        <v>44985</v>
      </c>
      <c r="C1070" s="1" t="n">
        <v>45471</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10105-2023</t>
        </is>
      </c>
      <c r="B1071" s="1" t="n">
        <v>44986</v>
      </c>
      <c r="C1071" s="1" t="n">
        <v>45471</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10215-2023</t>
        </is>
      </c>
      <c r="B1072" s="1" t="n">
        <v>44986</v>
      </c>
      <c r="C1072" s="1" t="n">
        <v>45471</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11280-2023</t>
        </is>
      </c>
      <c r="B1073" s="1" t="n">
        <v>44992</v>
      </c>
      <c r="C1073" s="1" t="n">
        <v>45471</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11499-2023</t>
        </is>
      </c>
      <c r="B1074" s="1" t="n">
        <v>44993</v>
      </c>
      <c r="C1074" s="1" t="n">
        <v>45471</v>
      </c>
      <c r="D1074" t="inlineStr">
        <is>
          <t>STOCKHOLMS LÄN</t>
        </is>
      </c>
      <c r="E1074" t="inlineStr">
        <is>
          <t>NORRTÄLJE</t>
        </is>
      </c>
      <c r="F1074" t="inlineStr">
        <is>
          <t>Holmen skog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11844-2023</t>
        </is>
      </c>
      <c r="B1075" s="1" t="n">
        <v>44995</v>
      </c>
      <c r="C1075" s="1" t="n">
        <v>45471</v>
      </c>
      <c r="D1075" t="inlineStr">
        <is>
          <t>STOCKHOLMS LÄN</t>
        </is>
      </c>
      <c r="E1075" t="inlineStr">
        <is>
          <t>NORRTÄLJE</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11940-2023</t>
        </is>
      </c>
      <c r="B1076" s="1" t="n">
        <v>44995</v>
      </c>
      <c r="C1076" s="1" t="n">
        <v>45471</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11852-2023</t>
        </is>
      </c>
      <c r="B1077" s="1" t="n">
        <v>44995</v>
      </c>
      <c r="C1077" s="1" t="n">
        <v>45471</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12609-2023</t>
        </is>
      </c>
      <c r="B1078" s="1" t="n">
        <v>45000</v>
      </c>
      <c r="C1078" s="1" t="n">
        <v>45471</v>
      </c>
      <c r="D1078" t="inlineStr">
        <is>
          <t>STOCKHOLMS LÄN</t>
        </is>
      </c>
      <c r="E1078" t="inlineStr">
        <is>
          <t>NORRTÄLJE</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12756-2023</t>
        </is>
      </c>
      <c r="B1079" s="1" t="n">
        <v>45000</v>
      </c>
      <c r="C1079" s="1" t="n">
        <v>45471</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13072-2023</t>
        </is>
      </c>
      <c r="B1080" s="1" t="n">
        <v>45002</v>
      </c>
      <c r="C1080" s="1" t="n">
        <v>45471</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13354-2023</t>
        </is>
      </c>
      <c r="B1081" s="1" t="n">
        <v>45005</v>
      </c>
      <c r="C1081" s="1" t="n">
        <v>45471</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13360-2023</t>
        </is>
      </c>
      <c r="B1082" s="1" t="n">
        <v>45005</v>
      </c>
      <c r="C1082" s="1" t="n">
        <v>45471</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13860-2023</t>
        </is>
      </c>
      <c r="B1083" s="1" t="n">
        <v>45007</v>
      </c>
      <c r="C1083" s="1" t="n">
        <v>45471</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13957-2023</t>
        </is>
      </c>
      <c r="B1084" s="1" t="n">
        <v>45008</v>
      </c>
      <c r="C1084" s="1" t="n">
        <v>45471</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13947-2023</t>
        </is>
      </c>
      <c r="B1085" s="1" t="n">
        <v>45008</v>
      </c>
      <c r="C1085" s="1" t="n">
        <v>45471</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13977-2023</t>
        </is>
      </c>
      <c r="B1086" s="1" t="n">
        <v>45008</v>
      </c>
      <c r="C1086" s="1" t="n">
        <v>45471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14135-2023</t>
        </is>
      </c>
      <c r="B1087" s="1" t="n">
        <v>45009</v>
      </c>
      <c r="C1087" s="1" t="n">
        <v>45471</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15217-2023</t>
        </is>
      </c>
      <c r="B1088" s="1" t="n">
        <v>45019</v>
      </c>
      <c r="C1088" s="1" t="n">
        <v>45471</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15256-2023</t>
        </is>
      </c>
      <c r="B1089" s="1" t="n">
        <v>45019</v>
      </c>
      <c r="C1089" s="1" t="n">
        <v>45471</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15447-2023</t>
        </is>
      </c>
      <c r="B1090" s="1" t="n">
        <v>45020</v>
      </c>
      <c r="C1090" s="1" t="n">
        <v>45471</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15459-2023</t>
        </is>
      </c>
      <c r="B1091" s="1" t="n">
        <v>45020</v>
      </c>
      <c r="C1091" s="1" t="n">
        <v>45471</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15655-2023</t>
        </is>
      </c>
      <c r="B1092" s="1" t="n">
        <v>45021</v>
      </c>
      <c r="C1092" s="1" t="n">
        <v>45471</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15905-2023</t>
        </is>
      </c>
      <c r="B1093" s="1" t="n">
        <v>45022</v>
      </c>
      <c r="C1093" s="1" t="n">
        <v>45471</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15915-2023</t>
        </is>
      </c>
      <c r="B1094" s="1" t="n">
        <v>45022</v>
      </c>
      <c r="C1094" s="1" t="n">
        <v>45471</v>
      </c>
      <c r="D1094" t="inlineStr">
        <is>
          <t>STOCKHOLMS LÄN</t>
        </is>
      </c>
      <c r="E1094" t="inlineStr">
        <is>
          <t>NORRTÄLJE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15956-2023</t>
        </is>
      </c>
      <c r="B1095" s="1" t="n">
        <v>45022</v>
      </c>
      <c r="C1095" s="1" t="n">
        <v>45471</v>
      </c>
      <c r="D1095" t="inlineStr">
        <is>
          <t>STOCKHOLMS LÄN</t>
        </is>
      </c>
      <c r="E1095" t="inlineStr">
        <is>
          <t>NORRTÄLJE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15954-2023</t>
        </is>
      </c>
      <c r="B1096" s="1" t="n">
        <v>45022</v>
      </c>
      <c r="C1096" s="1" t="n">
        <v>45471</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16006-2023</t>
        </is>
      </c>
      <c r="B1097" s="1" t="n">
        <v>45025</v>
      </c>
      <c r="C1097" s="1" t="n">
        <v>45471</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16980-2023</t>
        </is>
      </c>
      <c r="B1098" s="1" t="n">
        <v>45033</v>
      </c>
      <c r="C1098" s="1" t="n">
        <v>45471</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16977-2023</t>
        </is>
      </c>
      <c r="B1099" s="1" t="n">
        <v>45033</v>
      </c>
      <c r="C1099" s="1" t="n">
        <v>45471</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17140-2023</t>
        </is>
      </c>
      <c r="B1100" s="1" t="n">
        <v>45034</v>
      </c>
      <c r="C1100" s="1" t="n">
        <v>45471</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17133-2023</t>
        </is>
      </c>
      <c r="B1101" s="1" t="n">
        <v>45034</v>
      </c>
      <c r="C1101" s="1" t="n">
        <v>45471</v>
      </c>
      <c r="D1101" t="inlineStr">
        <is>
          <t>STOCKHOLMS LÄN</t>
        </is>
      </c>
      <c r="E1101" t="inlineStr">
        <is>
          <t>NORRTÄLJE</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17919-2023</t>
        </is>
      </c>
      <c r="B1102" s="1" t="n">
        <v>45040</v>
      </c>
      <c r="C1102" s="1" t="n">
        <v>45471</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17939-2023</t>
        </is>
      </c>
      <c r="B1103" s="1" t="n">
        <v>45040</v>
      </c>
      <c r="C1103" s="1" t="n">
        <v>45471</v>
      </c>
      <c r="D1103" t="inlineStr">
        <is>
          <t>STOCKHOLMS LÄN</t>
        </is>
      </c>
      <c r="E1103" t="inlineStr">
        <is>
          <t>NORRTÄLJE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17930-2023</t>
        </is>
      </c>
      <c r="B1104" s="1" t="n">
        <v>45040</v>
      </c>
      <c r="C1104" s="1" t="n">
        <v>45471</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17984-2023</t>
        </is>
      </c>
      <c r="B1105" s="1" t="n">
        <v>45040</v>
      </c>
      <c r="C1105" s="1" t="n">
        <v>45471</v>
      </c>
      <c r="D1105" t="inlineStr">
        <is>
          <t>STOCKHOLMS LÄN</t>
        </is>
      </c>
      <c r="E1105" t="inlineStr">
        <is>
          <t>NORRTÄLJE</t>
        </is>
      </c>
      <c r="F1105" t="inlineStr">
        <is>
          <t>Holmen skog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18023-2023</t>
        </is>
      </c>
      <c r="B1106" s="1" t="n">
        <v>45040</v>
      </c>
      <c r="C1106" s="1" t="n">
        <v>45471</v>
      </c>
      <c r="D1106" t="inlineStr">
        <is>
          <t>STOCKHOLMS LÄN</t>
        </is>
      </c>
      <c r="E1106" t="inlineStr">
        <is>
          <t>NORRTÄLJE</t>
        </is>
      </c>
      <c r="F1106" t="inlineStr">
        <is>
          <t>Sveaskog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18541-2023</t>
        </is>
      </c>
      <c r="B1107" s="1" t="n">
        <v>45042</v>
      </c>
      <c r="C1107" s="1" t="n">
        <v>45471</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18540-2023</t>
        </is>
      </c>
      <c r="B1108" s="1" t="n">
        <v>45042</v>
      </c>
      <c r="C1108" s="1" t="n">
        <v>45471</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18895-2023</t>
        </is>
      </c>
      <c r="B1109" s="1" t="n">
        <v>45044</v>
      </c>
      <c r="C1109" s="1" t="n">
        <v>45471</v>
      </c>
      <c r="D1109" t="inlineStr">
        <is>
          <t>STOCKHOLMS LÄN</t>
        </is>
      </c>
      <c r="E1109" t="inlineStr">
        <is>
          <t>NORRTÄLJE</t>
        </is>
      </c>
      <c r="F1109" t="inlineStr">
        <is>
          <t>Kommuner</t>
        </is>
      </c>
      <c r="G1109" t="n">
        <v>12.7</v>
      </c>
      <c r="H1109" t="n">
        <v>0</v>
      </c>
      <c r="I1109" t="n">
        <v>0</v>
      </c>
      <c r="J1109" t="n">
        <v>0</v>
      </c>
      <c r="K1109" t="n">
        <v>0</v>
      </c>
      <c r="L1109" t="n">
        <v>0</v>
      </c>
      <c r="M1109" t="n">
        <v>0</v>
      </c>
      <c r="N1109" t="n">
        <v>0</v>
      </c>
      <c r="O1109" t="n">
        <v>0</v>
      </c>
      <c r="P1109" t="n">
        <v>0</v>
      </c>
      <c r="Q1109" t="n">
        <v>0</v>
      </c>
      <c r="R1109" s="2" t="inlineStr"/>
    </row>
    <row r="1110" ht="15" customHeight="1">
      <c r="A1110" t="inlineStr">
        <is>
          <t>A 19074-2023</t>
        </is>
      </c>
      <c r="B1110" s="1" t="n">
        <v>45048</v>
      </c>
      <c r="C1110" s="1" t="n">
        <v>45471</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19058-2023</t>
        </is>
      </c>
      <c r="B1111" s="1" t="n">
        <v>45048</v>
      </c>
      <c r="C1111" s="1" t="n">
        <v>45471</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19702-2023</t>
        </is>
      </c>
      <c r="B1112" s="1" t="n">
        <v>45051</v>
      </c>
      <c r="C1112" s="1" t="n">
        <v>45471</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19706-2023</t>
        </is>
      </c>
      <c r="B1113" s="1" t="n">
        <v>45051</v>
      </c>
      <c r="C1113" s="1" t="n">
        <v>45471</v>
      </c>
      <c r="D1113" t="inlineStr">
        <is>
          <t>STOCKHOLMS LÄN</t>
        </is>
      </c>
      <c r="E1113" t="inlineStr">
        <is>
          <t>NORRTÄLJE</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19719-2023</t>
        </is>
      </c>
      <c r="B1114" s="1" t="n">
        <v>45051</v>
      </c>
      <c r="C1114" s="1" t="n">
        <v>45471</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19951-2023</t>
        </is>
      </c>
      <c r="B1115" s="1" t="n">
        <v>45054</v>
      </c>
      <c r="C1115" s="1" t="n">
        <v>45471</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19971-2023</t>
        </is>
      </c>
      <c r="B1116" s="1" t="n">
        <v>45054</v>
      </c>
      <c r="C1116" s="1" t="n">
        <v>45471</v>
      </c>
      <c r="D1116" t="inlineStr">
        <is>
          <t>STOCKHOLMS LÄN</t>
        </is>
      </c>
      <c r="E1116" t="inlineStr">
        <is>
          <t>NORRTÄLJE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19994-2023</t>
        </is>
      </c>
      <c r="B1117" s="1" t="n">
        <v>45054</v>
      </c>
      <c r="C1117" s="1" t="n">
        <v>45471</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19952-2023</t>
        </is>
      </c>
      <c r="B1118" s="1" t="n">
        <v>45054</v>
      </c>
      <c r="C1118" s="1" t="n">
        <v>45471</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20004-2023</t>
        </is>
      </c>
      <c r="B1119" s="1" t="n">
        <v>45054</v>
      </c>
      <c r="C1119" s="1" t="n">
        <v>45471</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20015-2023</t>
        </is>
      </c>
      <c r="B1120" s="1" t="n">
        <v>45054</v>
      </c>
      <c r="C1120" s="1" t="n">
        <v>45471</v>
      </c>
      <c r="D1120" t="inlineStr">
        <is>
          <t>STOCKHOLMS LÄN</t>
        </is>
      </c>
      <c r="E1120" t="inlineStr">
        <is>
          <t>NORRTÄLJE</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20144-2023</t>
        </is>
      </c>
      <c r="B1121" s="1" t="n">
        <v>45055</v>
      </c>
      <c r="C1121" s="1" t="n">
        <v>45471</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20304-2023</t>
        </is>
      </c>
      <c r="B1122" s="1" t="n">
        <v>45056</v>
      </c>
      <c r="C1122" s="1" t="n">
        <v>45471</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20535-2023</t>
        </is>
      </c>
      <c r="B1123" s="1" t="n">
        <v>45057</v>
      </c>
      <c r="C1123" s="1" t="n">
        <v>45471</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20852-2023</t>
        </is>
      </c>
      <c r="B1124" s="1" t="n">
        <v>45058</v>
      </c>
      <c r="C1124" s="1" t="n">
        <v>45471</v>
      </c>
      <c r="D1124" t="inlineStr">
        <is>
          <t>STOCKHOLMS LÄN</t>
        </is>
      </c>
      <c r="E1124" t="inlineStr">
        <is>
          <t>NORRTÄLJE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21237-2023</t>
        </is>
      </c>
      <c r="B1125" s="1" t="n">
        <v>45062</v>
      </c>
      <c r="C1125" s="1" t="n">
        <v>45471</v>
      </c>
      <c r="D1125" t="inlineStr">
        <is>
          <t>STOCKHOLMS LÄN</t>
        </is>
      </c>
      <c r="E1125" t="inlineStr">
        <is>
          <t>NORRTÄLJE</t>
        </is>
      </c>
      <c r="F1125" t="inlineStr">
        <is>
          <t>Övriga Aktiebolag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21386-2023</t>
        </is>
      </c>
      <c r="B1126" s="1" t="n">
        <v>45063</v>
      </c>
      <c r="C1126" s="1" t="n">
        <v>45471</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21435-2023</t>
        </is>
      </c>
      <c r="B1127" s="1" t="n">
        <v>45063</v>
      </c>
      <c r="C1127" s="1" t="n">
        <v>45471</v>
      </c>
      <c r="D1127" t="inlineStr">
        <is>
          <t>STOCKHOLMS LÄN</t>
        </is>
      </c>
      <c r="E1127" t="inlineStr">
        <is>
          <t>NORRTÄLJE</t>
        </is>
      </c>
      <c r="G1127" t="n">
        <v>19.1</v>
      </c>
      <c r="H1127" t="n">
        <v>0</v>
      </c>
      <c r="I1127" t="n">
        <v>0</v>
      </c>
      <c r="J1127" t="n">
        <v>0</v>
      </c>
      <c r="K1127" t="n">
        <v>0</v>
      </c>
      <c r="L1127" t="n">
        <v>0</v>
      </c>
      <c r="M1127" t="n">
        <v>0</v>
      </c>
      <c r="N1127" t="n">
        <v>0</v>
      </c>
      <c r="O1127" t="n">
        <v>0</v>
      </c>
      <c r="P1127" t="n">
        <v>0</v>
      </c>
      <c r="Q1127" t="n">
        <v>0</v>
      </c>
      <c r="R1127" s="2" t="inlineStr"/>
    </row>
    <row r="1128" ht="15" customHeight="1">
      <c r="A1128" t="inlineStr">
        <is>
          <t>A 21732-2023</t>
        </is>
      </c>
      <c r="B1128" s="1" t="n">
        <v>45063</v>
      </c>
      <c r="C1128" s="1" t="n">
        <v>45471</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21733-2023</t>
        </is>
      </c>
      <c r="B1129" s="1" t="n">
        <v>45063</v>
      </c>
      <c r="C1129" s="1" t="n">
        <v>45471</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21731-2023</t>
        </is>
      </c>
      <c r="B1130" s="1" t="n">
        <v>45063</v>
      </c>
      <c r="C1130" s="1" t="n">
        <v>45471</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21718-2023</t>
        </is>
      </c>
      <c r="B1131" s="1" t="n">
        <v>45065</v>
      </c>
      <c r="C1131" s="1" t="n">
        <v>45471</v>
      </c>
      <c r="D1131" t="inlineStr">
        <is>
          <t>STOCKHOLMS LÄN</t>
        </is>
      </c>
      <c r="E1131" t="inlineStr">
        <is>
          <t>NORRTÄLJE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21719-2023</t>
        </is>
      </c>
      <c r="B1132" s="1" t="n">
        <v>45065</v>
      </c>
      <c r="C1132" s="1" t="n">
        <v>45471</v>
      </c>
      <c r="D1132" t="inlineStr">
        <is>
          <t>STOCKHOLMS LÄN</t>
        </is>
      </c>
      <c r="E1132" t="inlineStr">
        <is>
          <t>NORRTÄLJE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21745-2023</t>
        </is>
      </c>
      <c r="B1133" s="1" t="n">
        <v>45065</v>
      </c>
      <c r="C1133" s="1" t="n">
        <v>45471</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21720-2023</t>
        </is>
      </c>
      <c r="B1134" s="1" t="n">
        <v>45065</v>
      </c>
      <c r="C1134" s="1" t="n">
        <v>45471</v>
      </c>
      <c r="D1134" t="inlineStr">
        <is>
          <t>STOCKHOLMS LÄN</t>
        </is>
      </c>
      <c r="E1134" t="inlineStr">
        <is>
          <t>NORRTÄLJE</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21716-2023</t>
        </is>
      </c>
      <c r="B1135" s="1" t="n">
        <v>45065</v>
      </c>
      <c r="C1135" s="1" t="n">
        <v>45471</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21894-2023</t>
        </is>
      </c>
      <c r="B1136" s="1" t="n">
        <v>45068</v>
      </c>
      <c r="C1136" s="1" t="n">
        <v>45471</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21832-2023</t>
        </is>
      </c>
      <c r="B1137" s="1" t="n">
        <v>45068</v>
      </c>
      <c r="C1137" s="1" t="n">
        <v>45471</v>
      </c>
      <c r="D1137" t="inlineStr">
        <is>
          <t>STOCKHOLMS LÄN</t>
        </is>
      </c>
      <c r="E1137" t="inlineStr">
        <is>
          <t>NORRTÄLJE</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21825-2023</t>
        </is>
      </c>
      <c r="B1138" s="1" t="n">
        <v>45068</v>
      </c>
      <c r="C1138" s="1" t="n">
        <v>45471</v>
      </c>
      <c r="D1138" t="inlineStr">
        <is>
          <t>STOCKHOLMS LÄN</t>
        </is>
      </c>
      <c r="E1138" t="inlineStr">
        <is>
          <t>NORRTÄLJE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21897-2023</t>
        </is>
      </c>
      <c r="B1139" s="1" t="n">
        <v>45068</v>
      </c>
      <c r="C1139" s="1" t="n">
        <v>45471</v>
      </c>
      <c r="D1139" t="inlineStr">
        <is>
          <t>STOCKHOLMS LÄN</t>
        </is>
      </c>
      <c r="E1139" t="inlineStr">
        <is>
          <t>NORRTÄLJE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21993-2023</t>
        </is>
      </c>
      <c r="B1140" s="1" t="n">
        <v>45068</v>
      </c>
      <c r="C1140" s="1" t="n">
        <v>45471</v>
      </c>
      <c r="D1140" t="inlineStr">
        <is>
          <t>STOCKHOLMS LÄN</t>
        </is>
      </c>
      <c r="E1140" t="inlineStr">
        <is>
          <t>NORRTÄLJE</t>
        </is>
      </c>
      <c r="G1140" t="n">
        <v>17.2</v>
      </c>
      <c r="H1140" t="n">
        <v>0</v>
      </c>
      <c r="I1140" t="n">
        <v>0</v>
      </c>
      <c r="J1140" t="n">
        <v>0</v>
      </c>
      <c r="K1140" t="n">
        <v>0</v>
      </c>
      <c r="L1140" t="n">
        <v>0</v>
      </c>
      <c r="M1140" t="n">
        <v>0</v>
      </c>
      <c r="N1140" t="n">
        <v>0</v>
      </c>
      <c r="O1140" t="n">
        <v>0</v>
      </c>
      <c r="P1140" t="n">
        <v>0</v>
      </c>
      <c r="Q1140" t="n">
        <v>0</v>
      </c>
      <c r="R1140" s="2" t="inlineStr"/>
    </row>
    <row r="1141" ht="15" customHeight="1">
      <c r="A1141" t="inlineStr">
        <is>
          <t>A 21961-2023</t>
        </is>
      </c>
      <c r="B1141" s="1" t="n">
        <v>45068</v>
      </c>
      <c r="C1141" s="1" t="n">
        <v>45471</v>
      </c>
      <c r="D1141" t="inlineStr">
        <is>
          <t>STOCKHOLMS LÄN</t>
        </is>
      </c>
      <c r="E1141" t="inlineStr">
        <is>
          <t>NORRTÄLJE</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22157-2023</t>
        </is>
      </c>
      <c r="B1142" s="1" t="n">
        <v>45069</v>
      </c>
      <c r="C1142" s="1" t="n">
        <v>45471</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c r="U1142">
        <f>HYPERLINK("https://klasma.github.io/Logging_0188/knärot/A 22157-2023 karta knärot.png", "A 22157-2023")</f>
        <v/>
      </c>
      <c r="V1142">
        <f>HYPERLINK("https://klasma.github.io/Logging_0188/klagomål/A 22157-2023 FSC-klagomål.docx", "A 22157-2023")</f>
        <v/>
      </c>
      <c r="W1142">
        <f>HYPERLINK("https://klasma.github.io/Logging_0188/klagomålsmail/A 22157-2023 FSC-klagomål mail.docx", "A 22157-2023")</f>
        <v/>
      </c>
      <c r="X1142">
        <f>HYPERLINK("https://klasma.github.io/Logging_0188/tillsyn/A 22157-2023 tillsynsbegäran.docx", "A 22157-2023")</f>
        <v/>
      </c>
      <c r="Y1142">
        <f>HYPERLINK("https://klasma.github.io/Logging_0188/tillsynsmail/A 22157-2023 tillsynsbegäran mail.docx", "A 22157-2023")</f>
        <v/>
      </c>
    </row>
    <row r="1143" ht="15" customHeight="1">
      <c r="A1143" t="inlineStr">
        <is>
          <t>A 22175-2023</t>
        </is>
      </c>
      <c r="B1143" s="1" t="n">
        <v>45069</v>
      </c>
      <c r="C1143" s="1" t="n">
        <v>45471</v>
      </c>
      <c r="D1143" t="inlineStr">
        <is>
          <t>STOCKHOLMS LÄN</t>
        </is>
      </c>
      <c r="E1143" t="inlineStr">
        <is>
          <t>NORRTÄLJE</t>
        </is>
      </c>
      <c r="G1143" t="n">
        <v>32.7</v>
      </c>
      <c r="H1143" t="n">
        <v>0</v>
      </c>
      <c r="I1143" t="n">
        <v>0</v>
      </c>
      <c r="J1143" t="n">
        <v>0</v>
      </c>
      <c r="K1143" t="n">
        <v>0</v>
      </c>
      <c r="L1143" t="n">
        <v>0</v>
      </c>
      <c r="M1143" t="n">
        <v>0</v>
      </c>
      <c r="N1143" t="n">
        <v>0</v>
      </c>
      <c r="O1143" t="n">
        <v>0</v>
      </c>
      <c r="P1143" t="n">
        <v>0</v>
      </c>
      <c r="Q1143" t="n">
        <v>0</v>
      </c>
      <c r="R1143" s="2" t="inlineStr"/>
    </row>
    <row r="1144" ht="15" customHeight="1">
      <c r="A1144" t="inlineStr">
        <is>
          <t>A 22249-2023</t>
        </is>
      </c>
      <c r="B1144" s="1" t="n">
        <v>45070</v>
      </c>
      <c r="C1144" s="1" t="n">
        <v>45471</v>
      </c>
      <c r="D1144" t="inlineStr">
        <is>
          <t>STOCKHOLMS LÄN</t>
        </is>
      </c>
      <c r="E1144" t="inlineStr">
        <is>
          <t>NORRTÄLJE</t>
        </is>
      </c>
      <c r="F1144" t="inlineStr">
        <is>
          <t>Övriga Aktiebolag</t>
        </is>
      </c>
      <c r="G1144" t="n">
        <v>17.7</v>
      </c>
      <c r="H1144" t="n">
        <v>0</v>
      </c>
      <c r="I1144" t="n">
        <v>0</v>
      </c>
      <c r="J1144" t="n">
        <v>0</v>
      </c>
      <c r="K1144" t="n">
        <v>0</v>
      </c>
      <c r="L1144" t="n">
        <v>0</v>
      </c>
      <c r="M1144" t="n">
        <v>0</v>
      </c>
      <c r="N1144" t="n">
        <v>0</v>
      </c>
      <c r="O1144" t="n">
        <v>0</v>
      </c>
      <c r="P1144" t="n">
        <v>0</v>
      </c>
      <c r="Q1144" t="n">
        <v>0</v>
      </c>
      <c r="R1144" s="2" t="inlineStr"/>
    </row>
    <row r="1145" ht="15" customHeight="1">
      <c r="A1145" t="inlineStr">
        <is>
          <t>A 22398-2023</t>
        </is>
      </c>
      <c r="B1145" s="1" t="n">
        <v>45070</v>
      </c>
      <c r="C1145" s="1" t="n">
        <v>45471</v>
      </c>
      <c r="D1145" t="inlineStr">
        <is>
          <t>STOCKHOLMS LÄN</t>
        </is>
      </c>
      <c r="E1145" t="inlineStr">
        <is>
          <t>NORRTÄLJE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22376-2023</t>
        </is>
      </c>
      <c r="B1146" s="1" t="n">
        <v>45070</v>
      </c>
      <c r="C1146" s="1" t="n">
        <v>45471</v>
      </c>
      <c r="D1146" t="inlineStr">
        <is>
          <t>STOCKHOLMS LÄN</t>
        </is>
      </c>
      <c r="E1146" t="inlineStr">
        <is>
          <t>NORRTÄLJE</t>
        </is>
      </c>
      <c r="F1146" t="inlineStr">
        <is>
          <t>Kommuner</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22456-2023</t>
        </is>
      </c>
      <c r="B1147" s="1" t="n">
        <v>45070</v>
      </c>
      <c r="C1147" s="1" t="n">
        <v>45471</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22378-2023</t>
        </is>
      </c>
      <c r="B1148" s="1" t="n">
        <v>45070</v>
      </c>
      <c r="C1148" s="1" t="n">
        <v>45471</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22406-2023</t>
        </is>
      </c>
      <c r="B1149" s="1" t="n">
        <v>45070</v>
      </c>
      <c r="C1149" s="1" t="n">
        <v>45471</v>
      </c>
      <c r="D1149" t="inlineStr">
        <is>
          <t>STOCKHOLMS LÄN</t>
        </is>
      </c>
      <c r="E1149" t="inlineStr">
        <is>
          <t>NORRTÄLJE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22553-2023</t>
        </is>
      </c>
      <c r="B1150" s="1" t="n">
        <v>45071</v>
      </c>
      <c r="C1150" s="1" t="n">
        <v>45471</v>
      </c>
      <c r="D1150" t="inlineStr">
        <is>
          <t>STOCKHOLMS LÄN</t>
        </is>
      </c>
      <c r="E1150" t="inlineStr">
        <is>
          <t>NORRTÄLJE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22962-2023</t>
        </is>
      </c>
      <c r="B1151" s="1" t="n">
        <v>45072</v>
      </c>
      <c r="C1151" s="1" t="n">
        <v>45471</v>
      </c>
      <c r="D1151" t="inlineStr">
        <is>
          <t>STOCKHOLMS LÄN</t>
        </is>
      </c>
      <c r="E1151" t="inlineStr">
        <is>
          <t>NORRTÄLJE</t>
        </is>
      </c>
      <c r="F1151" t="inlineStr">
        <is>
          <t>Holmen skog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23056-2023</t>
        </is>
      </c>
      <c r="B1152" s="1" t="n">
        <v>45075</v>
      </c>
      <c r="C1152" s="1" t="n">
        <v>45471</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23060-2023</t>
        </is>
      </c>
      <c r="B1153" s="1" t="n">
        <v>45075</v>
      </c>
      <c r="C1153" s="1" t="n">
        <v>45471</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23070-2023</t>
        </is>
      </c>
      <c r="B1154" s="1" t="n">
        <v>45075</v>
      </c>
      <c r="C1154" s="1" t="n">
        <v>45471</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23130-2023</t>
        </is>
      </c>
      <c r="B1155" s="1" t="n">
        <v>45075</v>
      </c>
      <c r="C1155" s="1" t="n">
        <v>45471</v>
      </c>
      <c r="D1155" t="inlineStr">
        <is>
          <t>STOCKHOLMS LÄN</t>
        </is>
      </c>
      <c r="E1155" t="inlineStr">
        <is>
          <t>NORRTÄLJE</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23265-2023</t>
        </is>
      </c>
      <c r="B1156" s="1" t="n">
        <v>45075</v>
      </c>
      <c r="C1156" s="1" t="n">
        <v>45471</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23269-2023</t>
        </is>
      </c>
      <c r="B1157" s="1" t="n">
        <v>45075</v>
      </c>
      <c r="C1157" s="1" t="n">
        <v>45471</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23273-2023</t>
        </is>
      </c>
      <c r="B1158" s="1" t="n">
        <v>45076</v>
      </c>
      <c r="C1158" s="1" t="n">
        <v>45471</v>
      </c>
      <c r="D1158" t="inlineStr">
        <is>
          <t>STOCKHOLMS LÄN</t>
        </is>
      </c>
      <c r="E1158" t="inlineStr">
        <is>
          <t>NORRTÄLJE</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23134-2023</t>
        </is>
      </c>
      <c r="B1159" s="1" t="n">
        <v>45075</v>
      </c>
      <c r="C1159" s="1" t="n">
        <v>45471</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23263-2023</t>
        </is>
      </c>
      <c r="B1160" s="1" t="n">
        <v>45075</v>
      </c>
      <c r="C1160" s="1" t="n">
        <v>45471</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23267-2023</t>
        </is>
      </c>
      <c r="B1161" s="1" t="n">
        <v>45075</v>
      </c>
      <c r="C1161" s="1" t="n">
        <v>45471</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23271-2023</t>
        </is>
      </c>
      <c r="B1162" s="1" t="n">
        <v>45075</v>
      </c>
      <c r="C1162" s="1" t="n">
        <v>45471</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23264-2023</t>
        </is>
      </c>
      <c r="B1163" s="1" t="n">
        <v>45075</v>
      </c>
      <c r="C1163" s="1" t="n">
        <v>45471</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23268-2023</t>
        </is>
      </c>
      <c r="B1164" s="1" t="n">
        <v>45075</v>
      </c>
      <c r="C1164" s="1" t="n">
        <v>45471</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23272-2023</t>
        </is>
      </c>
      <c r="B1165" s="1" t="n">
        <v>45075</v>
      </c>
      <c r="C1165" s="1" t="n">
        <v>45471</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23262-2023</t>
        </is>
      </c>
      <c r="B1166" s="1" t="n">
        <v>45075</v>
      </c>
      <c r="C1166" s="1" t="n">
        <v>45471</v>
      </c>
      <c r="D1166" t="inlineStr">
        <is>
          <t>STOCKHOLMS LÄN</t>
        </is>
      </c>
      <c r="E1166" t="inlineStr">
        <is>
          <t>NORRTÄLJE</t>
        </is>
      </c>
      <c r="F1166" t="inlineStr">
        <is>
          <t>Kommuner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23266-2023</t>
        </is>
      </c>
      <c r="B1167" s="1" t="n">
        <v>45075</v>
      </c>
      <c r="C1167" s="1" t="n">
        <v>45471</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23270-2023</t>
        </is>
      </c>
      <c r="B1168" s="1" t="n">
        <v>45075</v>
      </c>
      <c r="C1168" s="1" t="n">
        <v>45471</v>
      </c>
      <c r="D1168" t="inlineStr">
        <is>
          <t>STOCKHOLMS LÄN</t>
        </is>
      </c>
      <c r="E1168" t="inlineStr">
        <is>
          <t>NORRTÄLJE</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23274-2023</t>
        </is>
      </c>
      <c r="B1169" s="1" t="n">
        <v>45076</v>
      </c>
      <c r="C1169" s="1" t="n">
        <v>45471</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23699-2023</t>
        </is>
      </c>
      <c r="B1170" s="1" t="n">
        <v>45077</v>
      </c>
      <c r="C1170" s="1" t="n">
        <v>45471</v>
      </c>
      <c r="D1170" t="inlineStr">
        <is>
          <t>STOCKHOLMS LÄN</t>
        </is>
      </c>
      <c r="E1170" t="inlineStr">
        <is>
          <t>NORRTÄLJE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24129-2023</t>
        </is>
      </c>
      <c r="B1171" s="1" t="n">
        <v>45079</v>
      </c>
      <c r="C1171" s="1" t="n">
        <v>45471</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24330-2023</t>
        </is>
      </c>
      <c r="B1172" s="1" t="n">
        <v>45081</v>
      </c>
      <c r="C1172" s="1" t="n">
        <v>45471</v>
      </c>
      <c r="D1172" t="inlineStr">
        <is>
          <t>STOCKHOLMS LÄN</t>
        </is>
      </c>
      <c r="E1172" t="inlineStr">
        <is>
          <t>NORRTÄLJE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24520-2023</t>
        </is>
      </c>
      <c r="B1173" s="1" t="n">
        <v>45082</v>
      </c>
      <c r="C1173" s="1" t="n">
        <v>45471</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24501-2023</t>
        </is>
      </c>
      <c r="B1174" s="1" t="n">
        <v>45082</v>
      </c>
      <c r="C1174" s="1" t="n">
        <v>45471</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24522-2023</t>
        </is>
      </c>
      <c r="B1175" s="1" t="n">
        <v>45082</v>
      </c>
      <c r="C1175" s="1" t="n">
        <v>45471</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24705-2023</t>
        </is>
      </c>
      <c r="B1176" s="1" t="n">
        <v>45084</v>
      </c>
      <c r="C1176" s="1" t="n">
        <v>45471</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24727-2023</t>
        </is>
      </c>
      <c r="B1177" s="1" t="n">
        <v>45084</v>
      </c>
      <c r="C1177" s="1" t="n">
        <v>45471</v>
      </c>
      <c r="D1177" t="inlineStr">
        <is>
          <t>STOCKHOLMS LÄN</t>
        </is>
      </c>
      <c r="E1177" t="inlineStr">
        <is>
          <t>NORRTÄLJE</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24788-2023</t>
        </is>
      </c>
      <c r="B1178" s="1" t="n">
        <v>45084</v>
      </c>
      <c r="C1178" s="1" t="n">
        <v>45471</v>
      </c>
      <c r="D1178" t="inlineStr">
        <is>
          <t>STOCKHOLMS LÄN</t>
        </is>
      </c>
      <c r="E1178" t="inlineStr">
        <is>
          <t>NORRTÄLJE</t>
        </is>
      </c>
      <c r="F1178" t="inlineStr">
        <is>
          <t>Sveaskog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24789-2023</t>
        </is>
      </c>
      <c r="B1179" s="1" t="n">
        <v>45084</v>
      </c>
      <c r="C1179" s="1" t="n">
        <v>45471</v>
      </c>
      <c r="D1179" t="inlineStr">
        <is>
          <t>STOCKHOLMS LÄN</t>
        </is>
      </c>
      <c r="E1179" t="inlineStr">
        <is>
          <t>NORRTÄLJE</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24887-2023</t>
        </is>
      </c>
      <c r="B1180" s="1" t="n">
        <v>45085</v>
      </c>
      <c r="C1180" s="1" t="n">
        <v>45471</v>
      </c>
      <c r="D1180" t="inlineStr">
        <is>
          <t>STOCKHOLMS LÄN</t>
        </is>
      </c>
      <c r="E1180" t="inlineStr">
        <is>
          <t>NORRTÄLJE</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24933-2023</t>
        </is>
      </c>
      <c r="B1181" s="1" t="n">
        <v>45085</v>
      </c>
      <c r="C1181" s="1" t="n">
        <v>45471</v>
      </c>
      <c r="D1181" t="inlineStr">
        <is>
          <t>STOCKHOLMS LÄN</t>
        </is>
      </c>
      <c r="E1181" t="inlineStr">
        <is>
          <t>NORRTÄLJE</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25174-2023</t>
        </is>
      </c>
      <c r="B1182" s="1" t="n">
        <v>45086</v>
      </c>
      <c r="C1182" s="1" t="n">
        <v>45471</v>
      </c>
      <c r="D1182" t="inlineStr">
        <is>
          <t>STOCKHOLMS LÄN</t>
        </is>
      </c>
      <c r="E1182" t="inlineStr">
        <is>
          <t>NORRTÄLJE</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25094-2023</t>
        </is>
      </c>
      <c r="B1183" s="1" t="n">
        <v>45086</v>
      </c>
      <c r="C1183" s="1" t="n">
        <v>45471</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25257-2023</t>
        </is>
      </c>
      <c r="B1184" s="1" t="n">
        <v>45086</v>
      </c>
      <c r="C1184" s="1" t="n">
        <v>45471</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25614-2023</t>
        </is>
      </c>
      <c r="B1185" s="1" t="n">
        <v>45089</v>
      </c>
      <c r="C1185" s="1" t="n">
        <v>45471</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25625-2023</t>
        </is>
      </c>
      <c r="B1186" s="1" t="n">
        <v>45089</v>
      </c>
      <c r="C1186" s="1" t="n">
        <v>45471</v>
      </c>
      <c r="D1186" t="inlineStr">
        <is>
          <t>STOCKHOLMS LÄN</t>
        </is>
      </c>
      <c r="E1186" t="inlineStr">
        <is>
          <t>NORRTÄLJE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25557-2023</t>
        </is>
      </c>
      <c r="B1187" s="1" t="n">
        <v>45089</v>
      </c>
      <c r="C1187" s="1" t="n">
        <v>45471</v>
      </c>
      <c r="D1187" t="inlineStr">
        <is>
          <t>STOCKHOLMS LÄN</t>
        </is>
      </c>
      <c r="E1187" t="inlineStr">
        <is>
          <t>NORRTÄLJE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25609-2023</t>
        </is>
      </c>
      <c r="B1188" s="1" t="n">
        <v>45089</v>
      </c>
      <c r="C1188" s="1" t="n">
        <v>45471</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25618-2023</t>
        </is>
      </c>
      <c r="B1189" s="1" t="n">
        <v>45089</v>
      </c>
      <c r="C1189" s="1" t="n">
        <v>45471</v>
      </c>
      <c r="D1189" t="inlineStr">
        <is>
          <t>STOCKHOLMS LÄN</t>
        </is>
      </c>
      <c r="E1189" t="inlineStr">
        <is>
          <t>NORRTÄLJE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25656-2023</t>
        </is>
      </c>
      <c r="B1190" s="1" t="n">
        <v>45089</v>
      </c>
      <c r="C1190" s="1" t="n">
        <v>45471</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25654-2023</t>
        </is>
      </c>
      <c r="B1191" s="1" t="n">
        <v>45089</v>
      </c>
      <c r="C1191" s="1" t="n">
        <v>45471</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25831-2023</t>
        </is>
      </c>
      <c r="B1192" s="1" t="n">
        <v>45090</v>
      </c>
      <c r="C1192" s="1" t="n">
        <v>45471</v>
      </c>
      <c r="D1192" t="inlineStr">
        <is>
          <t>STOCKHOLMS LÄN</t>
        </is>
      </c>
      <c r="E1192" t="inlineStr">
        <is>
          <t>NORRTÄLJE</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25915-2023</t>
        </is>
      </c>
      <c r="B1193" s="1" t="n">
        <v>45090</v>
      </c>
      <c r="C1193" s="1" t="n">
        <v>45471</v>
      </c>
      <c r="D1193" t="inlineStr">
        <is>
          <t>STOCKHOLMS LÄN</t>
        </is>
      </c>
      <c r="E1193" t="inlineStr">
        <is>
          <t>NORRTÄLJE</t>
        </is>
      </c>
      <c r="F1193" t="inlineStr">
        <is>
          <t>Naturvårdsverket</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26065-2023</t>
        </is>
      </c>
      <c r="B1194" s="1" t="n">
        <v>45091</v>
      </c>
      <c r="C1194" s="1" t="n">
        <v>45471</v>
      </c>
      <c r="D1194" t="inlineStr">
        <is>
          <t>STOCKHOLMS LÄN</t>
        </is>
      </c>
      <c r="E1194" t="inlineStr">
        <is>
          <t>NORRTÄLJE</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26315-2023</t>
        </is>
      </c>
      <c r="B1195" s="1" t="n">
        <v>45091</v>
      </c>
      <c r="C1195" s="1" t="n">
        <v>45471</v>
      </c>
      <c r="D1195" t="inlineStr">
        <is>
          <t>STOCKHOLMS LÄN</t>
        </is>
      </c>
      <c r="E1195" t="inlineStr">
        <is>
          <t>NORRTÄLJE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26570-2023</t>
        </is>
      </c>
      <c r="B1196" s="1" t="n">
        <v>45092</v>
      </c>
      <c r="C1196" s="1" t="n">
        <v>45471</v>
      </c>
      <c r="D1196" t="inlineStr">
        <is>
          <t>STOCKHOLMS LÄN</t>
        </is>
      </c>
      <c r="E1196" t="inlineStr">
        <is>
          <t>NORRTÄLJE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26636-2023</t>
        </is>
      </c>
      <c r="B1197" s="1" t="n">
        <v>45092</v>
      </c>
      <c r="C1197" s="1" t="n">
        <v>45471</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26640-2023</t>
        </is>
      </c>
      <c r="B1198" s="1" t="n">
        <v>45092</v>
      </c>
      <c r="C1198" s="1" t="n">
        <v>45471</v>
      </c>
      <c r="D1198" t="inlineStr">
        <is>
          <t>STOCKHOLMS LÄN</t>
        </is>
      </c>
      <c r="E1198" t="inlineStr">
        <is>
          <t>NORRTÄLJE</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26637-2023</t>
        </is>
      </c>
      <c r="B1199" s="1" t="n">
        <v>45092</v>
      </c>
      <c r="C1199" s="1" t="n">
        <v>45471</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26639-2023</t>
        </is>
      </c>
      <c r="B1200" s="1" t="n">
        <v>45092</v>
      </c>
      <c r="C1200" s="1" t="n">
        <v>45471</v>
      </c>
      <c r="D1200" t="inlineStr">
        <is>
          <t>STOCKHOLMS LÄN</t>
        </is>
      </c>
      <c r="E1200" t="inlineStr">
        <is>
          <t>NORRTÄLJE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27651-2023</t>
        </is>
      </c>
      <c r="B1201" s="1" t="n">
        <v>45097</v>
      </c>
      <c r="C1201" s="1" t="n">
        <v>45471</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28281-2023</t>
        </is>
      </c>
      <c r="B1202" s="1" t="n">
        <v>45099</v>
      </c>
      <c r="C1202" s="1" t="n">
        <v>45471</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28820-2023</t>
        </is>
      </c>
      <c r="B1203" s="1" t="n">
        <v>45104</v>
      </c>
      <c r="C1203" s="1" t="n">
        <v>45471</v>
      </c>
      <c r="D1203" t="inlineStr">
        <is>
          <t>STOCKHOLMS LÄN</t>
        </is>
      </c>
      <c r="E1203" t="inlineStr">
        <is>
          <t>NORRTÄLJE</t>
        </is>
      </c>
      <c r="F1203" t="inlineStr">
        <is>
          <t>Kommuner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28813-2023</t>
        </is>
      </c>
      <c r="B1204" s="1" t="n">
        <v>45104</v>
      </c>
      <c r="C1204" s="1" t="n">
        <v>45471</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29003-2023</t>
        </is>
      </c>
      <c r="B1205" s="1" t="n">
        <v>45104</v>
      </c>
      <c r="C1205" s="1" t="n">
        <v>45471</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28816-2023</t>
        </is>
      </c>
      <c r="B1206" s="1" t="n">
        <v>45104</v>
      </c>
      <c r="C1206" s="1" t="n">
        <v>45471</v>
      </c>
      <c r="D1206" t="inlineStr">
        <is>
          <t>STOCKHOLMS LÄN</t>
        </is>
      </c>
      <c r="E1206" t="inlineStr">
        <is>
          <t>NORRTÄLJE</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28809-2023</t>
        </is>
      </c>
      <c r="B1207" s="1" t="n">
        <v>45104</v>
      </c>
      <c r="C1207" s="1" t="n">
        <v>45471</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29254-2023</t>
        </is>
      </c>
      <c r="B1208" s="1" t="n">
        <v>45105</v>
      </c>
      <c r="C1208" s="1" t="n">
        <v>45471</v>
      </c>
      <c r="D1208" t="inlineStr">
        <is>
          <t>STOCKHOLMS LÄN</t>
        </is>
      </c>
      <c r="E1208" t="inlineStr">
        <is>
          <t>NORRTÄLJE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29433-2023</t>
        </is>
      </c>
      <c r="B1209" s="1" t="n">
        <v>45106</v>
      </c>
      <c r="C1209" s="1" t="n">
        <v>45471</v>
      </c>
      <c r="D1209" t="inlineStr">
        <is>
          <t>STOCKHOLMS LÄN</t>
        </is>
      </c>
      <c r="E1209" t="inlineStr">
        <is>
          <t>NORRTÄLJE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29681-2023</t>
        </is>
      </c>
      <c r="B1210" s="1" t="n">
        <v>45107</v>
      </c>
      <c r="C1210" s="1" t="n">
        <v>45471</v>
      </c>
      <c r="D1210" t="inlineStr">
        <is>
          <t>STOCKHOLMS LÄN</t>
        </is>
      </c>
      <c r="E1210" t="inlineStr">
        <is>
          <t>NORRTÄLJE</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29710-2023</t>
        </is>
      </c>
      <c r="B1211" s="1" t="n">
        <v>45107</v>
      </c>
      <c r="C1211" s="1" t="n">
        <v>45471</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29714-2023</t>
        </is>
      </c>
      <c r="B1212" s="1" t="n">
        <v>45107</v>
      </c>
      <c r="C1212" s="1" t="n">
        <v>45471</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30116-2023</t>
        </is>
      </c>
      <c r="B1213" s="1" t="n">
        <v>45110</v>
      </c>
      <c r="C1213" s="1" t="n">
        <v>45471</v>
      </c>
      <c r="D1213" t="inlineStr">
        <is>
          <t>STOCKHOLMS LÄN</t>
        </is>
      </c>
      <c r="E1213" t="inlineStr">
        <is>
          <t>NORRTÄLJE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30281-2023</t>
        </is>
      </c>
      <c r="B1214" s="1" t="n">
        <v>45110</v>
      </c>
      <c r="C1214" s="1" t="n">
        <v>45471</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30508-2023</t>
        </is>
      </c>
      <c r="B1215" s="1" t="n">
        <v>45111</v>
      </c>
      <c r="C1215" s="1" t="n">
        <v>45471</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30496-2023</t>
        </is>
      </c>
      <c r="B1216" s="1" t="n">
        <v>45111</v>
      </c>
      <c r="C1216" s="1" t="n">
        <v>45471</v>
      </c>
      <c r="D1216" t="inlineStr">
        <is>
          <t>STOCKHOLMS LÄN</t>
        </is>
      </c>
      <c r="E1216" t="inlineStr">
        <is>
          <t>NORRTÄLJE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30516-2023</t>
        </is>
      </c>
      <c r="B1217" s="1" t="n">
        <v>45111</v>
      </c>
      <c r="C1217" s="1" t="n">
        <v>45471</v>
      </c>
      <c r="D1217" t="inlineStr">
        <is>
          <t>STOCKHOLMS LÄN</t>
        </is>
      </c>
      <c r="E1217" t="inlineStr">
        <is>
          <t>NORRTÄLJE</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30525-2023</t>
        </is>
      </c>
      <c r="B1218" s="1" t="n">
        <v>45111</v>
      </c>
      <c r="C1218" s="1" t="n">
        <v>45471</v>
      </c>
      <c r="D1218" t="inlineStr">
        <is>
          <t>STOCKHOLMS LÄN</t>
        </is>
      </c>
      <c r="E1218" t="inlineStr">
        <is>
          <t>NORRTÄLJE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30424-2023</t>
        </is>
      </c>
      <c r="B1219" s="1" t="n">
        <v>45111</v>
      </c>
      <c r="C1219" s="1" t="n">
        <v>45471</v>
      </c>
      <c r="D1219" t="inlineStr">
        <is>
          <t>STOCKHOLMS LÄN</t>
        </is>
      </c>
      <c r="E1219" t="inlineStr">
        <is>
          <t>NORRTÄLJE</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30425-2023</t>
        </is>
      </c>
      <c r="B1220" s="1" t="n">
        <v>45111</v>
      </c>
      <c r="C1220" s="1" t="n">
        <v>45471</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30731-2023</t>
        </is>
      </c>
      <c r="B1221" s="1" t="n">
        <v>45112</v>
      </c>
      <c r="C1221" s="1" t="n">
        <v>45471</v>
      </c>
      <c r="D1221" t="inlineStr">
        <is>
          <t>STOCKHOLMS LÄN</t>
        </is>
      </c>
      <c r="E1221" t="inlineStr">
        <is>
          <t>NORRTÄLJE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30663-2023</t>
        </is>
      </c>
      <c r="B1222" s="1" t="n">
        <v>45112</v>
      </c>
      <c r="C1222" s="1" t="n">
        <v>45471</v>
      </c>
      <c r="D1222" t="inlineStr">
        <is>
          <t>STOCKHOLMS LÄN</t>
        </is>
      </c>
      <c r="E1222" t="inlineStr">
        <is>
          <t>NORRTÄLJE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30780-2023</t>
        </is>
      </c>
      <c r="B1223" s="1" t="n">
        <v>45112</v>
      </c>
      <c r="C1223" s="1" t="n">
        <v>45471</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30773-2023</t>
        </is>
      </c>
      <c r="B1224" s="1" t="n">
        <v>45112</v>
      </c>
      <c r="C1224" s="1" t="n">
        <v>45471</v>
      </c>
      <c r="D1224" t="inlineStr">
        <is>
          <t>STOCKHOLMS LÄN</t>
        </is>
      </c>
      <c r="E1224" t="inlineStr">
        <is>
          <t>NORRTÄLJE</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30924-2023</t>
        </is>
      </c>
      <c r="B1225" s="1" t="n">
        <v>45113</v>
      </c>
      <c r="C1225" s="1" t="n">
        <v>45471</v>
      </c>
      <c r="D1225" t="inlineStr">
        <is>
          <t>STOCKHOLMS LÄN</t>
        </is>
      </c>
      <c r="E1225" t="inlineStr">
        <is>
          <t>NORRTÄLJE</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30923-2023</t>
        </is>
      </c>
      <c r="B1226" s="1" t="n">
        <v>45113</v>
      </c>
      <c r="C1226" s="1" t="n">
        <v>45471</v>
      </c>
      <c r="D1226" t="inlineStr">
        <is>
          <t>STOCKHOLMS LÄN</t>
        </is>
      </c>
      <c r="E1226" t="inlineStr">
        <is>
          <t>NORRTÄLJE</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31140-2023</t>
        </is>
      </c>
      <c r="B1227" s="1" t="n">
        <v>45113</v>
      </c>
      <c r="C1227" s="1" t="n">
        <v>45471</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30921-2023</t>
        </is>
      </c>
      <c r="B1228" s="1" t="n">
        <v>45113</v>
      </c>
      <c r="C1228" s="1" t="n">
        <v>45471</v>
      </c>
      <c r="D1228" t="inlineStr">
        <is>
          <t>STOCKHOLMS LÄN</t>
        </is>
      </c>
      <c r="E1228" t="inlineStr">
        <is>
          <t>NORRTÄLJE</t>
        </is>
      </c>
      <c r="F1228" t="inlineStr">
        <is>
          <t>Sveaskog</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31149-2023</t>
        </is>
      </c>
      <c r="B1229" s="1" t="n">
        <v>45113</v>
      </c>
      <c r="C1229" s="1" t="n">
        <v>45471</v>
      </c>
      <c r="D1229" t="inlineStr">
        <is>
          <t>STOCKHOLMS LÄN</t>
        </is>
      </c>
      <c r="E1229" t="inlineStr">
        <is>
          <t>NORRTÄLJE</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31153-2023</t>
        </is>
      </c>
      <c r="B1230" s="1" t="n">
        <v>45113</v>
      </c>
      <c r="C1230" s="1" t="n">
        <v>45471</v>
      </c>
      <c r="D1230" t="inlineStr">
        <is>
          <t>STOCKHOLMS LÄN</t>
        </is>
      </c>
      <c r="E1230" t="inlineStr">
        <is>
          <t>NORRTÄLJE</t>
        </is>
      </c>
      <c r="G1230" t="n">
        <v>17.5</v>
      </c>
      <c r="H1230" t="n">
        <v>0</v>
      </c>
      <c r="I1230" t="n">
        <v>0</v>
      </c>
      <c r="J1230" t="n">
        <v>0</v>
      </c>
      <c r="K1230" t="n">
        <v>0</v>
      </c>
      <c r="L1230" t="n">
        <v>0</v>
      </c>
      <c r="M1230" t="n">
        <v>0</v>
      </c>
      <c r="N1230" t="n">
        <v>0</v>
      </c>
      <c r="O1230" t="n">
        <v>0</v>
      </c>
      <c r="P1230" t="n">
        <v>0</v>
      </c>
      <c r="Q1230" t="n">
        <v>0</v>
      </c>
      <c r="R1230" s="2" t="inlineStr"/>
    </row>
    <row r="1231" ht="15" customHeight="1">
      <c r="A1231" t="inlineStr">
        <is>
          <t>A 31827-2023</t>
        </is>
      </c>
      <c r="B1231" s="1" t="n">
        <v>45118</v>
      </c>
      <c r="C1231" s="1" t="n">
        <v>45471</v>
      </c>
      <c r="D1231" t="inlineStr">
        <is>
          <t>STOCKHOLMS LÄN</t>
        </is>
      </c>
      <c r="E1231" t="inlineStr">
        <is>
          <t>NORRTÄLJE</t>
        </is>
      </c>
      <c r="F1231" t="inlineStr">
        <is>
          <t>Kyrkan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31832-2023</t>
        </is>
      </c>
      <c r="B1232" s="1" t="n">
        <v>45118</v>
      </c>
      <c r="C1232" s="1" t="n">
        <v>45471</v>
      </c>
      <c r="D1232" t="inlineStr">
        <is>
          <t>STOCKHOLMS LÄN</t>
        </is>
      </c>
      <c r="E1232" t="inlineStr">
        <is>
          <t>NORRTÄLJE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32071-2023</t>
        </is>
      </c>
      <c r="B1233" s="1" t="n">
        <v>45119</v>
      </c>
      <c r="C1233" s="1" t="n">
        <v>45471</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32621-2023</t>
        </is>
      </c>
      <c r="B1234" s="1" t="n">
        <v>45121</v>
      </c>
      <c r="C1234" s="1" t="n">
        <v>45471</v>
      </c>
      <c r="D1234" t="inlineStr">
        <is>
          <t>STOCKHOLMS LÄN</t>
        </is>
      </c>
      <c r="E1234" t="inlineStr">
        <is>
          <t>NORRTÄLJE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32595-2023</t>
        </is>
      </c>
      <c r="B1235" s="1" t="n">
        <v>45121</v>
      </c>
      <c r="C1235" s="1" t="n">
        <v>45471</v>
      </c>
      <c r="D1235" t="inlineStr">
        <is>
          <t>STOCKHOLMS LÄN</t>
        </is>
      </c>
      <c r="E1235" t="inlineStr">
        <is>
          <t>NORRTÄLJE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32948-2023</t>
        </is>
      </c>
      <c r="B1236" s="1" t="n">
        <v>45125</v>
      </c>
      <c r="C1236" s="1" t="n">
        <v>45471</v>
      </c>
      <c r="D1236" t="inlineStr">
        <is>
          <t>STOCKHOLMS LÄN</t>
        </is>
      </c>
      <c r="E1236" t="inlineStr">
        <is>
          <t>NORRTÄLJE</t>
        </is>
      </c>
      <c r="F1236" t="inlineStr">
        <is>
          <t>Holmen skog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33025-2023</t>
        </is>
      </c>
      <c r="B1237" s="1" t="n">
        <v>45125</v>
      </c>
      <c r="C1237" s="1" t="n">
        <v>45471</v>
      </c>
      <c r="D1237" t="inlineStr">
        <is>
          <t>STOCKHOLMS LÄN</t>
        </is>
      </c>
      <c r="E1237" t="inlineStr">
        <is>
          <t>NORRTÄLJE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33130-2023</t>
        </is>
      </c>
      <c r="B1238" s="1" t="n">
        <v>45126</v>
      </c>
      <c r="C1238" s="1" t="n">
        <v>45471</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33295-2023</t>
        </is>
      </c>
      <c r="B1239" s="1" t="n">
        <v>45127</v>
      </c>
      <c r="C1239" s="1" t="n">
        <v>45471</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33270-2023</t>
        </is>
      </c>
      <c r="B1240" s="1" t="n">
        <v>45127</v>
      </c>
      <c r="C1240" s="1" t="n">
        <v>45471</v>
      </c>
      <c r="D1240" t="inlineStr">
        <is>
          <t>STOCKHOLMS LÄN</t>
        </is>
      </c>
      <c r="E1240" t="inlineStr">
        <is>
          <t>NORRTÄLJE</t>
        </is>
      </c>
      <c r="F1240" t="inlineStr">
        <is>
          <t>Holmen skog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33226-2023</t>
        </is>
      </c>
      <c r="B1241" s="1" t="n">
        <v>45127</v>
      </c>
      <c r="C1241" s="1" t="n">
        <v>45471</v>
      </c>
      <c r="D1241" t="inlineStr">
        <is>
          <t>STOCKHOLMS LÄN</t>
        </is>
      </c>
      <c r="E1241" t="inlineStr">
        <is>
          <t>NORRTÄLJE</t>
        </is>
      </c>
      <c r="F1241" t="inlineStr">
        <is>
          <t>Holmen skog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33243-2023</t>
        </is>
      </c>
      <c r="B1242" s="1" t="n">
        <v>45127</v>
      </c>
      <c r="C1242" s="1" t="n">
        <v>45471</v>
      </c>
      <c r="D1242" t="inlineStr">
        <is>
          <t>STOCKHOLMS LÄN</t>
        </is>
      </c>
      <c r="E1242" t="inlineStr">
        <is>
          <t>NORRTÄLJE</t>
        </is>
      </c>
      <c r="F1242" t="inlineStr">
        <is>
          <t>Holmen skog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33291-2023</t>
        </is>
      </c>
      <c r="B1243" s="1" t="n">
        <v>45127</v>
      </c>
      <c r="C1243" s="1" t="n">
        <v>45471</v>
      </c>
      <c r="D1243" t="inlineStr">
        <is>
          <t>STOCKHOLMS LÄN</t>
        </is>
      </c>
      <c r="E1243" t="inlineStr">
        <is>
          <t>NORRTÄLJE</t>
        </is>
      </c>
      <c r="F1243" t="inlineStr">
        <is>
          <t>Holmen skog AB</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33353-2023</t>
        </is>
      </c>
      <c r="B1244" s="1" t="n">
        <v>45128</v>
      </c>
      <c r="C1244" s="1" t="n">
        <v>45471</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33569-2023</t>
        </is>
      </c>
      <c r="B1245" s="1" t="n">
        <v>45131</v>
      </c>
      <c r="C1245" s="1" t="n">
        <v>45471</v>
      </c>
      <c r="D1245" t="inlineStr">
        <is>
          <t>STOCKHOLMS LÄN</t>
        </is>
      </c>
      <c r="E1245" t="inlineStr">
        <is>
          <t>NORRTÄLJE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33646-2023</t>
        </is>
      </c>
      <c r="B1246" s="1" t="n">
        <v>45132</v>
      </c>
      <c r="C1246" s="1" t="n">
        <v>45471</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33641-2023</t>
        </is>
      </c>
      <c r="B1247" s="1" t="n">
        <v>45132</v>
      </c>
      <c r="C1247" s="1" t="n">
        <v>45471</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34085-2023</t>
        </is>
      </c>
      <c r="B1248" s="1" t="n">
        <v>45135</v>
      </c>
      <c r="C1248" s="1" t="n">
        <v>45471</v>
      </c>
      <c r="D1248" t="inlineStr">
        <is>
          <t>STOCKHOLMS LÄN</t>
        </is>
      </c>
      <c r="E1248" t="inlineStr">
        <is>
          <t>NORRTÄLJE</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34084-2023</t>
        </is>
      </c>
      <c r="B1249" s="1" t="n">
        <v>45135</v>
      </c>
      <c r="C1249" s="1" t="n">
        <v>45471</v>
      </c>
      <c r="D1249" t="inlineStr">
        <is>
          <t>STOCKHOLMS LÄN</t>
        </is>
      </c>
      <c r="E1249" t="inlineStr">
        <is>
          <t>NORRTÄLJE</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34132-2023</t>
        </is>
      </c>
      <c r="B1250" s="1" t="n">
        <v>45135</v>
      </c>
      <c r="C1250" s="1" t="n">
        <v>45471</v>
      </c>
      <c r="D1250" t="inlineStr">
        <is>
          <t>STOCKHOLMS LÄN</t>
        </is>
      </c>
      <c r="E1250" t="inlineStr">
        <is>
          <t>NORRTÄLJE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34391-2023</t>
        </is>
      </c>
      <c r="B1251" s="1" t="n">
        <v>45139</v>
      </c>
      <c r="C1251" s="1" t="n">
        <v>45471</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34461-2023</t>
        </is>
      </c>
      <c r="B1252" s="1" t="n">
        <v>45139</v>
      </c>
      <c r="C1252" s="1" t="n">
        <v>45471</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34462-2023</t>
        </is>
      </c>
      <c r="B1253" s="1" t="n">
        <v>45139</v>
      </c>
      <c r="C1253" s="1" t="n">
        <v>45471</v>
      </c>
      <c r="D1253" t="inlineStr">
        <is>
          <t>STOCKHOLMS LÄN</t>
        </is>
      </c>
      <c r="E1253" t="inlineStr">
        <is>
          <t>NORRTÄLJE</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34825-2023</t>
        </is>
      </c>
      <c r="B1254" s="1" t="n">
        <v>45141</v>
      </c>
      <c r="C1254" s="1" t="n">
        <v>45471</v>
      </c>
      <c r="D1254" t="inlineStr">
        <is>
          <t>STOCKHOLMS LÄN</t>
        </is>
      </c>
      <c r="E1254" t="inlineStr">
        <is>
          <t>NORRTÄLJE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35215-2023</t>
        </is>
      </c>
      <c r="B1255" s="1" t="n">
        <v>45145</v>
      </c>
      <c r="C1255" s="1" t="n">
        <v>45471</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35219-2023</t>
        </is>
      </c>
      <c r="B1256" s="1" t="n">
        <v>45145</v>
      </c>
      <c r="C1256" s="1" t="n">
        <v>45471</v>
      </c>
      <c r="D1256" t="inlineStr">
        <is>
          <t>STOCKHOLMS LÄN</t>
        </is>
      </c>
      <c r="E1256" t="inlineStr">
        <is>
          <t>NORRTÄLJE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35127-2023</t>
        </is>
      </c>
      <c r="B1257" s="1" t="n">
        <v>45145</v>
      </c>
      <c r="C1257" s="1" t="n">
        <v>45471</v>
      </c>
      <c r="D1257" t="inlineStr">
        <is>
          <t>STOCKHOLMS LÄN</t>
        </is>
      </c>
      <c r="E1257" t="inlineStr">
        <is>
          <t>NORRTÄLJE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35131-2023</t>
        </is>
      </c>
      <c r="B1258" s="1" t="n">
        <v>45145</v>
      </c>
      <c r="C1258" s="1" t="n">
        <v>45471</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35128-2023</t>
        </is>
      </c>
      <c r="B1259" s="1" t="n">
        <v>45145</v>
      </c>
      <c r="C1259" s="1" t="n">
        <v>45471</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35210-2023</t>
        </is>
      </c>
      <c r="B1260" s="1" t="n">
        <v>45145</v>
      </c>
      <c r="C1260" s="1" t="n">
        <v>45471</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35438-2023</t>
        </is>
      </c>
      <c r="B1261" s="1" t="n">
        <v>45146</v>
      </c>
      <c r="C1261" s="1" t="n">
        <v>45471</v>
      </c>
      <c r="D1261" t="inlineStr">
        <is>
          <t>STOCKHOLMS LÄN</t>
        </is>
      </c>
      <c r="E1261" t="inlineStr">
        <is>
          <t>NORRTÄLJE</t>
        </is>
      </c>
      <c r="F1261" t="inlineStr">
        <is>
          <t>Kommuner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35698-2023</t>
        </is>
      </c>
      <c r="B1262" s="1" t="n">
        <v>45147</v>
      </c>
      <c r="C1262" s="1" t="n">
        <v>45471</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35702-2023</t>
        </is>
      </c>
      <c r="B1263" s="1" t="n">
        <v>45147</v>
      </c>
      <c r="C1263" s="1" t="n">
        <v>45471</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35691-2023</t>
        </is>
      </c>
      <c r="B1264" s="1" t="n">
        <v>45147</v>
      </c>
      <c r="C1264" s="1" t="n">
        <v>45471</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35695-2023</t>
        </is>
      </c>
      <c r="B1265" s="1" t="n">
        <v>45147</v>
      </c>
      <c r="C1265" s="1" t="n">
        <v>45471</v>
      </c>
      <c r="D1265" t="inlineStr">
        <is>
          <t>STOCKHOLMS LÄN</t>
        </is>
      </c>
      <c r="E1265" t="inlineStr">
        <is>
          <t>NORRTÄLJE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35696-2023</t>
        </is>
      </c>
      <c r="B1266" s="1" t="n">
        <v>45147</v>
      </c>
      <c r="C1266" s="1" t="n">
        <v>45471</v>
      </c>
      <c r="D1266" t="inlineStr">
        <is>
          <t>STOCKHOLMS LÄN</t>
        </is>
      </c>
      <c r="E1266" t="inlineStr">
        <is>
          <t>NORRTÄLJE</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35700-2023</t>
        </is>
      </c>
      <c r="B1267" s="1" t="n">
        <v>45147</v>
      </c>
      <c r="C1267" s="1" t="n">
        <v>45471</v>
      </c>
      <c r="D1267" t="inlineStr">
        <is>
          <t>STOCKHOLMS LÄN</t>
        </is>
      </c>
      <c r="E1267" t="inlineStr">
        <is>
          <t>NORRTÄLJE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35704-2023</t>
        </is>
      </c>
      <c r="B1268" s="1" t="n">
        <v>45147</v>
      </c>
      <c r="C1268" s="1" t="n">
        <v>45471</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35693-2023</t>
        </is>
      </c>
      <c r="B1269" s="1" t="n">
        <v>45147</v>
      </c>
      <c r="C1269" s="1" t="n">
        <v>45471</v>
      </c>
      <c r="D1269" t="inlineStr">
        <is>
          <t>STOCKHOLMS LÄN</t>
        </is>
      </c>
      <c r="E1269" t="inlineStr">
        <is>
          <t>NORRTÄLJE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35701-2023</t>
        </is>
      </c>
      <c r="B1270" s="1" t="n">
        <v>45147</v>
      </c>
      <c r="C1270" s="1" t="n">
        <v>45471</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35823-2023</t>
        </is>
      </c>
      <c r="B1271" s="1" t="n">
        <v>45148</v>
      </c>
      <c r="C1271" s="1" t="n">
        <v>45471</v>
      </c>
      <c r="D1271" t="inlineStr">
        <is>
          <t>STOCKHOLMS LÄN</t>
        </is>
      </c>
      <c r="E1271" t="inlineStr">
        <is>
          <t>NORRTÄLJE</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36253-2023</t>
        </is>
      </c>
      <c r="B1272" s="1" t="n">
        <v>45151</v>
      </c>
      <c r="C1272" s="1" t="n">
        <v>45471</v>
      </c>
      <c r="D1272" t="inlineStr">
        <is>
          <t>STOCKHOLMS LÄN</t>
        </is>
      </c>
      <c r="E1272" t="inlineStr">
        <is>
          <t>NORRTÄLJE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36257-2023</t>
        </is>
      </c>
      <c r="B1273" s="1" t="n">
        <v>45151</v>
      </c>
      <c r="C1273" s="1" t="n">
        <v>45471</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36259-2023</t>
        </is>
      </c>
      <c r="B1274" s="1" t="n">
        <v>45151</v>
      </c>
      <c r="C1274" s="1" t="n">
        <v>45471</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36254-2023</t>
        </is>
      </c>
      <c r="B1275" s="1" t="n">
        <v>45151</v>
      </c>
      <c r="C1275" s="1" t="n">
        <v>45471</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36258-2023</t>
        </is>
      </c>
      <c r="B1276" s="1" t="n">
        <v>45151</v>
      </c>
      <c r="C1276" s="1" t="n">
        <v>45471</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36689-2023</t>
        </is>
      </c>
      <c r="B1277" s="1" t="n">
        <v>45152</v>
      </c>
      <c r="C1277" s="1" t="n">
        <v>45471</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36865-2023</t>
        </is>
      </c>
      <c r="B1278" s="1" t="n">
        <v>45154</v>
      </c>
      <c r="C1278" s="1" t="n">
        <v>45471</v>
      </c>
      <c r="D1278" t="inlineStr">
        <is>
          <t>STOCKHOLMS LÄN</t>
        </is>
      </c>
      <c r="E1278" t="inlineStr">
        <is>
          <t>NORRTÄLJE</t>
        </is>
      </c>
      <c r="F1278" t="inlineStr">
        <is>
          <t>Kyrkan</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37139-2023</t>
        </is>
      </c>
      <c r="B1279" s="1" t="n">
        <v>45155</v>
      </c>
      <c r="C1279" s="1" t="n">
        <v>45471</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37136-2023</t>
        </is>
      </c>
      <c r="B1280" s="1" t="n">
        <v>45155</v>
      </c>
      <c r="C1280" s="1" t="n">
        <v>45471</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37147-2023</t>
        </is>
      </c>
      <c r="B1281" s="1" t="n">
        <v>45155</v>
      </c>
      <c r="C1281" s="1" t="n">
        <v>45471</v>
      </c>
      <c r="D1281" t="inlineStr">
        <is>
          <t>STOCKHOLMS LÄN</t>
        </is>
      </c>
      <c r="E1281" t="inlineStr">
        <is>
          <t>NORRTÄLJE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37670-2023</t>
        </is>
      </c>
      <c r="B1282" s="1" t="n">
        <v>45159</v>
      </c>
      <c r="C1282" s="1" t="n">
        <v>45471</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38049-2023</t>
        </is>
      </c>
      <c r="B1283" s="1" t="n">
        <v>45159</v>
      </c>
      <c r="C1283" s="1" t="n">
        <v>45471</v>
      </c>
      <c r="D1283" t="inlineStr">
        <is>
          <t>STOCKHOLMS LÄN</t>
        </is>
      </c>
      <c r="E1283" t="inlineStr">
        <is>
          <t>NORRTÄLJE</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38022-2023</t>
        </is>
      </c>
      <c r="B1284" s="1" t="n">
        <v>45160</v>
      </c>
      <c r="C1284" s="1" t="n">
        <v>45471</v>
      </c>
      <c r="D1284" t="inlineStr">
        <is>
          <t>STOCKHOLMS LÄN</t>
        </is>
      </c>
      <c r="E1284" t="inlineStr">
        <is>
          <t>NORRTÄLJE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38482-2023</t>
        </is>
      </c>
      <c r="B1285" s="1" t="n">
        <v>45162</v>
      </c>
      <c r="C1285" s="1" t="n">
        <v>45471</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38487-2023</t>
        </is>
      </c>
      <c r="B1286" s="1" t="n">
        <v>45162</v>
      </c>
      <c r="C1286" s="1" t="n">
        <v>45471</v>
      </c>
      <c r="D1286" t="inlineStr">
        <is>
          <t>STOCKHOLMS LÄN</t>
        </is>
      </c>
      <c r="E1286" t="inlineStr">
        <is>
          <t>NORRTÄLJE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38591-2023</t>
        </is>
      </c>
      <c r="B1287" s="1" t="n">
        <v>45162</v>
      </c>
      <c r="C1287" s="1" t="n">
        <v>45471</v>
      </c>
      <c r="D1287" t="inlineStr">
        <is>
          <t>STOCKHOLMS LÄN</t>
        </is>
      </c>
      <c r="E1287" t="inlineStr">
        <is>
          <t>NORRTÄLJE</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39229-2023</t>
        </is>
      </c>
      <c r="B1288" s="1" t="n">
        <v>45166</v>
      </c>
      <c r="C1288" s="1" t="n">
        <v>45471</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39879-2023</t>
        </is>
      </c>
      <c r="B1289" s="1" t="n">
        <v>45168</v>
      </c>
      <c r="C1289" s="1" t="n">
        <v>45471</v>
      </c>
      <c r="D1289" t="inlineStr">
        <is>
          <t>STOCKHOLMS LÄN</t>
        </is>
      </c>
      <c r="E1289" t="inlineStr">
        <is>
          <t>NORRTÄLJE</t>
        </is>
      </c>
      <c r="F1289" t="inlineStr">
        <is>
          <t>Holmen skog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39905-2023</t>
        </is>
      </c>
      <c r="B1290" s="1" t="n">
        <v>45168</v>
      </c>
      <c r="C1290" s="1" t="n">
        <v>45471</v>
      </c>
      <c r="D1290" t="inlineStr">
        <is>
          <t>STOCKHOLMS LÄN</t>
        </is>
      </c>
      <c r="E1290" t="inlineStr">
        <is>
          <t>NORRTÄLJE</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40139-2023</t>
        </is>
      </c>
      <c r="B1291" s="1" t="n">
        <v>45169</v>
      </c>
      <c r="C1291" s="1" t="n">
        <v>45471</v>
      </c>
      <c r="D1291" t="inlineStr">
        <is>
          <t>STOCKHOLMS LÄN</t>
        </is>
      </c>
      <c r="E1291" t="inlineStr">
        <is>
          <t>NORRTÄLJE</t>
        </is>
      </c>
      <c r="F1291" t="inlineStr">
        <is>
          <t>Kyrkan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40192-2023</t>
        </is>
      </c>
      <c r="B1292" s="1" t="n">
        <v>45169</v>
      </c>
      <c r="C1292" s="1" t="n">
        <v>45471</v>
      </c>
      <c r="D1292" t="inlineStr">
        <is>
          <t>STOCKHOLMS LÄN</t>
        </is>
      </c>
      <c r="E1292" t="inlineStr">
        <is>
          <t>NORRTÄLJE</t>
        </is>
      </c>
      <c r="F1292" t="inlineStr">
        <is>
          <t>Kyrkan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40161-2023</t>
        </is>
      </c>
      <c r="B1293" s="1" t="n">
        <v>45169</v>
      </c>
      <c r="C1293" s="1" t="n">
        <v>45471</v>
      </c>
      <c r="D1293" t="inlineStr">
        <is>
          <t>STOCKHOLMS LÄN</t>
        </is>
      </c>
      <c r="E1293" t="inlineStr">
        <is>
          <t>NORRTÄLJE</t>
        </is>
      </c>
      <c r="F1293" t="inlineStr">
        <is>
          <t>Kyrkan</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40190-2023</t>
        </is>
      </c>
      <c r="B1294" s="1" t="n">
        <v>45169</v>
      </c>
      <c r="C1294" s="1" t="n">
        <v>45471</v>
      </c>
      <c r="D1294" t="inlineStr">
        <is>
          <t>STOCKHOLMS LÄN</t>
        </is>
      </c>
      <c r="E1294" t="inlineStr">
        <is>
          <t>NORRTÄLJE</t>
        </is>
      </c>
      <c r="F1294" t="inlineStr">
        <is>
          <t>Kyrkan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40379-2023</t>
        </is>
      </c>
      <c r="B1295" s="1" t="n">
        <v>45169</v>
      </c>
      <c r="C1295" s="1" t="n">
        <v>45471</v>
      </c>
      <c r="D1295" t="inlineStr">
        <is>
          <t>STOCKHOLMS LÄN</t>
        </is>
      </c>
      <c r="E1295" t="inlineStr">
        <is>
          <t>NORRTÄLJE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41172-2023</t>
        </is>
      </c>
      <c r="B1296" s="1" t="n">
        <v>45170</v>
      </c>
      <c r="C1296" s="1" t="n">
        <v>45471</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40995-2023</t>
        </is>
      </c>
      <c r="B1297" s="1" t="n">
        <v>45173</v>
      </c>
      <c r="C1297" s="1" t="n">
        <v>45471</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41335-2023</t>
        </is>
      </c>
      <c r="B1298" s="1" t="n">
        <v>45174</v>
      </c>
      <c r="C1298" s="1" t="n">
        <v>45471</v>
      </c>
      <c r="D1298" t="inlineStr">
        <is>
          <t>STOCKHOLMS LÄN</t>
        </is>
      </c>
      <c r="E1298" t="inlineStr">
        <is>
          <t>NORRTÄLJE</t>
        </is>
      </c>
      <c r="F1298" t="inlineStr">
        <is>
          <t>Holmen skog AB</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41587-2023</t>
        </is>
      </c>
      <c r="B1299" s="1" t="n">
        <v>45175</v>
      </c>
      <c r="C1299" s="1" t="n">
        <v>45471</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41716-2023</t>
        </is>
      </c>
      <c r="B1300" s="1" t="n">
        <v>45176</v>
      </c>
      <c r="C1300" s="1" t="n">
        <v>45471</v>
      </c>
      <c r="D1300" t="inlineStr">
        <is>
          <t>STOCKHOLMS LÄN</t>
        </is>
      </c>
      <c r="E1300" t="inlineStr">
        <is>
          <t>NORRTÄLJE</t>
        </is>
      </c>
      <c r="F1300" t="inlineStr">
        <is>
          <t>Kyrkan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41715-2023</t>
        </is>
      </c>
      <c r="B1301" s="1" t="n">
        <v>45176</v>
      </c>
      <c r="C1301" s="1" t="n">
        <v>45471</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41880-2023</t>
        </is>
      </c>
      <c r="B1302" s="1" t="n">
        <v>45176</v>
      </c>
      <c r="C1302" s="1" t="n">
        <v>45471</v>
      </c>
      <c r="D1302" t="inlineStr">
        <is>
          <t>STOCKHOLMS LÄN</t>
        </is>
      </c>
      <c r="E1302" t="inlineStr">
        <is>
          <t>NORRTÄLJE</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42094-2023</t>
        </is>
      </c>
      <c r="B1303" s="1" t="n">
        <v>45177</v>
      </c>
      <c r="C1303" s="1" t="n">
        <v>45471</v>
      </c>
      <c r="D1303" t="inlineStr">
        <is>
          <t>STOCKHOLMS LÄN</t>
        </is>
      </c>
      <c r="E1303" t="inlineStr">
        <is>
          <t>NORRTÄLJE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42075-2023</t>
        </is>
      </c>
      <c r="B1304" s="1" t="n">
        <v>45177</v>
      </c>
      <c r="C1304" s="1" t="n">
        <v>45471</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42199-2023</t>
        </is>
      </c>
      <c r="B1305" s="1" t="n">
        <v>45179</v>
      </c>
      <c r="C1305" s="1" t="n">
        <v>45471</v>
      </c>
      <c r="D1305" t="inlineStr">
        <is>
          <t>STOCKHOLMS LÄN</t>
        </is>
      </c>
      <c r="E1305" t="inlineStr">
        <is>
          <t>NORRTÄLJE</t>
        </is>
      </c>
      <c r="F1305" t="inlineStr">
        <is>
          <t>Sveaskog</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42200-2023</t>
        </is>
      </c>
      <c r="B1306" s="1" t="n">
        <v>45179</v>
      </c>
      <c r="C1306" s="1" t="n">
        <v>45471</v>
      </c>
      <c r="D1306" t="inlineStr">
        <is>
          <t>STOCKHOLMS LÄN</t>
        </is>
      </c>
      <c r="E1306" t="inlineStr">
        <is>
          <t>NORRTÄLJE</t>
        </is>
      </c>
      <c r="F1306" t="inlineStr">
        <is>
          <t>Sveaskog</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42765-2023</t>
        </is>
      </c>
      <c r="B1307" s="1" t="n">
        <v>45181</v>
      </c>
      <c r="C1307" s="1" t="n">
        <v>45471</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42775-2023</t>
        </is>
      </c>
      <c r="B1308" s="1" t="n">
        <v>45181</v>
      </c>
      <c r="C1308" s="1" t="n">
        <v>45471</v>
      </c>
      <c r="D1308" t="inlineStr">
        <is>
          <t>STOCKHOLMS LÄN</t>
        </is>
      </c>
      <c r="E1308" t="inlineStr">
        <is>
          <t>NORRTÄLJE</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42948-2023</t>
        </is>
      </c>
      <c r="B1309" s="1" t="n">
        <v>45182</v>
      </c>
      <c r="C1309" s="1" t="n">
        <v>45471</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42977-2023</t>
        </is>
      </c>
      <c r="B1310" s="1" t="n">
        <v>45182</v>
      </c>
      <c r="C1310" s="1" t="n">
        <v>45471</v>
      </c>
      <c r="D1310" t="inlineStr">
        <is>
          <t>STOCKHOLMS LÄN</t>
        </is>
      </c>
      <c r="E1310" t="inlineStr">
        <is>
          <t>NORRTÄLJE</t>
        </is>
      </c>
      <c r="F1310" t="inlineStr">
        <is>
          <t>Sveaskog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43140-2023</t>
        </is>
      </c>
      <c r="B1311" s="1" t="n">
        <v>45183</v>
      </c>
      <c r="C1311" s="1" t="n">
        <v>45471</v>
      </c>
      <c r="D1311" t="inlineStr">
        <is>
          <t>STOCKHOLMS LÄN</t>
        </is>
      </c>
      <c r="E1311" t="inlineStr">
        <is>
          <t>NORRTÄLJE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43207-2023</t>
        </is>
      </c>
      <c r="B1312" s="1" t="n">
        <v>45183</v>
      </c>
      <c r="C1312" s="1" t="n">
        <v>45471</v>
      </c>
      <c r="D1312" t="inlineStr">
        <is>
          <t>STOCKHOLMS LÄN</t>
        </is>
      </c>
      <c r="E1312" t="inlineStr">
        <is>
          <t>NORRTÄLJE</t>
        </is>
      </c>
      <c r="F1312" t="inlineStr">
        <is>
          <t>Kyrkan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43150-2023</t>
        </is>
      </c>
      <c r="B1313" s="1" t="n">
        <v>45183</v>
      </c>
      <c r="C1313" s="1" t="n">
        <v>45471</v>
      </c>
      <c r="D1313" t="inlineStr">
        <is>
          <t>STOCKHOLMS LÄN</t>
        </is>
      </c>
      <c r="E1313" t="inlineStr">
        <is>
          <t>NORRTÄLJE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43170-2023</t>
        </is>
      </c>
      <c r="B1314" s="1" t="n">
        <v>45183</v>
      </c>
      <c r="C1314" s="1" t="n">
        <v>45471</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43289-2023</t>
        </is>
      </c>
      <c r="B1315" s="1" t="n">
        <v>45183</v>
      </c>
      <c r="C1315" s="1" t="n">
        <v>45471</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43300-2023</t>
        </is>
      </c>
      <c r="B1316" s="1" t="n">
        <v>45183</v>
      </c>
      <c r="C1316" s="1" t="n">
        <v>45471</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43638-2023</t>
        </is>
      </c>
      <c r="B1317" s="1" t="n">
        <v>45186</v>
      </c>
      <c r="C1317" s="1" t="n">
        <v>45471</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43684-2023</t>
        </is>
      </c>
      <c r="B1318" s="1" t="n">
        <v>45187</v>
      </c>
      <c r="C1318" s="1" t="n">
        <v>45471</v>
      </c>
      <c r="D1318" t="inlineStr">
        <is>
          <t>STOCKHOLMS LÄN</t>
        </is>
      </c>
      <c r="E1318" t="inlineStr">
        <is>
          <t>NORRTÄLJE</t>
        </is>
      </c>
      <c r="F1318" t="inlineStr">
        <is>
          <t>Holmen skog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43836-2023</t>
        </is>
      </c>
      <c r="B1319" s="1" t="n">
        <v>45187</v>
      </c>
      <c r="C1319" s="1" t="n">
        <v>45471</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43710-2023</t>
        </is>
      </c>
      <c r="B1320" s="1" t="n">
        <v>45187</v>
      </c>
      <c r="C1320" s="1" t="n">
        <v>45471</v>
      </c>
      <c r="D1320" t="inlineStr">
        <is>
          <t>STOCKHOLMS LÄN</t>
        </is>
      </c>
      <c r="E1320" t="inlineStr">
        <is>
          <t>NORRTÄLJE</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44891-2023</t>
        </is>
      </c>
      <c r="B1321" s="1" t="n">
        <v>45187</v>
      </c>
      <c r="C1321" s="1" t="n">
        <v>45471</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44885-2023</t>
        </is>
      </c>
      <c r="B1322" s="1" t="n">
        <v>45187</v>
      </c>
      <c r="C1322" s="1" t="n">
        <v>45471</v>
      </c>
      <c r="D1322" t="inlineStr">
        <is>
          <t>STOCKHOLMS LÄN</t>
        </is>
      </c>
      <c r="E1322" t="inlineStr">
        <is>
          <t>NORRTÄLJE</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44075-2023</t>
        </is>
      </c>
      <c r="B1323" s="1" t="n">
        <v>45188</v>
      </c>
      <c r="C1323" s="1" t="n">
        <v>45471</v>
      </c>
      <c r="D1323" t="inlineStr">
        <is>
          <t>STOCKHOLMS LÄN</t>
        </is>
      </c>
      <c r="E1323" t="inlineStr">
        <is>
          <t>NORRTÄLJE</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44154-2023</t>
        </is>
      </c>
      <c r="B1324" s="1" t="n">
        <v>45188</v>
      </c>
      <c r="C1324" s="1" t="n">
        <v>45471</v>
      </c>
      <c r="D1324" t="inlineStr">
        <is>
          <t>STOCKHOLMS LÄN</t>
        </is>
      </c>
      <c r="E1324" t="inlineStr">
        <is>
          <t>NORRTÄLJE</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44571-2023</t>
        </is>
      </c>
      <c r="B1325" s="1" t="n">
        <v>45189</v>
      </c>
      <c r="C1325" s="1" t="n">
        <v>45471</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44836-2023</t>
        </is>
      </c>
      <c r="B1326" s="1" t="n">
        <v>45190</v>
      </c>
      <c r="C1326" s="1" t="n">
        <v>45471</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45173-2023</t>
        </is>
      </c>
      <c r="B1327" s="1" t="n">
        <v>45191</v>
      </c>
      <c r="C1327" s="1" t="n">
        <v>45471</v>
      </c>
      <c r="D1327" t="inlineStr">
        <is>
          <t>STOCKHOLMS LÄN</t>
        </is>
      </c>
      <c r="E1327" t="inlineStr">
        <is>
          <t>NORRTÄLJE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45174-2023</t>
        </is>
      </c>
      <c r="B1328" s="1" t="n">
        <v>45191</v>
      </c>
      <c r="C1328" s="1" t="n">
        <v>45471</v>
      </c>
      <c r="D1328" t="inlineStr">
        <is>
          <t>STOCKHOLMS LÄN</t>
        </is>
      </c>
      <c r="E1328" t="inlineStr">
        <is>
          <t>NORRTÄLJE</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46161-2023</t>
        </is>
      </c>
      <c r="B1329" s="1" t="n">
        <v>45196</v>
      </c>
      <c r="C1329" s="1" t="n">
        <v>45471</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46155-2023</t>
        </is>
      </c>
      <c r="B1330" s="1" t="n">
        <v>45196</v>
      </c>
      <c r="C1330" s="1" t="n">
        <v>45471</v>
      </c>
      <c r="D1330" t="inlineStr">
        <is>
          <t>STOCKHOLMS LÄN</t>
        </is>
      </c>
      <c r="E1330" t="inlineStr">
        <is>
          <t>NORRTÄLJE</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46621-2023</t>
        </is>
      </c>
      <c r="B1331" s="1" t="n">
        <v>45198</v>
      </c>
      <c r="C1331" s="1" t="n">
        <v>45471</v>
      </c>
      <c r="D1331" t="inlineStr">
        <is>
          <t>STOCKHOLMS LÄN</t>
        </is>
      </c>
      <c r="E1331" t="inlineStr">
        <is>
          <t>NORRTÄLJE</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47419-2023</t>
        </is>
      </c>
      <c r="B1332" s="1" t="n">
        <v>45202</v>
      </c>
      <c r="C1332" s="1" t="n">
        <v>45471</v>
      </c>
      <c r="D1332" t="inlineStr">
        <is>
          <t>STOCKHOLMS LÄN</t>
        </is>
      </c>
      <c r="E1332" t="inlineStr">
        <is>
          <t>NORRTÄLJE</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47431-2023</t>
        </is>
      </c>
      <c r="B1333" s="1" t="n">
        <v>45202</v>
      </c>
      <c r="C1333" s="1" t="n">
        <v>45471</v>
      </c>
      <c r="D1333" t="inlineStr">
        <is>
          <t>STOCKHOLMS LÄN</t>
        </is>
      </c>
      <c r="E1333" t="inlineStr">
        <is>
          <t>NORRTÄLJE</t>
        </is>
      </c>
      <c r="F1333" t="inlineStr">
        <is>
          <t>Naturvårdsverket</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47325-2023</t>
        </is>
      </c>
      <c r="B1334" s="1" t="n">
        <v>45202</v>
      </c>
      <c r="C1334" s="1" t="n">
        <v>45471</v>
      </c>
      <c r="D1334" t="inlineStr">
        <is>
          <t>STOCKHOLMS LÄN</t>
        </is>
      </c>
      <c r="E1334" t="inlineStr">
        <is>
          <t>NORRTÄLJE</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47433-2023</t>
        </is>
      </c>
      <c r="B1335" s="1" t="n">
        <v>45202</v>
      </c>
      <c r="C1335" s="1" t="n">
        <v>45471</v>
      </c>
      <c r="D1335" t="inlineStr">
        <is>
          <t>STOCKHOLMS LÄN</t>
        </is>
      </c>
      <c r="E1335" t="inlineStr">
        <is>
          <t>NORRTÄLJE</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47388-2023</t>
        </is>
      </c>
      <c r="B1336" s="1" t="n">
        <v>45202</v>
      </c>
      <c r="C1336" s="1" t="n">
        <v>45471</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47430-2023</t>
        </is>
      </c>
      <c r="B1337" s="1" t="n">
        <v>45202</v>
      </c>
      <c r="C1337" s="1" t="n">
        <v>45471</v>
      </c>
      <c r="D1337" t="inlineStr">
        <is>
          <t>STOCKHOLMS LÄN</t>
        </is>
      </c>
      <c r="E1337" t="inlineStr">
        <is>
          <t>NORRTÄLJE</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49775-2023</t>
        </is>
      </c>
      <c r="B1338" s="1" t="n">
        <v>45202</v>
      </c>
      <c r="C1338" s="1" t="n">
        <v>45471</v>
      </c>
      <c r="D1338" t="inlineStr">
        <is>
          <t>STOCKHOLMS LÄN</t>
        </is>
      </c>
      <c r="E1338" t="inlineStr">
        <is>
          <t>NORRTÄLJE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48578-2023</t>
        </is>
      </c>
      <c r="B1339" s="1" t="n">
        <v>45202</v>
      </c>
      <c r="C1339" s="1" t="n">
        <v>45471</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49774-2023</t>
        </is>
      </c>
      <c r="B1340" s="1" t="n">
        <v>45202</v>
      </c>
      <c r="C1340" s="1" t="n">
        <v>45471</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47672-2023</t>
        </is>
      </c>
      <c r="B1341" s="1" t="n">
        <v>45203</v>
      </c>
      <c r="C1341" s="1" t="n">
        <v>45471</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47694-2023</t>
        </is>
      </c>
      <c r="B1342" s="1" t="n">
        <v>45203</v>
      </c>
      <c r="C1342" s="1" t="n">
        <v>45471</v>
      </c>
      <c r="D1342" t="inlineStr">
        <is>
          <t>STOCKHOLMS LÄN</t>
        </is>
      </c>
      <c r="E1342" t="inlineStr">
        <is>
          <t>NORRTÄLJE</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47708-2023</t>
        </is>
      </c>
      <c r="B1343" s="1" t="n">
        <v>45203</v>
      </c>
      <c r="C1343" s="1" t="n">
        <v>45471</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47758-2023</t>
        </is>
      </c>
      <c r="B1344" s="1" t="n">
        <v>45203</v>
      </c>
      <c r="C1344" s="1" t="n">
        <v>45471</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47699-2023</t>
        </is>
      </c>
      <c r="B1345" s="1" t="n">
        <v>45203</v>
      </c>
      <c r="C1345" s="1" t="n">
        <v>45471</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47735-2023</t>
        </is>
      </c>
      <c r="B1346" s="1" t="n">
        <v>45203</v>
      </c>
      <c r="C1346" s="1" t="n">
        <v>45471</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48167-2023</t>
        </is>
      </c>
      <c r="B1347" s="1" t="n">
        <v>45205</v>
      </c>
      <c r="C1347" s="1" t="n">
        <v>45471</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48180-2023</t>
        </is>
      </c>
      <c r="B1348" s="1" t="n">
        <v>45205</v>
      </c>
      <c r="C1348" s="1" t="n">
        <v>45471</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48185-2023</t>
        </is>
      </c>
      <c r="B1349" s="1" t="n">
        <v>45205</v>
      </c>
      <c r="C1349" s="1" t="n">
        <v>45471</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48302-2023</t>
        </is>
      </c>
      <c r="B1350" s="1" t="n">
        <v>45205</v>
      </c>
      <c r="C1350" s="1" t="n">
        <v>45471</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48333-2023</t>
        </is>
      </c>
      <c r="B1351" s="1" t="n">
        <v>45205</v>
      </c>
      <c r="C1351" s="1" t="n">
        <v>45471</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48541-2023</t>
        </is>
      </c>
      <c r="B1352" s="1" t="n">
        <v>45208</v>
      </c>
      <c r="C1352" s="1" t="n">
        <v>45471</v>
      </c>
      <c r="D1352" t="inlineStr">
        <is>
          <t>STOCKHOLMS LÄN</t>
        </is>
      </c>
      <c r="E1352" t="inlineStr">
        <is>
          <t>NORRTÄLJE</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48552-2023</t>
        </is>
      </c>
      <c r="B1353" s="1" t="n">
        <v>45208</v>
      </c>
      <c r="C1353" s="1" t="n">
        <v>45471</v>
      </c>
      <c r="D1353" t="inlineStr">
        <is>
          <t>STOCKHOLMS LÄN</t>
        </is>
      </c>
      <c r="E1353" t="inlineStr">
        <is>
          <t>NORRTÄLJE</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48587-2023</t>
        </is>
      </c>
      <c r="B1354" s="1" t="n">
        <v>45208</v>
      </c>
      <c r="C1354" s="1" t="n">
        <v>45471</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48633-2023</t>
        </is>
      </c>
      <c r="B1355" s="1" t="n">
        <v>45208</v>
      </c>
      <c r="C1355" s="1" t="n">
        <v>45471</v>
      </c>
      <c r="D1355" t="inlineStr">
        <is>
          <t>STOCKHOLMS LÄN</t>
        </is>
      </c>
      <c r="E1355" t="inlineStr">
        <is>
          <t>NORRTÄLJE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48641-2023</t>
        </is>
      </c>
      <c r="B1356" s="1" t="n">
        <v>45208</v>
      </c>
      <c r="C1356" s="1" t="n">
        <v>45471</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48686-2023</t>
        </is>
      </c>
      <c r="B1357" s="1" t="n">
        <v>45208</v>
      </c>
      <c r="C1357" s="1" t="n">
        <v>45471</v>
      </c>
      <c r="D1357" t="inlineStr">
        <is>
          <t>STOCKHOLMS LÄN</t>
        </is>
      </c>
      <c r="E1357" t="inlineStr">
        <is>
          <t>NORRTÄLJE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48629-2023</t>
        </is>
      </c>
      <c r="B1358" s="1" t="n">
        <v>45208</v>
      </c>
      <c r="C1358" s="1" t="n">
        <v>45471</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48668-2023</t>
        </is>
      </c>
      <c r="B1359" s="1" t="n">
        <v>45208</v>
      </c>
      <c r="C1359" s="1" t="n">
        <v>45471</v>
      </c>
      <c r="D1359" t="inlineStr">
        <is>
          <t>STOCKHOLMS LÄN</t>
        </is>
      </c>
      <c r="E1359" t="inlineStr">
        <is>
          <t>NORRTÄLJE</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48685-2023</t>
        </is>
      </c>
      <c r="B1360" s="1" t="n">
        <v>45208</v>
      </c>
      <c r="C1360" s="1" t="n">
        <v>45471</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48691-2023</t>
        </is>
      </c>
      <c r="B1361" s="1" t="n">
        <v>45208</v>
      </c>
      <c r="C1361" s="1" t="n">
        <v>45471</v>
      </c>
      <c r="D1361" t="inlineStr">
        <is>
          <t>STOCKHOLMS LÄN</t>
        </is>
      </c>
      <c r="E1361" t="inlineStr">
        <is>
          <t>NORRTÄLJE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48701-2023</t>
        </is>
      </c>
      <c r="B1362" s="1" t="n">
        <v>45208</v>
      </c>
      <c r="C1362" s="1" t="n">
        <v>45471</v>
      </c>
      <c r="D1362" t="inlineStr">
        <is>
          <t>STOCKHOLMS LÄN</t>
        </is>
      </c>
      <c r="E1362" t="inlineStr">
        <is>
          <t>NORRTÄLJE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48716-2023</t>
        </is>
      </c>
      <c r="B1363" s="1" t="n">
        <v>45208</v>
      </c>
      <c r="C1363" s="1" t="n">
        <v>45471</v>
      </c>
      <c r="D1363" t="inlineStr">
        <is>
          <t>STOCKHOLMS LÄN</t>
        </is>
      </c>
      <c r="E1363" t="inlineStr">
        <is>
          <t>NORRTÄLJE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48709-2023</t>
        </is>
      </c>
      <c r="B1364" s="1" t="n">
        <v>45208</v>
      </c>
      <c r="C1364" s="1" t="n">
        <v>45471</v>
      </c>
      <c r="D1364" t="inlineStr">
        <is>
          <t>STOCKHOLMS LÄN</t>
        </is>
      </c>
      <c r="E1364" t="inlineStr">
        <is>
          <t>NORRTÄLJE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48722-2023</t>
        </is>
      </c>
      <c r="B1365" s="1" t="n">
        <v>45208</v>
      </c>
      <c r="C1365" s="1" t="n">
        <v>45471</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48726-2023</t>
        </is>
      </c>
      <c r="B1366" s="1" t="n">
        <v>45208</v>
      </c>
      <c r="C1366" s="1" t="n">
        <v>45471</v>
      </c>
      <c r="D1366" t="inlineStr">
        <is>
          <t>STOCKHOLMS LÄN</t>
        </is>
      </c>
      <c r="E1366" t="inlineStr">
        <is>
          <t>NORRTÄLJE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49169-2023</t>
        </is>
      </c>
      <c r="B1367" s="1" t="n">
        <v>45210</v>
      </c>
      <c r="C1367" s="1" t="n">
        <v>45471</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49176-2023</t>
        </is>
      </c>
      <c r="B1368" s="1" t="n">
        <v>45210</v>
      </c>
      <c r="C1368" s="1" t="n">
        <v>45471</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49224-2023</t>
        </is>
      </c>
      <c r="B1369" s="1" t="n">
        <v>45210</v>
      </c>
      <c r="C1369" s="1" t="n">
        <v>45471</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49696-2023</t>
        </is>
      </c>
      <c r="B1370" s="1" t="n">
        <v>45212</v>
      </c>
      <c r="C1370" s="1" t="n">
        <v>45471</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49700-2023</t>
        </is>
      </c>
      <c r="B1371" s="1" t="n">
        <v>45212</v>
      </c>
      <c r="C1371" s="1" t="n">
        <v>45471</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49694-2023</t>
        </is>
      </c>
      <c r="B1372" s="1" t="n">
        <v>45212</v>
      </c>
      <c r="C1372" s="1" t="n">
        <v>45471</v>
      </c>
      <c r="D1372" t="inlineStr">
        <is>
          <t>STOCKHOLMS LÄN</t>
        </is>
      </c>
      <c r="E1372" t="inlineStr">
        <is>
          <t>NORRTÄLJE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50143-2023</t>
        </is>
      </c>
      <c r="B1373" s="1" t="n">
        <v>45215</v>
      </c>
      <c r="C1373" s="1" t="n">
        <v>45471</v>
      </c>
      <c r="D1373" t="inlineStr">
        <is>
          <t>STOCKHOLMS LÄN</t>
        </is>
      </c>
      <c r="E1373" t="inlineStr">
        <is>
          <t>NORRTÄLJE</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50107-2023</t>
        </is>
      </c>
      <c r="B1374" s="1" t="n">
        <v>45215</v>
      </c>
      <c r="C1374" s="1" t="n">
        <v>45471</v>
      </c>
      <c r="D1374" t="inlineStr">
        <is>
          <t>STOCKHOLMS LÄN</t>
        </is>
      </c>
      <c r="E1374" t="inlineStr">
        <is>
          <t>NORRTÄLJE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50033-2023</t>
        </is>
      </c>
      <c r="B1375" s="1" t="n">
        <v>45215</v>
      </c>
      <c r="C1375" s="1" t="n">
        <v>45471</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50136-2023</t>
        </is>
      </c>
      <c r="B1376" s="1" t="n">
        <v>45215</v>
      </c>
      <c r="C1376" s="1" t="n">
        <v>45471</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50150-2023</t>
        </is>
      </c>
      <c r="B1377" s="1" t="n">
        <v>45215</v>
      </c>
      <c r="C1377" s="1" t="n">
        <v>45471</v>
      </c>
      <c r="D1377" t="inlineStr">
        <is>
          <t>STOCKHOLMS LÄN</t>
        </is>
      </c>
      <c r="E1377" t="inlineStr">
        <is>
          <t>NORRTÄLJE</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50289-2023</t>
        </is>
      </c>
      <c r="B1378" s="1" t="n">
        <v>45216</v>
      </c>
      <c r="C1378" s="1" t="n">
        <v>45471</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50436-2023</t>
        </is>
      </c>
      <c r="B1379" s="1" t="n">
        <v>45216</v>
      </c>
      <c r="C1379" s="1" t="n">
        <v>45471</v>
      </c>
      <c r="D1379" t="inlineStr">
        <is>
          <t>STOCKHOLMS LÄN</t>
        </is>
      </c>
      <c r="E1379" t="inlineStr">
        <is>
          <t>NORRTÄLJE</t>
        </is>
      </c>
      <c r="G1379" t="n">
        <v>12.1</v>
      </c>
      <c r="H1379" t="n">
        <v>0</v>
      </c>
      <c r="I1379" t="n">
        <v>0</v>
      </c>
      <c r="J1379" t="n">
        <v>0</v>
      </c>
      <c r="K1379" t="n">
        <v>0</v>
      </c>
      <c r="L1379" t="n">
        <v>0</v>
      </c>
      <c r="M1379" t="n">
        <v>0</v>
      </c>
      <c r="N1379" t="n">
        <v>0</v>
      </c>
      <c r="O1379" t="n">
        <v>0</v>
      </c>
      <c r="P1379" t="n">
        <v>0</v>
      </c>
      <c r="Q1379" t="n">
        <v>0</v>
      </c>
      <c r="R1379" s="2" t="inlineStr"/>
    </row>
    <row r="1380" ht="15" customHeight="1">
      <c r="A1380" t="inlineStr">
        <is>
          <t>A 50690-2023</t>
        </is>
      </c>
      <c r="B1380" s="1" t="n">
        <v>45217</v>
      </c>
      <c r="C1380" s="1" t="n">
        <v>45471</v>
      </c>
      <c r="D1380" t="inlineStr">
        <is>
          <t>STOCKHOLMS LÄN</t>
        </is>
      </c>
      <c r="E1380" t="inlineStr">
        <is>
          <t>NORRTÄLJE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51049-2023</t>
        </is>
      </c>
      <c r="B1381" s="1" t="n">
        <v>45218</v>
      </c>
      <c r="C1381" s="1" t="n">
        <v>45471</v>
      </c>
      <c r="D1381" t="inlineStr">
        <is>
          <t>STOCKHOLMS LÄN</t>
        </is>
      </c>
      <c r="E1381" t="inlineStr">
        <is>
          <t>NORRTÄLJE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51063-2023</t>
        </is>
      </c>
      <c r="B1382" s="1" t="n">
        <v>45218</v>
      </c>
      <c r="C1382" s="1" t="n">
        <v>45471</v>
      </c>
      <c r="D1382" t="inlineStr">
        <is>
          <t>STOCKHOLMS LÄN</t>
        </is>
      </c>
      <c r="E1382" t="inlineStr">
        <is>
          <t>NORRTÄLJE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50880-2023</t>
        </is>
      </c>
      <c r="B1383" s="1" t="n">
        <v>45218</v>
      </c>
      <c r="C1383" s="1" t="n">
        <v>45471</v>
      </c>
      <c r="D1383" t="inlineStr">
        <is>
          <t>STOCKHOLMS LÄN</t>
        </is>
      </c>
      <c r="E1383" t="inlineStr">
        <is>
          <t>NORRTÄLJE</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51046-2023</t>
        </is>
      </c>
      <c r="B1384" s="1" t="n">
        <v>45218</v>
      </c>
      <c r="C1384" s="1" t="n">
        <v>45471</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51043-2023</t>
        </is>
      </c>
      <c r="B1385" s="1" t="n">
        <v>45218</v>
      </c>
      <c r="C1385" s="1" t="n">
        <v>45471</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51061-2023</t>
        </is>
      </c>
      <c r="B1386" s="1" t="n">
        <v>45218</v>
      </c>
      <c r="C1386" s="1" t="n">
        <v>45471</v>
      </c>
      <c r="D1386" t="inlineStr">
        <is>
          <t>STOCKHOLMS LÄN</t>
        </is>
      </c>
      <c r="E1386" t="inlineStr">
        <is>
          <t>NORRTÄLJE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51325-2023</t>
        </is>
      </c>
      <c r="B1387" s="1" t="n">
        <v>45219</v>
      </c>
      <c r="C1387" s="1" t="n">
        <v>45471</v>
      </c>
      <c r="D1387" t="inlineStr">
        <is>
          <t>STOCKHOLMS LÄN</t>
        </is>
      </c>
      <c r="E1387" t="inlineStr">
        <is>
          <t>NORRTÄLJE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51312-2023</t>
        </is>
      </c>
      <c r="B1388" s="1" t="n">
        <v>45219</v>
      </c>
      <c r="C1388" s="1" t="n">
        <v>45471</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51597-2023</t>
        </is>
      </c>
      <c r="B1389" s="1" t="n">
        <v>45222</v>
      </c>
      <c r="C1389" s="1" t="n">
        <v>45471</v>
      </c>
      <c r="D1389" t="inlineStr">
        <is>
          <t>STOCKHOLMS LÄN</t>
        </is>
      </c>
      <c r="E1389" t="inlineStr">
        <is>
          <t>NORRTÄLJE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51657-2023</t>
        </is>
      </c>
      <c r="B1390" s="1" t="n">
        <v>45222</v>
      </c>
      <c r="C1390" s="1" t="n">
        <v>45471</v>
      </c>
      <c r="D1390" t="inlineStr">
        <is>
          <t>STOCKHOLMS LÄN</t>
        </is>
      </c>
      <c r="E1390" t="inlineStr">
        <is>
          <t>NORRTÄLJE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51903-2023</t>
        </is>
      </c>
      <c r="B1391" s="1" t="n">
        <v>45223</v>
      </c>
      <c r="C1391" s="1" t="n">
        <v>45471</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52095-2023</t>
        </is>
      </c>
      <c r="B1392" s="1" t="n">
        <v>45223</v>
      </c>
      <c r="C1392" s="1" t="n">
        <v>45471</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51978-2023</t>
        </is>
      </c>
      <c r="B1393" s="1" t="n">
        <v>45223</v>
      </c>
      <c r="C1393" s="1" t="n">
        <v>45471</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51997-2023</t>
        </is>
      </c>
      <c r="B1394" s="1" t="n">
        <v>45223</v>
      </c>
      <c r="C1394" s="1" t="n">
        <v>45471</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52001-2023</t>
        </is>
      </c>
      <c r="B1395" s="1" t="n">
        <v>45223</v>
      </c>
      <c r="C1395" s="1" t="n">
        <v>45471</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52096-2023</t>
        </is>
      </c>
      <c r="B1396" s="1" t="n">
        <v>45223</v>
      </c>
      <c r="C1396" s="1" t="n">
        <v>45471</v>
      </c>
      <c r="D1396" t="inlineStr">
        <is>
          <t>STOCKHOLMS LÄN</t>
        </is>
      </c>
      <c r="E1396" t="inlineStr">
        <is>
          <t>NORRTÄLJE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53362-2023</t>
        </is>
      </c>
      <c r="B1397" s="1" t="n">
        <v>45223</v>
      </c>
      <c r="C1397" s="1" t="n">
        <v>45471</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53372-2023</t>
        </is>
      </c>
      <c r="B1398" s="1" t="n">
        <v>45223</v>
      </c>
      <c r="C1398" s="1" t="n">
        <v>45471</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52221-2023</t>
        </is>
      </c>
      <c r="B1399" s="1" t="n">
        <v>45224</v>
      </c>
      <c r="C1399" s="1" t="n">
        <v>45471</v>
      </c>
      <c r="D1399" t="inlineStr">
        <is>
          <t>STOCKHOLMS LÄN</t>
        </is>
      </c>
      <c r="E1399" t="inlineStr">
        <is>
          <t>NORRTÄLJE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53561-2023</t>
        </is>
      </c>
      <c r="B1400" s="1" t="n">
        <v>45224</v>
      </c>
      <c r="C1400" s="1" t="n">
        <v>45471</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53556-2023</t>
        </is>
      </c>
      <c r="B1401" s="1" t="n">
        <v>45224</v>
      </c>
      <c r="C1401" s="1" t="n">
        <v>45471</v>
      </c>
      <c r="D1401" t="inlineStr">
        <is>
          <t>STOCKHOLMS LÄN</t>
        </is>
      </c>
      <c r="E1401" t="inlineStr">
        <is>
          <t>NORRTÄLJE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52570-2023</t>
        </is>
      </c>
      <c r="B1402" s="1" t="n">
        <v>45225</v>
      </c>
      <c r="C1402" s="1" t="n">
        <v>45471</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52619-2023</t>
        </is>
      </c>
      <c r="B1403" s="1" t="n">
        <v>45225</v>
      </c>
      <c r="C1403" s="1" t="n">
        <v>45471</v>
      </c>
      <c r="D1403" t="inlineStr">
        <is>
          <t>STOCKHOLMS LÄN</t>
        </is>
      </c>
      <c r="E1403" t="inlineStr">
        <is>
          <t>NORRTÄLJE</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52875-2023</t>
        </is>
      </c>
      <c r="B1404" s="1" t="n">
        <v>45226</v>
      </c>
      <c r="C1404" s="1" t="n">
        <v>45471</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52899-2023</t>
        </is>
      </c>
      <c r="B1405" s="1" t="n">
        <v>45226</v>
      </c>
      <c r="C1405" s="1" t="n">
        <v>45471</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53563-2023</t>
        </is>
      </c>
      <c r="B1406" s="1" t="n">
        <v>45230</v>
      </c>
      <c r="C1406" s="1" t="n">
        <v>45471</v>
      </c>
      <c r="D1406" t="inlineStr">
        <is>
          <t>STOCKHOLMS LÄN</t>
        </is>
      </c>
      <c r="E1406" t="inlineStr">
        <is>
          <t>NORRTÄLJE</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53718-2023</t>
        </is>
      </c>
      <c r="B1407" s="1" t="n">
        <v>45230</v>
      </c>
      <c r="C1407" s="1" t="n">
        <v>45471</v>
      </c>
      <c r="D1407" t="inlineStr">
        <is>
          <t>STOCKHOLMS LÄN</t>
        </is>
      </c>
      <c r="E1407" t="inlineStr">
        <is>
          <t>NORRTÄLJE</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53787-2023</t>
        </is>
      </c>
      <c r="B1408" s="1" t="n">
        <v>45231</v>
      </c>
      <c r="C1408" s="1" t="n">
        <v>45471</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53792-2023</t>
        </is>
      </c>
      <c r="B1409" s="1" t="n">
        <v>45231</v>
      </c>
      <c r="C1409" s="1" t="n">
        <v>45471</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55518-2023</t>
        </is>
      </c>
      <c r="B1410" s="1" t="n">
        <v>45231</v>
      </c>
      <c r="C1410" s="1" t="n">
        <v>45471</v>
      </c>
      <c r="D1410" t="inlineStr">
        <is>
          <t>STOCKHOLMS LÄN</t>
        </is>
      </c>
      <c r="E1410" t="inlineStr">
        <is>
          <t>NORRTÄLJE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55533-2023</t>
        </is>
      </c>
      <c r="B1411" s="1" t="n">
        <v>45231</v>
      </c>
      <c r="C1411" s="1" t="n">
        <v>45471</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54259-2023</t>
        </is>
      </c>
      <c r="B1412" s="1" t="n">
        <v>45232</v>
      </c>
      <c r="C1412" s="1" t="n">
        <v>45471</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54546-2023</t>
        </is>
      </c>
      <c r="B1413" s="1" t="n">
        <v>45233</v>
      </c>
      <c r="C1413" s="1" t="n">
        <v>45471</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54776-2023</t>
        </is>
      </c>
      <c r="B1414" s="1" t="n">
        <v>45236</v>
      </c>
      <c r="C1414" s="1" t="n">
        <v>45471</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55038-2023</t>
        </is>
      </c>
      <c r="B1415" s="1" t="n">
        <v>45237</v>
      </c>
      <c r="C1415" s="1" t="n">
        <v>45471</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55243-2023</t>
        </is>
      </c>
      <c r="B1416" s="1" t="n">
        <v>45237</v>
      </c>
      <c r="C1416" s="1" t="n">
        <v>45471</v>
      </c>
      <c r="D1416" t="inlineStr">
        <is>
          <t>STOCKHOLMS LÄN</t>
        </is>
      </c>
      <c r="E1416" t="inlineStr">
        <is>
          <t>NORRTÄLJE</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55369-2023</t>
        </is>
      </c>
      <c r="B1417" s="1" t="n">
        <v>45238</v>
      </c>
      <c r="C1417" s="1" t="n">
        <v>45471</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55755-2023</t>
        </is>
      </c>
      <c r="B1418" s="1" t="n">
        <v>45239</v>
      </c>
      <c r="C1418" s="1" t="n">
        <v>45471</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56428-2023</t>
        </is>
      </c>
      <c r="B1419" s="1" t="n">
        <v>45243</v>
      </c>
      <c r="C1419" s="1" t="n">
        <v>45471</v>
      </c>
      <c r="D1419" t="inlineStr">
        <is>
          <t>STOCKHOLMS LÄN</t>
        </is>
      </c>
      <c r="E1419" t="inlineStr">
        <is>
          <t>NORRTÄLJE</t>
        </is>
      </c>
      <c r="F1419" t="inlineStr">
        <is>
          <t>Kyrkan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56439-2023</t>
        </is>
      </c>
      <c r="B1420" s="1" t="n">
        <v>45243</v>
      </c>
      <c r="C1420" s="1" t="n">
        <v>45471</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56445-2023</t>
        </is>
      </c>
      <c r="B1421" s="1" t="n">
        <v>45243</v>
      </c>
      <c r="C1421" s="1" t="n">
        <v>45471</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56577-2023</t>
        </is>
      </c>
      <c r="B1422" s="1" t="n">
        <v>45243</v>
      </c>
      <c r="C1422" s="1" t="n">
        <v>45471</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56593-2023</t>
        </is>
      </c>
      <c r="B1423" s="1" t="n">
        <v>45243</v>
      </c>
      <c r="C1423" s="1" t="n">
        <v>45471</v>
      </c>
      <c r="D1423" t="inlineStr">
        <is>
          <t>STOCKHOLMS LÄN</t>
        </is>
      </c>
      <c r="E1423" t="inlineStr">
        <is>
          <t>NORRTÄLJE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56819-2023</t>
        </is>
      </c>
      <c r="B1424" s="1" t="n">
        <v>45244</v>
      </c>
      <c r="C1424" s="1" t="n">
        <v>45471</v>
      </c>
      <c r="D1424" t="inlineStr">
        <is>
          <t>STOCKHOLMS LÄN</t>
        </is>
      </c>
      <c r="E1424" t="inlineStr">
        <is>
          <t>NORRTÄLJE</t>
        </is>
      </c>
      <c r="G1424" t="n">
        <v>13.6</v>
      </c>
      <c r="H1424" t="n">
        <v>0</v>
      </c>
      <c r="I1424" t="n">
        <v>0</v>
      </c>
      <c r="J1424" t="n">
        <v>0</v>
      </c>
      <c r="K1424" t="n">
        <v>0</v>
      </c>
      <c r="L1424" t="n">
        <v>0</v>
      </c>
      <c r="M1424" t="n">
        <v>0</v>
      </c>
      <c r="N1424" t="n">
        <v>0</v>
      </c>
      <c r="O1424" t="n">
        <v>0</v>
      </c>
      <c r="P1424" t="n">
        <v>0</v>
      </c>
      <c r="Q1424" t="n">
        <v>0</v>
      </c>
      <c r="R1424" s="2" t="inlineStr"/>
    </row>
    <row r="1425" ht="15" customHeight="1">
      <c r="A1425" t="inlineStr">
        <is>
          <t>A 58261-2023</t>
        </is>
      </c>
      <c r="B1425" s="1" t="n">
        <v>45245</v>
      </c>
      <c r="C1425" s="1" t="n">
        <v>45471</v>
      </c>
      <c r="D1425" t="inlineStr">
        <is>
          <t>STOCKHOLMS LÄN</t>
        </is>
      </c>
      <c r="E1425" t="inlineStr">
        <is>
          <t>NORRTÄLJE</t>
        </is>
      </c>
      <c r="G1425" t="n">
        <v>53.5</v>
      </c>
      <c r="H1425" t="n">
        <v>0</v>
      </c>
      <c r="I1425" t="n">
        <v>0</v>
      </c>
      <c r="J1425" t="n">
        <v>0</v>
      </c>
      <c r="K1425" t="n">
        <v>0</v>
      </c>
      <c r="L1425" t="n">
        <v>0</v>
      </c>
      <c r="M1425" t="n">
        <v>0</v>
      </c>
      <c r="N1425" t="n">
        <v>0</v>
      </c>
      <c r="O1425" t="n">
        <v>0</v>
      </c>
      <c r="P1425" t="n">
        <v>0</v>
      </c>
      <c r="Q1425" t="n">
        <v>0</v>
      </c>
      <c r="R1425" s="2" t="inlineStr"/>
    </row>
    <row r="1426" ht="15" customHeight="1">
      <c r="A1426" t="inlineStr">
        <is>
          <t>A 58209-2023</t>
        </is>
      </c>
      <c r="B1426" s="1" t="n">
        <v>45245</v>
      </c>
      <c r="C1426" s="1" t="n">
        <v>45471</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58227-2023</t>
        </is>
      </c>
      <c r="B1427" s="1" t="n">
        <v>45245</v>
      </c>
      <c r="C1427" s="1" t="n">
        <v>45471</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58291-2023</t>
        </is>
      </c>
      <c r="B1428" s="1" t="n">
        <v>45245</v>
      </c>
      <c r="C1428" s="1" t="n">
        <v>45471</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58277-2023</t>
        </is>
      </c>
      <c r="B1429" s="1" t="n">
        <v>45245</v>
      </c>
      <c r="C1429" s="1" t="n">
        <v>45471</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58213-2023</t>
        </is>
      </c>
      <c r="B1430" s="1" t="n">
        <v>45245</v>
      </c>
      <c r="C1430" s="1" t="n">
        <v>45471</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58311-2023</t>
        </is>
      </c>
      <c r="B1431" s="1" t="n">
        <v>45245</v>
      </c>
      <c r="C1431" s="1" t="n">
        <v>45471</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58300-2023</t>
        </is>
      </c>
      <c r="B1432" s="1" t="n">
        <v>45245</v>
      </c>
      <c r="C1432" s="1" t="n">
        <v>45471</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58260-2023</t>
        </is>
      </c>
      <c r="B1433" s="1" t="n">
        <v>45245</v>
      </c>
      <c r="C1433" s="1" t="n">
        <v>45471</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58297-2023</t>
        </is>
      </c>
      <c r="B1434" s="1" t="n">
        <v>45245</v>
      </c>
      <c r="C1434" s="1" t="n">
        <v>45471</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58306-2023</t>
        </is>
      </c>
      <c r="B1435" s="1" t="n">
        <v>45245</v>
      </c>
      <c r="C1435" s="1" t="n">
        <v>45471</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58404-2023</t>
        </is>
      </c>
      <c r="B1436" s="1" t="n">
        <v>45245</v>
      </c>
      <c r="C1436" s="1" t="n">
        <v>45471</v>
      </c>
      <c r="D1436" t="inlineStr">
        <is>
          <t>STOCKHOLMS LÄN</t>
        </is>
      </c>
      <c r="E1436" t="inlineStr">
        <is>
          <t>NORRTÄLJE</t>
        </is>
      </c>
      <c r="G1436" t="n">
        <v>53.5</v>
      </c>
      <c r="H1436" t="n">
        <v>0</v>
      </c>
      <c r="I1436" t="n">
        <v>0</v>
      </c>
      <c r="J1436" t="n">
        <v>0</v>
      </c>
      <c r="K1436" t="n">
        <v>0</v>
      </c>
      <c r="L1436" t="n">
        <v>0</v>
      </c>
      <c r="M1436" t="n">
        <v>0</v>
      </c>
      <c r="N1436" t="n">
        <v>0</v>
      </c>
      <c r="O1436" t="n">
        <v>0</v>
      </c>
      <c r="P1436" t="n">
        <v>0</v>
      </c>
      <c r="Q1436" t="n">
        <v>0</v>
      </c>
      <c r="R1436" s="2" t="inlineStr"/>
    </row>
    <row r="1437" ht="15" customHeight="1">
      <c r="A1437" t="inlineStr">
        <is>
          <t>A 58191-2023</t>
        </is>
      </c>
      <c r="B1437" s="1" t="n">
        <v>45250</v>
      </c>
      <c r="C1437" s="1" t="n">
        <v>45471</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58186-2023</t>
        </is>
      </c>
      <c r="B1438" s="1" t="n">
        <v>45250</v>
      </c>
      <c r="C1438" s="1" t="n">
        <v>45471</v>
      </c>
      <c r="D1438" t="inlineStr">
        <is>
          <t>STOCKHOLMS LÄN</t>
        </is>
      </c>
      <c r="E1438" t="inlineStr">
        <is>
          <t>NORRTÄLJE</t>
        </is>
      </c>
      <c r="F1438" t="inlineStr">
        <is>
          <t>Kyrkan</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58981-2023</t>
        </is>
      </c>
      <c r="B1439" s="1" t="n">
        <v>45250</v>
      </c>
      <c r="C1439" s="1" t="n">
        <v>45471</v>
      </c>
      <c r="D1439" t="inlineStr">
        <is>
          <t>STOCKHOLMS LÄN</t>
        </is>
      </c>
      <c r="E1439" t="inlineStr">
        <is>
          <t>NORRTÄLJE</t>
        </is>
      </c>
      <c r="F1439" t="inlineStr">
        <is>
          <t>Övriga statliga verk och myndigheter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58601-2023</t>
        </is>
      </c>
      <c r="B1440" s="1" t="n">
        <v>45251</v>
      </c>
      <c r="C1440" s="1" t="n">
        <v>45471</v>
      </c>
      <c r="D1440" t="inlineStr">
        <is>
          <t>STOCKHOLMS LÄN</t>
        </is>
      </c>
      <c r="E1440" t="inlineStr">
        <is>
          <t>NORRTÄLJE</t>
        </is>
      </c>
      <c r="F1440" t="inlineStr">
        <is>
          <t>Holmen skog AB</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59310-2023</t>
        </is>
      </c>
      <c r="B1441" s="1" t="n">
        <v>45253</v>
      </c>
      <c r="C1441" s="1" t="n">
        <v>45471</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59326-2023</t>
        </is>
      </c>
      <c r="B1442" s="1" t="n">
        <v>45253</v>
      </c>
      <c r="C1442" s="1" t="n">
        <v>45471</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59212-2023</t>
        </is>
      </c>
      <c r="B1443" s="1" t="n">
        <v>45253</v>
      </c>
      <c r="C1443" s="1" t="n">
        <v>45471</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59276-2023</t>
        </is>
      </c>
      <c r="B1444" s="1" t="n">
        <v>45253</v>
      </c>
      <c r="C1444" s="1" t="n">
        <v>45471</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59468-2023</t>
        </is>
      </c>
      <c r="B1445" s="1" t="n">
        <v>45254</v>
      </c>
      <c r="C1445" s="1" t="n">
        <v>45471</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59499-2023</t>
        </is>
      </c>
      <c r="B1446" s="1" t="n">
        <v>45254</v>
      </c>
      <c r="C1446" s="1" t="n">
        <v>45471</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59504-2023</t>
        </is>
      </c>
      <c r="B1447" s="1" t="n">
        <v>45254</v>
      </c>
      <c r="C1447" s="1" t="n">
        <v>45471</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59676-2023</t>
        </is>
      </c>
      <c r="B1448" s="1" t="n">
        <v>45255</v>
      </c>
      <c r="C1448" s="1" t="n">
        <v>45471</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59904-2023</t>
        </is>
      </c>
      <c r="B1449" s="1" t="n">
        <v>45257</v>
      </c>
      <c r="C1449" s="1" t="n">
        <v>45471</v>
      </c>
      <c r="D1449" t="inlineStr">
        <is>
          <t>STOCKHOLMS LÄN</t>
        </is>
      </c>
      <c r="E1449" t="inlineStr">
        <is>
          <t>NORRTÄLJE</t>
        </is>
      </c>
      <c r="G1449" t="n">
        <v>17.4</v>
      </c>
      <c r="H1449" t="n">
        <v>0</v>
      </c>
      <c r="I1449" t="n">
        <v>0</v>
      </c>
      <c r="J1449" t="n">
        <v>0</v>
      </c>
      <c r="K1449" t="n">
        <v>0</v>
      </c>
      <c r="L1449" t="n">
        <v>0</v>
      </c>
      <c r="M1449" t="n">
        <v>0</v>
      </c>
      <c r="N1449" t="n">
        <v>0</v>
      </c>
      <c r="O1449" t="n">
        <v>0</v>
      </c>
      <c r="P1449" t="n">
        <v>0</v>
      </c>
      <c r="Q1449" t="n">
        <v>0</v>
      </c>
      <c r="R1449" s="2" t="inlineStr"/>
    </row>
    <row r="1450" ht="15" customHeight="1">
      <c r="A1450" t="inlineStr">
        <is>
          <t>A 59906-2023</t>
        </is>
      </c>
      <c r="B1450" s="1" t="n">
        <v>45257</v>
      </c>
      <c r="C1450" s="1" t="n">
        <v>45471</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59992-2023</t>
        </is>
      </c>
      <c r="B1451" s="1" t="n">
        <v>45257</v>
      </c>
      <c r="C1451" s="1" t="n">
        <v>45471</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60224-2023</t>
        </is>
      </c>
      <c r="B1452" s="1" t="n">
        <v>45257</v>
      </c>
      <c r="C1452" s="1" t="n">
        <v>45471</v>
      </c>
      <c r="D1452" t="inlineStr">
        <is>
          <t>STOCKHOLMS LÄN</t>
        </is>
      </c>
      <c r="E1452" t="inlineStr">
        <is>
          <t>NORRTÄLJE</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60073-2023</t>
        </is>
      </c>
      <c r="B1453" s="1" t="n">
        <v>45258</v>
      </c>
      <c r="C1453" s="1" t="n">
        <v>45471</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60492-2023</t>
        </is>
      </c>
      <c r="B1454" s="1" t="n">
        <v>45259</v>
      </c>
      <c r="C1454" s="1" t="n">
        <v>45471</v>
      </c>
      <c r="D1454" t="inlineStr">
        <is>
          <t>STOCKHOLMS LÄN</t>
        </is>
      </c>
      <c r="E1454" t="inlineStr">
        <is>
          <t>NORRTÄLJE</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60529-2023</t>
        </is>
      </c>
      <c r="B1455" s="1" t="n">
        <v>45259</v>
      </c>
      <c r="C1455" s="1" t="n">
        <v>45471</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60822-2023</t>
        </is>
      </c>
      <c r="B1456" s="1" t="n">
        <v>45259</v>
      </c>
      <c r="C1456" s="1" t="n">
        <v>45471</v>
      </c>
      <c r="D1456" t="inlineStr">
        <is>
          <t>STOCKHOLMS LÄN</t>
        </is>
      </c>
      <c r="E1456" t="inlineStr">
        <is>
          <t>NORRTÄLJE</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60654-2023</t>
        </is>
      </c>
      <c r="B1457" s="1" t="n">
        <v>45260</v>
      </c>
      <c r="C1457" s="1" t="n">
        <v>45471</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60640-2023</t>
        </is>
      </c>
      <c r="B1458" s="1" t="n">
        <v>45260</v>
      </c>
      <c r="C1458" s="1" t="n">
        <v>45471</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60672-2023</t>
        </is>
      </c>
      <c r="B1459" s="1" t="n">
        <v>45260</v>
      </c>
      <c r="C1459" s="1" t="n">
        <v>45471</v>
      </c>
      <c r="D1459" t="inlineStr">
        <is>
          <t>STOCKHOLMS LÄN</t>
        </is>
      </c>
      <c r="E1459" t="inlineStr">
        <is>
          <t>NORRTÄLJE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60823-2023</t>
        </is>
      </c>
      <c r="B1460" s="1" t="n">
        <v>45260</v>
      </c>
      <c r="C1460" s="1" t="n">
        <v>45471</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60656-2023</t>
        </is>
      </c>
      <c r="B1461" s="1" t="n">
        <v>45260</v>
      </c>
      <c r="C1461" s="1" t="n">
        <v>45471</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60765-2023</t>
        </is>
      </c>
      <c r="B1462" s="1" t="n">
        <v>45260</v>
      </c>
      <c r="C1462" s="1" t="n">
        <v>45471</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61113-2023</t>
        </is>
      </c>
      <c r="B1463" s="1" t="n">
        <v>45261</v>
      </c>
      <c r="C1463" s="1" t="n">
        <v>45471</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62644-2023</t>
        </is>
      </c>
      <c r="B1464" s="1" t="n">
        <v>45271</v>
      </c>
      <c r="C1464" s="1" t="n">
        <v>45471</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62998-2023</t>
        </is>
      </c>
      <c r="B1465" s="1" t="n">
        <v>45272</v>
      </c>
      <c r="C1465" s="1" t="n">
        <v>45471</v>
      </c>
      <c r="D1465" t="inlineStr">
        <is>
          <t>STOCKHOLMS LÄN</t>
        </is>
      </c>
      <c r="E1465" t="inlineStr">
        <is>
          <t>NORRTÄLJE</t>
        </is>
      </c>
      <c r="G1465" t="n">
        <v>16.3</v>
      </c>
      <c r="H1465" t="n">
        <v>0</v>
      </c>
      <c r="I1465" t="n">
        <v>0</v>
      </c>
      <c r="J1465" t="n">
        <v>0</v>
      </c>
      <c r="K1465" t="n">
        <v>0</v>
      </c>
      <c r="L1465" t="n">
        <v>0</v>
      </c>
      <c r="M1465" t="n">
        <v>0</v>
      </c>
      <c r="N1465" t="n">
        <v>0</v>
      </c>
      <c r="O1465" t="n">
        <v>0</v>
      </c>
      <c r="P1465" t="n">
        <v>0</v>
      </c>
      <c r="Q1465" t="n">
        <v>0</v>
      </c>
      <c r="R1465" s="2" t="inlineStr"/>
    </row>
    <row r="1466" ht="15" customHeight="1">
      <c r="A1466" t="inlineStr">
        <is>
          <t>A 63015-2023</t>
        </is>
      </c>
      <c r="B1466" s="1" t="n">
        <v>45272</v>
      </c>
      <c r="C1466" s="1" t="n">
        <v>45471</v>
      </c>
      <c r="D1466" t="inlineStr">
        <is>
          <t>STOCKHOLMS LÄN</t>
        </is>
      </c>
      <c r="E1466" t="inlineStr">
        <is>
          <t>NORRTÄLJE</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62971-2023</t>
        </is>
      </c>
      <c r="B1467" s="1" t="n">
        <v>45272</v>
      </c>
      <c r="C1467" s="1" t="n">
        <v>45471</v>
      </c>
      <c r="D1467" t="inlineStr">
        <is>
          <t>STOCKHOLMS LÄN</t>
        </is>
      </c>
      <c r="E1467" t="inlineStr">
        <is>
          <t>NORRTÄLJE</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63013-2023</t>
        </is>
      </c>
      <c r="B1468" s="1" t="n">
        <v>45272</v>
      </c>
      <c r="C1468" s="1" t="n">
        <v>45471</v>
      </c>
      <c r="D1468" t="inlineStr">
        <is>
          <t>STOCKHOLMS LÄN</t>
        </is>
      </c>
      <c r="E1468" t="inlineStr">
        <is>
          <t>NORRTÄLJE</t>
        </is>
      </c>
      <c r="G1468" t="n">
        <v>14.9</v>
      </c>
      <c r="H1468" t="n">
        <v>0</v>
      </c>
      <c r="I1468" t="n">
        <v>0</v>
      </c>
      <c r="J1468" t="n">
        <v>0</v>
      </c>
      <c r="K1468" t="n">
        <v>0</v>
      </c>
      <c r="L1468" t="n">
        <v>0</v>
      </c>
      <c r="M1468" t="n">
        <v>0</v>
      </c>
      <c r="N1468" t="n">
        <v>0</v>
      </c>
      <c r="O1468" t="n">
        <v>0</v>
      </c>
      <c r="P1468" t="n">
        <v>0</v>
      </c>
      <c r="Q1468" t="n">
        <v>0</v>
      </c>
      <c r="R1468" s="2" t="inlineStr"/>
    </row>
    <row r="1469" ht="15" customHeight="1">
      <c r="A1469" t="inlineStr">
        <is>
          <t>A 63161-2023</t>
        </is>
      </c>
      <c r="B1469" s="1" t="n">
        <v>45273</v>
      </c>
      <c r="C1469" s="1" t="n">
        <v>45471</v>
      </c>
      <c r="D1469" t="inlineStr">
        <is>
          <t>STOCKHOLMS LÄN</t>
        </is>
      </c>
      <c r="E1469" t="inlineStr">
        <is>
          <t>NORRTÄLJE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63655-2023</t>
        </is>
      </c>
      <c r="B1470" s="1" t="n">
        <v>45275</v>
      </c>
      <c r="C1470" s="1" t="n">
        <v>45471</v>
      </c>
      <c r="D1470" t="inlineStr">
        <is>
          <t>STOCKHOLMS LÄN</t>
        </is>
      </c>
      <c r="E1470" t="inlineStr">
        <is>
          <t>NORRTÄLJE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64902-2023</t>
        </is>
      </c>
      <c r="B1471" s="1" t="n">
        <v>45282</v>
      </c>
      <c r="C1471" s="1" t="n">
        <v>45471</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64899-2023</t>
        </is>
      </c>
      <c r="B1472" s="1" t="n">
        <v>45282</v>
      </c>
      <c r="C1472" s="1" t="n">
        <v>45471</v>
      </c>
      <c r="D1472" t="inlineStr">
        <is>
          <t>STOCKHOLMS LÄN</t>
        </is>
      </c>
      <c r="E1472" t="inlineStr">
        <is>
          <t>NORRTÄLJE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9-2024</t>
        </is>
      </c>
      <c r="B1473" s="1" t="n">
        <v>45293</v>
      </c>
      <c r="C1473" s="1" t="n">
        <v>45471</v>
      </c>
      <c r="D1473" t="inlineStr">
        <is>
          <t>STOCKHOLMS LÄN</t>
        </is>
      </c>
      <c r="E1473" t="inlineStr">
        <is>
          <t>NORRTÄLJE</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13-2024</t>
        </is>
      </c>
      <c r="B1474" s="1" t="n">
        <v>45293</v>
      </c>
      <c r="C1474" s="1" t="n">
        <v>45471</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11-2024</t>
        </is>
      </c>
      <c r="B1475" s="1" t="n">
        <v>45293</v>
      </c>
      <c r="C1475" s="1" t="n">
        <v>45471</v>
      </c>
      <c r="D1475" t="inlineStr">
        <is>
          <t>STOCKHOLMS LÄN</t>
        </is>
      </c>
      <c r="E1475" t="inlineStr">
        <is>
          <t>NORRTÄLJE</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19-2024</t>
        </is>
      </c>
      <c r="B1476" s="1" t="n">
        <v>45293</v>
      </c>
      <c r="C1476" s="1" t="n">
        <v>45471</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329-2024</t>
        </is>
      </c>
      <c r="B1477" s="1" t="n">
        <v>45295</v>
      </c>
      <c r="C1477" s="1" t="n">
        <v>45471</v>
      </c>
      <c r="D1477" t="inlineStr">
        <is>
          <t>STOCKHOLMS LÄN</t>
        </is>
      </c>
      <c r="E1477" t="inlineStr">
        <is>
          <t>NORRTÄLJE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498-2024</t>
        </is>
      </c>
      <c r="B1478" s="1" t="n">
        <v>45299</v>
      </c>
      <c r="C1478" s="1" t="n">
        <v>45471</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577-2024</t>
        </is>
      </c>
      <c r="B1479" s="1" t="n">
        <v>45299</v>
      </c>
      <c r="C1479" s="1" t="n">
        <v>45471</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1372-2024</t>
        </is>
      </c>
      <c r="B1480" s="1" t="n">
        <v>45303</v>
      </c>
      <c r="C1480" s="1" t="n">
        <v>45471</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1996-2024</t>
        </is>
      </c>
      <c r="B1481" s="1" t="n">
        <v>45308</v>
      </c>
      <c r="C1481" s="1" t="n">
        <v>45471</v>
      </c>
      <c r="D1481" t="inlineStr">
        <is>
          <t>STOCKHOLMS LÄN</t>
        </is>
      </c>
      <c r="E1481" t="inlineStr">
        <is>
          <t>NORRTÄLJE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2287-2024</t>
        </is>
      </c>
      <c r="B1482" s="1" t="n">
        <v>45310</v>
      </c>
      <c r="C1482" s="1" t="n">
        <v>45471</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2281-2024</t>
        </is>
      </c>
      <c r="B1483" s="1" t="n">
        <v>45310</v>
      </c>
      <c r="C1483" s="1" t="n">
        <v>45471</v>
      </c>
      <c r="D1483" t="inlineStr">
        <is>
          <t>STOCKHOLMS LÄN</t>
        </is>
      </c>
      <c r="E1483" t="inlineStr">
        <is>
          <t>NORRTÄLJE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2613-2024</t>
        </is>
      </c>
      <c r="B1484" s="1" t="n">
        <v>45313</v>
      </c>
      <c r="C1484" s="1" t="n">
        <v>45471</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2611-2024</t>
        </is>
      </c>
      <c r="B1485" s="1" t="n">
        <v>45313</v>
      </c>
      <c r="C1485" s="1" t="n">
        <v>45471</v>
      </c>
      <c r="D1485" t="inlineStr">
        <is>
          <t>STOCKHOLMS LÄN</t>
        </is>
      </c>
      <c r="E1485" t="inlineStr">
        <is>
          <t>NORRTÄLJE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3084-2024</t>
        </is>
      </c>
      <c r="B1486" s="1" t="n">
        <v>45316</v>
      </c>
      <c r="C1486" s="1" t="n">
        <v>45471</v>
      </c>
      <c r="D1486" t="inlineStr">
        <is>
          <t>STOCKHOLMS LÄN</t>
        </is>
      </c>
      <c r="E1486" t="inlineStr">
        <is>
          <t>NORRTÄLJE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3152-2024</t>
        </is>
      </c>
      <c r="B1487" s="1" t="n">
        <v>45316</v>
      </c>
      <c r="C1487" s="1" t="n">
        <v>45471</v>
      </c>
      <c r="D1487" t="inlineStr">
        <is>
          <t>STOCKHOLMS LÄN</t>
        </is>
      </c>
      <c r="E1487" t="inlineStr">
        <is>
          <t>NORRTÄLJE</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3381-2024</t>
        </is>
      </c>
      <c r="B1488" s="1" t="n">
        <v>45317</v>
      </c>
      <c r="C1488" s="1" t="n">
        <v>45471</v>
      </c>
      <c r="D1488" t="inlineStr">
        <is>
          <t>STOCKHOLMS LÄN</t>
        </is>
      </c>
      <c r="E1488" t="inlineStr">
        <is>
          <t>NORRTÄLJE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3942-2024</t>
        </is>
      </c>
      <c r="B1489" s="1" t="n">
        <v>45322</v>
      </c>
      <c r="C1489" s="1" t="n">
        <v>45471</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3966-2024</t>
        </is>
      </c>
      <c r="B1490" s="1" t="n">
        <v>45322</v>
      </c>
      <c r="C1490" s="1" t="n">
        <v>45471</v>
      </c>
      <c r="D1490" t="inlineStr">
        <is>
          <t>STOCKHOLMS LÄN</t>
        </is>
      </c>
      <c r="E1490" t="inlineStr">
        <is>
          <t>NORRTÄLJE</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4051-2024</t>
        </is>
      </c>
      <c r="B1491" s="1" t="n">
        <v>45323</v>
      </c>
      <c r="C1491" s="1" t="n">
        <v>45471</v>
      </c>
      <c r="D1491" t="inlineStr">
        <is>
          <t>STOCKHOLMS LÄN</t>
        </is>
      </c>
      <c r="E1491" t="inlineStr">
        <is>
          <t>NORRTÄLJE</t>
        </is>
      </c>
      <c r="F1491" t="inlineStr">
        <is>
          <t>Kyrkan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4542-2024</t>
        </is>
      </c>
      <c r="B1492" s="1" t="n">
        <v>45327</v>
      </c>
      <c r="C1492" s="1" t="n">
        <v>45471</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4658-2024</t>
        </is>
      </c>
      <c r="B1493" s="1" t="n">
        <v>45328</v>
      </c>
      <c r="C1493" s="1" t="n">
        <v>45471</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4730-2024</t>
        </is>
      </c>
      <c r="B1494" s="1" t="n">
        <v>45328</v>
      </c>
      <c r="C1494" s="1" t="n">
        <v>45471</v>
      </c>
      <c r="D1494" t="inlineStr">
        <is>
          <t>STOCKHOLMS LÄN</t>
        </is>
      </c>
      <c r="E1494" t="inlineStr">
        <is>
          <t>NORRTÄLJE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5158-2024</t>
        </is>
      </c>
      <c r="B1495" s="1" t="n">
        <v>45330</v>
      </c>
      <c r="C1495" s="1" t="n">
        <v>45471</v>
      </c>
      <c r="D1495" t="inlineStr">
        <is>
          <t>STOCKHOLMS LÄN</t>
        </is>
      </c>
      <c r="E1495" t="inlineStr">
        <is>
          <t>NORRTÄLJE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5670-2024</t>
        </is>
      </c>
      <c r="B1496" s="1" t="n">
        <v>45334</v>
      </c>
      <c r="C1496" s="1" t="n">
        <v>45471</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5664-2024</t>
        </is>
      </c>
      <c r="B1497" s="1" t="n">
        <v>45334</v>
      </c>
      <c r="C1497" s="1" t="n">
        <v>45471</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5683-2024</t>
        </is>
      </c>
      <c r="B1498" s="1" t="n">
        <v>45334</v>
      </c>
      <c r="C1498" s="1" t="n">
        <v>45471</v>
      </c>
      <c r="D1498" t="inlineStr">
        <is>
          <t>STOCKHOLMS LÄN</t>
        </is>
      </c>
      <c r="E1498" t="inlineStr">
        <is>
          <t>NORRTÄLJE</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5625-2024</t>
        </is>
      </c>
      <c r="B1499" s="1" t="n">
        <v>45334</v>
      </c>
      <c r="C1499" s="1" t="n">
        <v>45471</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5862-2024</t>
        </is>
      </c>
      <c r="B1500" s="1" t="n">
        <v>45335</v>
      </c>
      <c r="C1500" s="1" t="n">
        <v>45471</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5831-2024</t>
        </is>
      </c>
      <c r="B1501" s="1" t="n">
        <v>45335</v>
      </c>
      <c r="C1501" s="1" t="n">
        <v>45471</v>
      </c>
      <c r="D1501" t="inlineStr">
        <is>
          <t>STOCKHOLMS LÄN</t>
        </is>
      </c>
      <c r="E1501" t="inlineStr">
        <is>
          <t>NORRTÄLJE</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5894-2024</t>
        </is>
      </c>
      <c r="B1502" s="1" t="n">
        <v>45335</v>
      </c>
      <c r="C1502" s="1" t="n">
        <v>45471</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6401-2024</t>
        </is>
      </c>
      <c r="B1503" s="1" t="n">
        <v>45338</v>
      </c>
      <c r="C1503" s="1" t="n">
        <v>45471</v>
      </c>
      <c r="D1503" t="inlineStr">
        <is>
          <t>STOCKHOLMS LÄN</t>
        </is>
      </c>
      <c r="E1503" t="inlineStr">
        <is>
          <t>NORRTÄLJE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6537-2024</t>
        </is>
      </c>
      <c r="B1504" s="1" t="n">
        <v>45341</v>
      </c>
      <c r="C1504" s="1" t="n">
        <v>45471</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7009-2024</t>
        </is>
      </c>
      <c r="B1505" s="1" t="n">
        <v>45343</v>
      </c>
      <c r="C1505" s="1" t="n">
        <v>45471</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7186-2024</t>
        </is>
      </c>
      <c r="B1506" s="1" t="n">
        <v>45344</v>
      </c>
      <c r="C1506" s="1" t="n">
        <v>45471</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7408-2024</t>
        </is>
      </c>
      <c r="B1507" s="1" t="n">
        <v>45345</v>
      </c>
      <c r="C1507" s="1" t="n">
        <v>45471</v>
      </c>
      <c r="D1507" t="inlineStr">
        <is>
          <t>STOCKHOLMS LÄN</t>
        </is>
      </c>
      <c r="E1507" t="inlineStr">
        <is>
          <t>NORRTÄLJE</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7573-2024</t>
        </is>
      </c>
      <c r="B1508" s="1" t="n">
        <v>45345</v>
      </c>
      <c r="C1508" s="1" t="n">
        <v>45471</v>
      </c>
      <c r="D1508" t="inlineStr">
        <is>
          <t>STOCKHOLMS LÄN</t>
        </is>
      </c>
      <c r="E1508" t="inlineStr">
        <is>
          <t>NORRTÄLJE</t>
        </is>
      </c>
      <c r="F1508" t="inlineStr">
        <is>
          <t>Övriga Aktiebolag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7425-2024</t>
        </is>
      </c>
      <c r="B1509" s="1" t="n">
        <v>45345</v>
      </c>
      <c r="C1509" s="1" t="n">
        <v>45471</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7413-2024</t>
        </is>
      </c>
      <c r="B1510" s="1" t="n">
        <v>45345</v>
      </c>
      <c r="C1510" s="1" t="n">
        <v>45471</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7385-2024</t>
        </is>
      </c>
      <c r="B1511" s="1" t="n">
        <v>45345</v>
      </c>
      <c r="C1511" s="1" t="n">
        <v>45471</v>
      </c>
      <c r="D1511" t="inlineStr">
        <is>
          <t>STOCKHOLMS LÄN</t>
        </is>
      </c>
      <c r="E1511" t="inlineStr">
        <is>
          <t>NORRTÄLJE</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7329-2024</t>
        </is>
      </c>
      <c r="B1512" s="1" t="n">
        <v>45345</v>
      </c>
      <c r="C1512" s="1" t="n">
        <v>45471</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7483-2024</t>
        </is>
      </c>
      <c r="B1513" s="1" t="n">
        <v>45346</v>
      </c>
      <c r="C1513" s="1" t="n">
        <v>45471</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7571-2024</t>
        </is>
      </c>
      <c r="B1514" s="1" t="n">
        <v>45348</v>
      </c>
      <c r="C1514" s="1" t="n">
        <v>45471</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8270-2024</t>
        </is>
      </c>
      <c r="B1515" s="1" t="n">
        <v>45352</v>
      </c>
      <c r="C1515" s="1" t="n">
        <v>45471</v>
      </c>
      <c r="D1515" t="inlineStr">
        <is>
          <t>STOCKHOLMS LÄN</t>
        </is>
      </c>
      <c r="E1515" t="inlineStr">
        <is>
          <t>NORRTÄLJE</t>
        </is>
      </c>
      <c r="F1515" t="inlineStr">
        <is>
          <t>Kyrkan</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8399-2024</t>
        </is>
      </c>
      <c r="B1516" s="1" t="n">
        <v>45352</v>
      </c>
      <c r="C1516" s="1" t="n">
        <v>45471</v>
      </c>
      <c r="D1516" t="inlineStr">
        <is>
          <t>STOCKHOLMS LÄN</t>
        </is>
      </c>
      <c r="E1516" t="inlineStr">
        <is>
          <t>NORRTÄLJE</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8365-2024</t>
        </is>
      </c>
      <c r="B1517" s="1" t="n">
        <v>45352</v>
      </c>
      <c r="C1517" s="1" t="n">
        <v>45471</v>
      </c>
      <c r="D1517" t="inlineStr">
        <is>
          <t>STOCKHOLMS LÄN</t>
        </is>
      </c>
      <c r="E1517" t="inlineStr">
        <is>
          <t>NORRTÄLJE</t>
        </is>
      </c>
      <c r="F1517" t="inlineStr">
        <is>
          <t>Naturvårdsverket</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8400-2024</t>
        </is>
      </c>
      <c r="B1518" s="1" t="n">
        <v>45352</v>
      </c>
      <c r="C1518" s="1" t="n">
        <v>45471</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8401-2024</t>
        </is>
      </c>
      <c r="B1519" s="1" t="n">
        <v>45352</v>
      </c>
      <c r="C1519" s="1" t="n">
        <v>45471</v>
      </c>
      <c r="D1519" t="inlineStr">
        <is>
          <t>STOCKHOLMS LÄN</t>
        </is>
      </c>
      <c r="E1519" t="inlineStr">
        <is>
          <t>NORRTÄLJE</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8739-2024</t>
        </is>
      </c>
      <c r="B1520" s="1" t="n">
        <v>45356</v>
      </c>
      <c r="C1520" s="1" t="n">
        <v>45471</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8736-2024</t>
        </is>
      </c>
      <c r="B1521" s="1" t="n">
        <v>45356</v>
      </c>
      <c r="C1521" s="1" t="n">
        <v>45471</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9246-2024</t>
        </is>
      </c>
      <c r="B1522" s="1" t="n">
        <v>45357</v>
      </c>
      <c r="C1522" s="1" t="n">
        <v>45471</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9300-2024</t>
        </is>
      </c>
      <c r="B1523" s="1" t="n">
        <v>45358</v>
      </c>
      <c r="C1523" s="1" t="n">
        <v>45471</v>
      </c>
      <c r="D1523" t="inlineStr">
        <is>
          <t>STOCKHOLMS LÄN</t>
        </is>
      </c>
      <c r="E1523" t="inlineStr">
        <is>
          <t>NORRTÄLJE</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9297-2024</t>
        </is>
      </c>
      <c r="B1524" s="1" t="n">
        <v>45358</v>
      </c>
      <c r="C1524" s="1" t="n">
        <v>45471</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9301-2024</t>
        </is>
      </c>
      <c r="B1525" s="1" t="n">
        <v>45358</v>
      </c>
      <c r="C1525" s="1" t="n">
        <v>45471</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9305-2024</t>
        </is>
      </c>
      <c r="B1526" s="1" t="n">
        <v>45358</v>
      </c>
      <c r="C1526" s="1" t="n">
        <v>45471</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9765-2024</t>
        </is>
      </c>
      <c r="B1527" s="1" t="n">
        <v>45362</v>
      </c>
      <c r="C1527" s="1" t="n">
        <v>45471</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9959-2024</t>
        </is>
      </c>
      <c r="B1528" s="1" t="n">
        <v>45363</v>
      </c>
      <c r="C1528" s="1" t="n">
        <v>45471</v>
      </c>
      <c r="D1528" t="inlineStr">
        <is>
          <t>STOCKHOLMS LÄN</t>
        </is>
      </c>
      <c r="E1528" t="inlineStr">
        <is>
          <t>NORRTÄLJE</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10258-2024</t>
        </is>
      </c>
      <c r="B1529" s="1" t="n">
        <v>45365</v>
      </c>
      <c r="C1529" s="1" t="n">
        <v>45471</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10279-2024</t>
        </is>
      </c>
      <c r="B1530" s="1" t="n">
        <v>45365</v>
      </c>
      <c r="C1530" s="1" t="n">
        <v>45471</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10643-2024</t>
        </is>
      </c>
      <c r="B1531" s="1" t="n">
        <v>45367</v>
      </c>
      <c r="C1531" s="1" t="n">
        <v>45471</v>
      </c>
      <c r="D1531" t="inlineStr">
        <is>
          <t>STOCKHOLMS LÄN</t>
        </is>
      </c>
      <c r="E1531" t="inlineStr">
        <is>
          <t>NORRTÄLJE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10840-2024</t>
        </is>
      </c>
      <c r="B1532" s="1" t="n">
        <v>45369</v>
      </c>
      <c r="C1532" s="1" t="n">
        <v>45471</v>
      </c>
      <c r="D1532" t="inlineStr">
        <is>
          <t>STOCKHOLMS LÄN</t>
        </is>
      </c>
      <c r="E1532" t="inlineStr">
        <is>
          <t>NORRTÄLJE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10810-2024</t>
        </is>
      </c>
      <c r="B1533" s="1" t="n">
        <v>45369</v>
      </c>
      <c r="C1533" s="1" t="n">
        <v>45471</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10930-2024</t>
        </is>
      </c>
      <c r="B1534" s="1" t="n">
        <v>45370</v>
      </c>
      <c r="C1534" s="1" t="n">
        <v>45471</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11062-2024</t>
        </is>
      </c>
      <c r="B1535" s="1" t="n">
        <v>45370</v>
      </c>
      <c r="C1535" s="1" t="n">
        <v>45471</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10968-2024</t>
        </is>
      </c>
      <c r="B1536" s="1" t="n">
        <v>45370</v>
      </c>
      <c r="C1536" s="1" t="n">
        <v>45471</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11902-2024</t>
        </is>
      </c>
      <c r="B1537" s="1" t="n">
        <v>45376</v>
      </c>
      <c r="C1537" s="1" t="n">
        <v>45471</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11926-2024</t>
        </is>
      </c>
      <c r="B1538" s="1" t="n">
        <v>45376</v>
      </c>
      <c r="C1538" s="1" t="n">
        <v>45471</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11896-2024</t>
        </is>
      </c>
      <c r="B1539" s="1" t="n">
        <v>45376</v>
      </c>
      <c r="C1539" s="1" t="n">
        <v>45471</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11900-2024</t>
        </is>
      </c>
      <c r="B1540" s="1" t="n">
        <v>45376</v>
      </c>
      <c r="C1540" s="1" t="n">
        <v>45471</v>
      </c>
      <c r="D1540" t="inlineStr">
        <is>
          <t>STOCKHOLMS LÄN</t>
        </is>
      </c>
      <c r="E1540" t="inlineStr">
        <is>
          <t>NORRTÄLJE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11924-2024</t>
        </is>
      </c>
      <c r="B1541" s="1" t="n">
        <v>45376</v>
      </c>
      <c r="C1541" s="1" t="n">
        <v>45471</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11893-2024</t>
        </is>
      </c>
      <c r="B1542" s="1" t="n">
        <v>45376</v>
      </c>
      <c r="C1542" s="1" t="n">
        <v>45471</v>
      </c>
      <c r="D1542" t="inlineStr">
        <is>
          <t>STOCKHOLMS LÄN</t>
        </is>
      </c>
      <c r="E1542" t="inlineStr">
        <is>
          <t>NORRTÄLJE</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11901-2024</t>
        </is>
      </c>
      <c r="B1543" s="1" t="n">
        <v>45376</v>
      </c>
      <c r="C1543" s="1" t="n">
        <v>45471</v>
      </c>
      <c r="D1543" t="inlineStr">
        <is>
          <t>STOCKHOLMS LÄN</t>
        </is>
      </c>
      <c r="E1543" t="inlineStr">
        <is>
          <t>NORRTÄLJE</t>
        </is>
      </c>
      <c r="F1543" t="inlineStr">
        <is>
          <t>Holmen skog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11929-2024</t>
        </is>
      </c>
      <c r="B1544" s="1" t="n">
        <v>45376</v>
      </c>
      <c r="C1544" s="1" t="n">
        <v>45471</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11996-2024</t>
        </is>
      </c>
      <c r="B1545" s="1" t="n">
        <v>45376</v>
      </c>
      <c r="C1545" s="1" t="n">
        <v>45471</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11997-2024</t>
        </is>
      </c>
      <c r="B1546" s="1" t="n">
        <v>45377</v>
      </c>
      <c r="C1546" s="1" t="n">
        <v>45471</v>
      </c>
      <c r="D1546" t="inlineStr">
        <is>
          <t>STOCKHOLMS LÄN</t>
        </is>
      </c>
      <c r="E1546" t="inlineStr">
        <is>
          <t>NORRTÄLJE</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12135-2024</t>
        </is>
      </c>
      <c r="B1547" s="1" t="n">
        <v>45377</v>
      </c>
      <c r="C1547" s="1" t="n">
        <v>45471</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12022-2024</t>
        </is>
      </c>
      <c r="B1548" s="1" t="n">
        <v>45377</v>
      </c>
      <c r="C1548" s="1" t="n">
        <v>45471</v>
      </c>
      <c r="D1548" t="inlineStr">
        <is>
          <t>STOCKHOLMS LÄN</t>
        </is>
      </c>
      <c r="E1548" t="inlineStr">
        <is>
          <t>NORRTÄLJE</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12323-2024</t>
        </is>
      </c>
      <c r="B1549" s="1" t="n">
        <v>45378</v>
      </c>
      <c r="C1549" s="1" t="n">
        <v>45471</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12470-2024</t>
        </is>
      </c>
      <c r="B1550" s="1" t="n">
        <v>45379</v>
      </c>
      <c r="C1550" s="1" t="n">
        <v>45471</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12560-2024</t>
        </is>
      </c>
      <c r="B1551" s="1" t="n">
        <v>45379</v>
      </c>
      <c r="C1551" s="1" t="n">
        <v>45471</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12629-2024</t>
        </is>
      </c>
      <c r="B1552" s="1" t="n">
        <v>45383</v>
      </c>
      <c r="C1552" s="1" t="n">
        <v>45471</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12896-2024</t>
        </is>
      </c>
      <c r="B1553" s="1" t="n">
        <v>45385</v>
      </c>
      <c r="C1553" s="1" t="n">
        <v>45471</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12904-2024</t>
        </is>
      </c>
      <c r="B1554" s="1" t="n">
        <v>45385</v>
      </c>
      <c r="C1554" s="1" t="n">
        <v>45471</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12901-2024</t>
        </is>
      </c>
      <c r="B1555" s="1" t="n">
        <v>45385</v>
      </c>
      <c r="C1555" s="1" t="n">
        <v>45471</v>
      </c>
      <c r="D1555" t="inlineStr">
        <is>
          <t>STOCKHOLMS LÄN</t>
        </is>
      </c>
      <c r="E1555" t="inlineStr">
        <is>
          <t>NORRTÄLJE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45471</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12902-2024</t>
        </is>
      </c>
      <c r="B1557" s="1" t="n">
        <v>45385</v>
      </c>
      <c r="C1557" s="1" t="n">
        <v>45471</v>
      </c>
      <c r="D1557" t="inlineStr">
        <is>
          <t>STOCKHOLMS LÄN</t>
        </is>
      </c>
      <c r="E1557" t="inlineStr">
        <is>
          <t>NORRTÄLJE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13115-2024</t>
        </is>
      </c>
      <c r="B1558" s="1" t="n">
        <v>45385</v>
      </c>
      <c r="C1558" s="1" t="n">
        <v>45471</v>
      </c>
      <c r="D1558" t="inlineStr">
        <is>
          <t>STOCKHOLMS LÄN</t>
        </is>
      </c>
      <c r="E1558" t="inlineStr">
        <is>
          <t>NORRTÄLJE</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13137-2024</t>
        </is>
      </c>
      <c r="B1559" s="1" t="n">
        <v>45386</v>
      </c>
      <c r="C1559" s="1" t="n">
        <v>45471</v>
      </c>
      <c r="D1559" t="inlineStr">
        <is>
          <t>STOCKHOLMS LÄN</t>
        </is>
      </c>
      <c r="E1559" t="inlineStr">
        <is>
          <t>NORRTÄLJE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13241-2024</t>
        </is>
      </c>
      <c r="B1560" s="1" t="n">
        <v>45386</v>
      </c>
      <c r="C1560" s="1" t="n">
        <v>45471</v>
      </c>
      <c r="D1560" t="inlineStr">
        <is>
          <t>STOCKHOLMS LÄN</t>
        </is>
      </c>
      <c r="E1560" t="inlineStr">
        <is>
          <t>NORRTÄLJE</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13391-2024</t>
        </is>
      </c>
      <c r="B1561" s="1" t="n">
        <v>45387</v>
      </c>
      <c r="C1561" s="1" t="n">
        <v>45471</v>
      </c>
      <c r="D1561" t="inlineStr">
        <is>
          <t>STOCKHOLMS LÄN</t>
        </is>
      </c>
      <c r="E1561" t="inlineStr">
        <is>
          <t>NORRTÄLJE</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13785-2024</t>
        </is>
      </c>
      <c r="B1562" s="1" t="n">
        <v>45391</v>
      </c>
      <c r="C1562" s="1" t="n">
        <v>45471</v>
      </c>
      <c r="D1562" t="inlineStr">
        <is>
          <t>STOCKHOLMS LÄN</t>
        </is>
      </c>
      <c r="E1562" t="inlineStr">
        <is>
          <t>NORRTÄLJE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14530-2024</t>
        </is>
      </c>
      <c r="B1563" s="1" t="n">
        <v>45394</v>
      </c>
      <c r="C1563" s="1" t="n">
        <v>45471</v>
      </c>
      <c r="D1563" t="inlineStr">
        <is>
          <t>STOCKHOLMS LÄN</t>
        </is>
      </c>
      <c r="E1563" t="inlineStr">
        <is>
          <t>NORRTÄLJE</t>
        </is>
      </c>
      <c r="F1563" t="inlineStr">
        <is>
          <t>Kyrkan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14498-2024</t>
        </is>
      </c>
      <c r="B1564" s="1" t="n">
        <v>45394</v>
      </c>
      <c r="C1564" s="1" t="n">
        <v>45471</v>
      </c>
      <c r="D1564" t="inlineStr">
        <is>
          <t>STOCKHOLMS LÄN</t>
        </is>
      </c>
      <c r="E1564" t="inlineStr">
        <is>
          <t>NORRTÄLJE</t>
        </is>
      </c>
      <c r="F1564" t="inlineStr">
        <is>
          <t>Kyrkan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14559-2024</t>
        </is>
      </c>
      <c r="B1565" s="1" t="n">
        <v>45394</v>
      </c>
      <c r="C1565" s="1" t="n">
        <v>45471</v>
      </c>
      <c r="D1565" t="inlineStr">
        <is>
          <t>STOCKHOLMS LÄN</t>
        </is>
      </c>
      <c r="E1565" t="inlineStr">
        <is>
          <t>NORRTÄLJE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14751-2024</t>
        </is>
      </c>
      <c r="B1566" s="1" t="n">
        <v>45397</v>
      </c>
      <c r="C1566" s="1" t="n">
        <v>45471</v>
      </c>
      <c r="D1566" t="inlineStr">
        <is>
          <t>STOCKHOLMS LÄN</t>
        </is>
      </c>
      <c r="E1566" t="inlineStr">
        <is>
          <t>NORRTÄLJE</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14762-2024</t>
        </is>
      </c>
      <c r="B1567" s="1" t="n">
        <v>45397</v>
      </c>
      <c r="C1567" s="1" t="n">
        <v>45471</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15278-2024</t>
        </is>
      </c>
      <c r="B1568" s="1" t="n">
        <v>45400</v>
      </c>
      <c r="C1568" s="1" t="n">
        <v>45471</v>
      </c>
      <c r="D1568" t="inlineStr">
        <is>
          <t>STOCKHOLMS LÄN</t>
        </is>
      </c>
      <c r="E1568" t="inlineStr">
        <is>
          <t>NORRTÄLJE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15347-2024</t>
        </is>
      </c>
      <c r="B1569" s="1" t="n">
        <v>45400</v>
      </c>
      <c r="C1569" s="1" t="n">
        <v>45471</v>
      </c>
      <c r="D1569" t="inlineStr">
        <is>
          <t>STOCKHOLMS LÄN</t>
        </is>
      </c>
      <c r="E1569" t="inlineStr">
        <is>
          <t>NORRTÄLJE</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15317-2024</t>
        </is>
      </c>
      <c r="B1570" s="1" t="n">
        <v>45400</v>
      </c>
      <c r="C1570" s="1" t="n">
        <v>45471</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15429-2024</t>
        </is>
      </c>
      <c r="B1571" s="1" t="n">
        <v>45401</v>
      </c>
      <c r="C1571" s="1" t="n">
        <v>45471</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15422-2024</t>
        </is>
      </c>
      <c r="B1572" s="1" t="n">
        <v>45401</v>
      </c>
      <c r="C1572" s="1" t="n">
        <v>45471</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15470-2024</t>
        </is>
      </c>
      <c r="B1573" s="1" t="n">
        <v>45401</v>
      </c>
      <c r="C1573" s="1" t="n">
        <v>45471</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15428-2024</t>
        </is>
      </c>
      <c r="B1574" s="1" t="n">
        <v>45401</v>
      </c>
      <c r="C1574" s="1" t="n">
        <v>45471</v>
      </c>
      <c r="D1574" t="inlineStr">
        <is>
          <t>STOCKHOLMS LÄN</t>
        </is>
      </c>
      <c r="E1574" t="inlineStr">
        <is>
          <t>NORRTÄLJE</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15415-2024</t>
        </is>
      </c>
      <c r="B1575" s="1" t="n">
        <v>45401</v>
      </c>
      <c r="C1575" s="1" t="n">
        <v>45471</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15956-2024</t>
        </is>
      </c>
      <c r="B1576" s="1" t="n">
        <v>45405</v>
      </c>
      <c r="C1576" s="1" t="n">
        <v>45471</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15978-2024</t>
        </is>
      </c>
      <c r="B1577" s="1" t="n">
        <v>45405</v>
      </c>
      <c r="C1577" s="1" t="n">
        <v>45471</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16072-2024</t>
        </is>
      </c>
      <c r="B1578" s="1" t="n">
        <v>45406</v>
      </c>
      <c r="C1578" s="1" t="n">
        <v>45471</v>
      </c>
      <c r="D1578" t="inlineStr">
        <is>
          <t>STOCKHOLMS LÄN</t>
        </is>
      </c>
      <c r="E1578" t="inlineStr">
        <is>
          <t>NORRTÄLJE</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16071-2024</t>
        </is>
      </c>
      <c r="B1579" s="1" t="n">
        <v>45406</v>
      </c>
      <c r="C1579" s="1" t="n">
        <v>45471</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16075-2024</t>
        </is>
      </c>
      <c r="B1580" s="1" t="n">
        <v>45406</v>
      </c>
      <c r="C1580" s="1" t="n">
        <v>45471</v>
      </c>
      <c r="D1580" t="inlineStr">
        <is>
          <t>STOCKHOLMS LÄN</t>
        </is>
      </c>
      <c r="E1580" t="inlineStr">
        <is>
          <t>NORRTÄLJE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16620-2024</t>
        </is>
      </c>
      <c r="B1581" s="1" t="n">
        <v>45408</v>
      </c>
      <c r="C1581" s="1" t="n">
        <v>45471</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16852-2024</t>
        </is>
      </c>
      <c r="B1582" s="1" t="n">
        <v>45411</v>
      </c>
      <c r="C1582" s="1" t="n">
        <v>45471</v>
      </c>
      <c r="D1582" t="inlineStr">
        <is>
          <t>STOCKHOLMS LÄN</t>
        </is>
      </c>
      <c r="E1582" t="inlineStr">
        <is>
          <t>NORRTÄLJE</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17013-2024</t>
        </is>
      </c>
      <c r="B1583" s="1" t="n">
        <v>45412</v>
      </c>
      <c r="C1583" s="1" t="n">
        <v>45471</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17039-2024</t>
        </is>
      </c>
      <c r="B1584" s="1" t="n">
        <v>45412</v>
      </c>
      <c r="C1584" s="1" t="n">
        <v>45471</v>
      </c>
      <c r="D1584" t="inlineStr">
        <is>
          <t>STOCKHOLMS LÄN</t>
        </is>
      </c>
      <c r="E1584" t="inlineStr">
        <is>
          <t>NORRTÄLJE</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17348-2024</t>
        </is>
      </c>
      <c r="B1585" s="1" t="n">
        <v>45414</v>
      </c>
      <c r="C1585" s="1" t="n">
        <v>45471</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17304-2024</t>
        </is>
      </c>
      <c r="B1586" s="1" t="n">
        <v>45414</v>
      </c>
      <c r="C1586" s="1" t="n">
        <v>45471</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17354-2024</t>
        </is>
      </c>
      <c r="B1587" s="1" t="n">
        <v>45414</v>
      </c>
      <c r="C1587" s="1" t="n">
        <v>45471</v>
      </c>
      <c r="D1587" t="inlineStr">
        <is>
          <t>STOCKHOLMS LÄN</t>
        </is>
      </c>
      <c r="E1587" t="inlineStr">
        <is>
          <t>NORRTÄLJE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17385-2024</t>
        </is>
      </c>
      <c r="B1588" s="1" t="n">
        <v>45414</v>
      </c>
      <c r="C1588" s="1" t="n">
        <v>45471</v>
      </c>
      <c r="D1588" t="inlineStr">
        <is>
          <t>STOCKHOLMS LÄN</t>
        </is>
      </c>
      <c r="E1588" t="inlineStr">
        <is>
          <t>NORRTÄLJE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17382-2024</t>
        </is>
      </c>
      <c r="B1589" s="1" t="n">
        <v>45414</v>
      </c>
      <c r="C1589" s="1" t="n">
        <v>45471</v>
      </c>
      <c r="D1589" t="inlineStr">
        <is>
          <t>STOCKHOLMS LÄN</t>
        </is>
      </c>
      <c r="E1589" t="inlineStr">
        <is>
          <t>NORRTÄLJE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17397-2024</t>
        </is>
      </c>
      <c r="B1590" s="1" t="n">
        <v>45414</v>
      </c>
      <c r="C1590" s="1" t="n">
        <v>45471</v>
      </c>
      <c r="D1590" t="inlineStr">
        <is>
          <t>STOCKHOLMS LÄN</t>
        </is>
      </c>
      <c r="E1590" t="inlineStr">
        <is>
          <t>NORRTÄLJE</t>
        </is>
      </c>
      <c r="F1590" t="inlineStr">
        <is>
          <t>Holmen skog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17554-2024</t>
        </is>
      </c>
      <c r="B1591" s="1" t="n">
        <v>45415</v>
      </c>
      <c r="C1591" s="1" t="n">
        <v>45471</v>
      </c>
      <c r="D1591" t="inlineStr">
        <is>
          <t>STOCKHOLMS LÄN</t>
        </is>
      </c>
      <c r="E1591" t="inlineStr">
        <is>
          <t>NORRTÄLJE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17775-2024</t>
        </is>
      </c>
      <c r="B1592" s="1" t="n">
        <v>45418</v>
      </c>
      <c r="C1592" s="1" t="n">
        <v>45471</v>
      </c>
      <c r="D1592" t="inlineStr">
        <is>
          <t>STOCKHOLMS LÄN</t>
        </is>
      </c>
      <c r="E1592" t="inlineStr">
        <is>
          <t>NORRTÄLJE</t>
        </is>
      </c>
      <c r="F1592" t="inlineStr">
        <is>
          <t>Holmen skog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17785-2024</t>
        </is>
      </c>
      <c r="B1593" s="1" t="n">
        <v>45418</v>
      </c>
      <c r="C1593" s="1" t="n">
        <v>45471</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17843-2024</t>
        </is>
      </c>
      <c r="B1594" s="1" t="n">
        <v>45418</v>
      </c>
      <c r="C1594" s="1" t="n">
        <v>45471</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18331-2024</t>
        </is>
      </c>
      <c r="B1595" s="1" t="n">
        <v>45422</v>
      </c>
      <c r="C1595" s="1" t="n">
        <v>45471</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18285-2024</t>
        </is>
      </c>
      <c r="B1596" s="1" t="n">
        <v>45422</v>
      </c>
      <c r="C1596" s="1" t="n">
        <v>45471</v>
      </c>
      <c r="D1596" t="inlineStr">
        <is>
          <t>STOCKHOLMS LÄN</t>
        </is>
      </c>
      <c r="E1596" t="inlineStr">
        <is>
          <t>NORRTÄLJE</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18287-2024</t>
        </is>
      </c>
      <c r="B1597" s="1" t="n">
        <v>45422</v>
      </c>
      <c r="C1597" s="1" t="n">
        <v>45471</v>
      </c>
      <c r="D1597" t="inlineStr">
        <is>
          <t>STOCKHOLMS LÄN</t>
        </is>
      </c>
      <c r="E1597" t="inlineStr">
        <is>
          <t>NORRTÄLJE</t>
        </is>
      </c>
      <c r="F1597" t="inlineStr">
        <is>
          <t>Sveaskog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19058-2024</t>
        </is>
      </c>
      <c r="B1598" s="1" t="n">
        <v>45427</v>
      </c>
      <c r="C1598" s="1" t="n">
        <v>45471</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19057-2024</t>
        </is>
      </c>
      <c r="B1599" s="1" t="n">
        <v>45427</v>
      </c>
      <c r="C1599" s="1" t="n">
        <v>45471</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19150-2024</t>
        </is>
      </c>
      <c r="B1600" s="1" t="n">
        <v>45428</v>
      </c>
      <c r="C1600" s="1" t="n">
        <v>45471</v>
      </c>
      <c r="D1600" t="inlineStr">
        <is>
          <t>STOCKHOLMS LÄN</t>
        </is>
      </c>
      <c r="E1600" t="inlineStr">
        <is>
          <t>NORRTÄLJE</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19915-2024</t>
        </is>
      </c>
      <c r="B1601" s="1" t="n">
        <v>45433</v>
      </c>
      <c r="C1601" s="1" t="n">
        <v>45471</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19919-2024</t>
        </is>
      </c>
      <c r="B1602" s="1" t="n">
        <v>45433</v>
      </c>
      <c r="C1602" s="1" t="n">
        <v>45471</v>
      </c>
      <c r="D1602" t="inlineStr">
        <is>
          <t>STOCKHOLMS LÄN</t>
        </is>
      </c>
      <c r="E1602" t="inlineStr">
        <is>
          <t>NORRTÄLJE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20336-2024</t>
        </is>
      </c>
      <c r="B1603" s="1" t="n">
        <v>45435</v>
      </c>
      <c r="C1603" s="1" t="n">
        <v>45471</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20345-2024</t>
        </is>
      </c>
      <c r="B1604" s="1" t="n">
        <v>45435</v>
      </c>
      <c r="C1604" s="1" t="n">
        <v>45471</v>
      </c>
      <c r="D1604" t="inlineStr">
        <is>
          <t>STOCKHOLMS LÄN</t>
        </is>
      </c>
      <c r="E1604" t="inlineStr">
        <is>
          <t>NORRTÄLJE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20343-2024</t>
        </is>
      </c>
      <c r="B1605" s="1" t="n">
        <v>45435</v>
      </c>
      <c r="C1605" s="1" t="n">
        <v>45471</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20393-2024</t>
        </is>
      </c>
      <c r="B1606" s="1" t="n">
        <v>45435</v>
      </c>
      <c r="C1606" s="1" t="n">
        <v>45471</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20445-2024</t>
        </is>
      </c>
      <c r="B1607" s="1" t="n">
        <v>45435</v>
      </c>
      <c r="C1607" s="1" t="n">
        <v>45471</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20428-2024</t>
        </is>
      </c>
      <c r="B1608" s="1" t="n">
        <v>45435</v>
      </c>
      <c r="C1608" s="1" t="n">
        <v>45471</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20460-2024</t>
        </is>
      </c>
      <c r="B1609" s="1" t="n">
        <v>45435</v>
      </c>
      <c r="C1609" s="1" t="n">
        <v>45471</v>
      </c>
      <c r="D1609" t="inlineStr">
        <is>
          <t>STOCKHOLMS LÄN</t>
        </is>
      </c>
      <c r="E1609" t="inlineStr">
        <is>
          <t>NORRTÄLJE</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20464-2024</t>
        </is>
      </c>
      <c r="B1610" s="1" t="n">
        <v>45435</v>
      </c>
      <c r="C1610" s="1" t="n">
        <v>45471</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20431-2024</t>
        </is>
      </c>
      <c r="B1611" s="1" t="n">
        <v>45435</v>
      </c>
      <c r="C1611" s="1" t="n">
        <v>45471</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20680-2024</t>
        </is>
      </c>
      <c r="B1612" s="1" t="n">
        <v>45436</v>
      </c>
      <c r="C1612" s="1" t="n">
        <v>45471</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20698-2024</t>
        </is>
      </c>
      <c r="B1613" s="1" t="n">
        <v>45436</v>
      </c>
      <c r="C1613" s="1" t="n">
        <v>45471</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20730-2024</t>
        </is>
      </c>
      <c r="B1614" s="1" t="n">
        <v>45436</v>
      </c>
      <c r="C1614" s="1" t="n">
        <v>45471</v>
      </c>
      <c r="D1614" t="inlineStr">
        <is>
          <t>STOCKHOLMS LÄN</t>
        </is>
      </c>
      <c r="E1614" t="inlineStr">
        <is>
          <t>NORRTÄLJE</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20825-2024</t>
        </is>
      </c>
      <c r="B1615" s="1" t="n">
        <v>45439</v>
      </c>
      <c r="C1615" s="1" t="n">
        <v>45471</v>
      </c>
      <c r="D1615" t="inlineStr">
        <is>
          <t>STOCKHOLMS LÄN</t>
        </is>
      </c>
      <c r="E1615" t="inlineStr">
        <is>
          <t>NORRTÄLJE</t>
        </is>
      </c>
      <c r="F1615" t="inlineStr">
        <is>
          <t>Holmen skog AB</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20836-2024</t>
        </is>
      </c>
      <c r="B1616" s="1" t="n">
        <v>45439</v>
      </c>
      <c r="C1616" s="1" t="n">
        <v>45471</v>
      </c>
      <c r="D1616" t="inlineStr">
        <is>
          <t>STOCKHOLMS LÄN</t>
        </is>
      </c>
      <c r="E1616" t="inlineStr">
        <is>
          <t>NORRTÄLJE</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21066-2024</t>
        </is>
      </c>
      <c r="B1617" s="1" t="n">
        <v>45439</v>
      </c>
      <c r="C1617" s="1" t="n">
        <v>45471</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21696-2024</t>
        </is>
      </c>
      <c r="B1618" s="1" t="n">
        <v>45442</v>
      </c>
      <c r="C1618" s="1" t="n">
        <v>45471</v>
      </c>
      <c r="D1618" t="inlineStr">
        <is>
          <t>STOCKHOLMS LÄN</t>
        </is>
      </c>
      <c r="E1618" t="inlineStr">
        <is>
          <t>NORRTÄLJE</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21729-2024</t>
        </is>
      </c>
      <c r="B1619" s="1" t="n">
        <v>45442</v>
      </c>
      <c r="C1619" s="1" t="n">
        <v>45471</v>
      </c>
      <c r="D1619" t="inlineStr">
        <is>
          <t>STOCKHOLMS LÄN</t>
        </is>
      </c>
      <c r="E1619" t="inlineStr">
        <is>
          <t>NORRTÄLJE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22008-2024</t>
        </is>
      </c>
      <c r="B1620" s="1" t="n">
        <v>45443</v>
      </c>
      <c r="C1620" s="1" t="n">
        <v>45471</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22190-2024</t>
        </is>
      </c>
      <c r="B1621" s="1" t="n">
        <v>45446</v>
      </c>
      <c r="C1621" s="1" t="n">
        <v>45471</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22232-2024</t>
        </is>
      </c>
      <c r="B1622" s="1" t="n">
        <v>45446</v>
      </c>
      <c r="C1622" s="1" t="n">
        <v>45471</v>
      </c>
      <c r="D1622" t="inlineStr">
        <is>
          <t>STOCKHOLMS LÄN</t>
        </is>
      </c>
      <c r="E1622" t="inlineStr">
        <is>
          <t>NORRTÄLJE</t>
        </is>
      </c>
      <c r="G1622" t="n">
        <v>12.8</v>
      </c>
      <c r="H1622" t="n">
        <v>0</v>
      </c>
      <c r="I1622" t="n">
        <v>0</v>
      </c>
      <c r="J1622" t="n">
        <v>0</v>
      </c>
      <c r="K1622" t="n">
        <v>0</v>
      </c>
      <c r="L1622" t="n">
        <v>0</v>
      </c>
      <c r="M1622" t="n">
        <v>0</v>
      </c>
      <c r="N1622" t="n">
        <v>0</v>
      </c>
      <c r="O1622" t="n">
        <v>0</v>
      </c>
      <c r="P1622" t="n">
        <v>0</v>
      </c>
      <c r="Q1622" t="n">
        <v>0</v>
      </c>
      <c r="R1622" s="2" t="inlineStr"/>
    </row>
    <row r="1623" ht="15" customHeight="1">
      <c r="A1623" t="inlineStr">
        <is>
          <t>A 22231-2024</t>
        </is>
      </c>
      <c r="B1623" s="1" t="n">
        <v>45446</v>
      </c>
      <c r="C1623" s="1" t="n">
        <v>45471</v>
      </c>
      <c r="D1623" t="inlineStr">
        <is>
          <t>STOCKHOLMS LÄN</t>
        </is>
      </c>
      <c r="E1623" t="inlineStr">
        <is>
          <t>NORRTÄLJE</t>
        </is>
      </c>
      <c r="F1623" t="inlineStr">
        <is>
          <t>Holmen skog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22833-2024</t>
        </is>
      </c>
      <c r="B1624" s="1" t="n">
        <v>45448</v>
      </c>
      <c r="C1624" s="1" t="n">
        <v>45471</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23018-2024</t>
        </is>
      </c>
      <c r="B1625" s="1" t="n">
        <v>45450</v>
      </c>
      <c r="C1625" s="1" t="n">
        <v>45471</v>
      </c>
      <c r="D1625" t="inlineStr">
        <is>
          <t>STOCKHOLMS LÄN</t>
        </is>
      </c>
      <c r="E1625" t="inlineStr">
        <is>
          <t>NORRTÄLJE</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23151-2024</t>
        </is>
      </c>
      <c r="B1626" s="1" t="n">
        <v>45450</v>
      </c>
      <c r="C1626" s="1" t="n">
        <v>45471</v>
      </c>
      <c r="D1626" t="inlineStr">
        <is>
          <t>STOCKHOLMS LÄN</t>
        </is>
      </c>
      <c r="E1626" t="inlineStr">
        <is>
          <t>NORRTÄLJE</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23150-2024</t>
        </is>
      </c>
      <c r="B1627" s="1" t="n">
        <v>45450</v>
      </c>
      <c r="C1627" s="1" t="n">
        <v>45471</v>
      </c>
      <c r="D1627" t="inlineStr">
        <is>
          <t>STOCKHOLMS LÄN</t>
        </is>
      </c>
      <c r="E1627" t="inlineStr">
        <is>
          <t>NORRTÄLJE</t>
        </is>
      </c>
      <c r="F1627" t="inlineStr">
        <is>
          <t>Kommuner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45471</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23307-2024</t>
        </is>
      </c>
      <c r="B1629" s="1" t="n">
        <v>45453</v>
      </c>
      <c r="C1629" s="1" t="n">
        <v>45471</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23572-2024</t>
        </is>
      </c>
      <c r="B1630" s="1" t="n">
        <v>45454</v>
      </c>
      <c r="C1630" s="1" t="n">
        <v>45471</v>
      </c>
      <c r="D1630" t="inlineStr">
        <is>
          <t>STOCKHOLMS LÄN</t>
        </is>
      </c>
      <c r="E1630" t="inlineStr">
        <is>
          <t>NORRTÄLJE</t>
        </is>
      </c>
      <c r="F1630" t="inlineStr">
        <is>
          <t>Kyrkan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23583-2024</t>
        </is>
      </c>
      <c r="B1631" s="1" t="n">
        <v>45454</v>
      </c>
      <c r="C1631" s="1" t="n">
        <v>45471</v>
      </c>
      <c r="D1631" t="inlineStr">
        <is>
          <t>STOCKHOLMS LÄN</t>
        </is>
      </c>
      <c r="E1631" t="inlineStr">
        <is>
          <t>NORRTÄLJE</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23683-2024</t>
        </is>
      </c>
      <c r="B1632" s="1" t="n">
        <v>45454</v>
      </c>
      <c r="C1632" s="1" t="n">
        <v>45471</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23692-2024</t>
        </is>
      </c>
      <c r="B1633" s="1" t="n">
        <v>45454</v>
      </c>
      <c r="C1633" s="1" t="n">
        <v>45471</v>
      </c>
      <c r="D1633" t="inlineStr">
        <is>
          <t>STOCKHOLMS LÄN</t>
        </is>
      </c>
      <c r="E1633" t="inlineStr">
        <is>
          <t>NORRTÄLJE</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23749-2024</t>
        </is>
      </c>
      <c r="B1634" s="1" t="n">
        <v>45455</v>
      </c>
      <c r="C1634" s="1" t="n">
        <v>45471</v>
      </c>
      <c r="D1634" t="inlineStr">
        <is>
          <t>STOCKHOLMS LÄN</t>
        </is>
      </c>
      <c r="E1634" t="inlineStr">
        <is>
          <t>NORRTÄLJE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23755-2024</t>
        </is>
      </c>
      <c r="B1635" s="1" t="n">
        <v>45455</v>
      </c>
      <c r="C1635" s="1" t="n">
        <v>45471</v>
      </c>
      <c r="D1635" t="inlineStr">
        <is>
          <t>STOCKHOLMS LÄN</t>
        </is>
      </c>
      <c r="E1635" t="inlineStr">
        <is>
          <t>NORRTÄLJE</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23991-2024</t>
        </is>
      </c>
      <c r="B1636" s="1" t="n">
        <v>45456</v>
      </c>
      <c r="C1636" s="1" t="n">
        <v>45471</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24022-2024</t>
        </is>
      </c>
      <c r="B1637" s="1" t="n">
        <v>45456</v>
      </c>
      <c r="C1637" s="1" t="n">
        <v>45471</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24021-2024</t>
        </is>
      </c>
      <c r="B1638" s="1" t="n">
        <v>45456</v>
      </c>
      <c r="C1638" s="1" t="n">
        <v>45471</v>
      </c>
      <c r="D1638" t="inlineStr">
        <is>
          <t>STOCKHOLMS LÄN</t>
        </is>
      </c>
      <c r="E1638" t="inlineStr">
        <is>
          <t>NORRTÄLJE</t>
        </is>
      </c>
      <c r="G1638" t="n">
        <v>17.5</v>
      </c>
      <c r="H1638" t="n">
        <v>0</v>
      </c>
      <c r="I1638" t="n">
        <v>0</v>
      </c>
      <c r="J1638" t="n">
        <v>0</v>
      </c>
      <c r="K1638" t="n">
        <v>0</v>
      </c>
      <c r="L1638" t="n">
        <v>0</v>
      </c>
      <c r="M1638" t="n">
        <v>0</v>
      </c>
      <c r="N1638" t="n">
        <v>0</v>
      </c>
      <c r="O1638" t="n">
        <v>0</v>
      </c>
      <c r="P1638" t="n">
        <v>0</v>
      </c>
      <c r="Q1638" t="n">
        <v>0</v>
      </c>
      <c r="R1638" s="2" t="inlineStr"/>
    </row>
    <row r="1639" ht="15" customHeight="1">
      <c r="A1639" t="inlineStr">
        <is>
          <t>A 23998-2024</t>
        </is>
      </c>
      <c r="B1639" s="1" t="n">
        <v>45456</v>
      </c>
      <c r="C1639" s="1" t="n">
        <v>45471</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24027-2024</t>
        </is>
      </c>
      <c r="B1640" s="1" t="n">
        <v>45456</v>
      </c>
      <c r="C1640" s="1" t="n">
        <v>45471</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24024-2024</t>
        </is>
      </c>
      <c r="B1641" s="1" t="n">
        <v>45456</v>
      </c>
      <c r="C1641" s="1" t="n">
        <v>45471</v>
      </c>
      <c r="D1641" t="inlineStr">
        <is>
          <t>STOCKHOLMS LÄN</t>
        </is>
      </c>
      <c r="E1641" t="inlineStr">
        <is>
          <t>NORRTÄLJE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24245-2024</t>
        </is>
      </c>
      <c r="B1642" s="1" t="n">
        <v>45457</v>
      </c>
      <c r="C1642" s="1" t="n">
        <v>45471</v>
      </c>
      <c r="D1642" t="inlineStr">
        <is>
          <t>STOCKHOLMS LÄN</t>
        </is>
      </c>
      <c r="E1642" t="inlineStr">
        <is>
          <t>NORRTÄLJE</t>
        </is>
      </c>
      <c r="F1642" t="inlineStr">
        <is>
          <t>Holmen skog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24357-2024</t>
        </is>
      </c>
      <c r="B1643" s="1" t="n">
        <v>45457</v>
      </c>
      <c r="C1643" s="1" t="n">
        <v>45471</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24563-2024</t>
        </is>
      </c>
      <c r="B1644" s="1" t="n">
        <v>45460</v>
      </c>
      <c r="C1644" s="1" t="n">
        <v>45471</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24575-2024</t>
        </is>
      </c>
      <c r="B1645" s="1" t="n">
        <v>45460</v>
      </c>
      <c r="C1645" s="1" t="n">
        <v>45471</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45471</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24610-2024</t>
        </is>
      </c>
      <c r="B1647" s="1" t="n">
        <v>45460</v>
      </c>
      <c r="C1647" s="1" t="n">
        <v>45471</v>
      </c>
      <c r="D1647" t="inlineStr">
        <is>
          <t>STOCKHOLMS LÄN</t>
        </is>
      </c>
      <c r="E1647" t="inlineStr">
        <is>
          <t>NORRTÄLJE</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24730-2024</t>
        </is>
      </c>
      <c r="B1648" s="1" t="n">
        <v>45460</v>
      </c>
      <c r="C1648" s="1" t="n">
        <v>45471</v>
      </c>
      <c r="D1648" t="inlineStr">
        <is>
          <t>STOCKHOLMS LÄN</t>
        </is>
      </c>
      <c r="E1648" t="inlineStr">
        <is>
          <t>NORRTÄLJE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25055-2024</t>
        </is>
      </c>
      <c r="B1649" s="1" t="n">
        <v>45462</v>
      </c>
      <c r="C1649" s="1" t="n">
        <v>45471</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25301-2024</t>
        </is>
      </c>
      <c r="B1650" s="1" t="n">
        <v>45462</v>
      </c>
      <c r="C1650" s="1" t="n">
        <v>45471</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25565-2024</t>
        </is>
      </c>
      <c r="B1651" s="1" t="n">
        <v>45463</v>
      </c>
      <c r="C1651" s="1" t="n">
        <v>45471</v>
      </c>
      <c r="D1651" t="inlineStr">
        <is>
          <t>STOCKHOLMS LÄN</t>
        </is>
      </c>
      <c r="E1651" t="inlineStr">
        <is>
          <t>NORRTÄLJE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25681-2024</t>
        </is>
      </c>
      <c r="B1652" s="1" t="n">
        <v>45463</v>
      </c>
      <c r="C1652" s="1" t="n">
        <v>45471</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25817-2024</t>
        </is>
      </c>
      <c r="B1653" s="1" t="n">
        <v>45467</v>
      </c>
      <c r="C1653" s="1" t="n">
        <v>45471</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26090-2024</t>
        </is>
      </c>
      <c r="B1654" s="1" t="n">
        <v>45468</v>
      </c>
      <c r="C1654" s="1" t="n">
        <v>45471</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26115-2024</t>
        </is>
      </c>
      <c r="B1655" s="1" t="n">
        <v>45468</v>
      </c>
      <c r="C1655" s="1" t="n">
        <v>45471</v>
      </c>
      <c r="D1655" t="inlineStr">
        <is>
          <t>STOCKHOLMS LÄN</t>
        </is>
      </c>
      <c r="E1655" t="inlineStr">
        <is>
          <t>NORRTÄLJE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26113-2024</t>
        </is>
      </c>
      <c r="B1656" s="1" t="n">
        <v>45468</v>
      </c>
      <c r="C1656" s="1" t="n">
        <v>45471</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26117-2024</t>
        </is>
      </c>
      <c r="B1657" s="1" t="n">
        <v>45468</v>
      </c>
      <c r="C1657" s="1" t="n">
        <v>45471</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45471</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45471</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26407-2024</t>
        </is>
      </c>
      <c r="B1660" s="1" t="n">
        <v>45469</v>
      </c>
      <c r="C1660" s="1" t="n">
        <v>45471</v>
      </c>
      <c r="D1660" t="inlineStr">
        <is>
          <t>STOCKHOLMS LÄN</t>
        </is>
      </c>
      <c r="E1660" t="inlineStr">
        <is>
          <t>NORRTÄLJE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26365-2024</t>
        </is>
      </c>
      <c r="B1661" s="1" t="n">
        <v>45469</v>
      </c>
      <c r="C1661" s="1" t="n">
        <v>45471</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45471</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45471</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26644-2024</t>
        </is>
      </c>
      <c r="B1664" s="1" t="n">
        <v>45470</v>
      </c>
      <c r="C1664" s="1" t="n">
        <v>45471</v>
      </c>
      <c r="D1664" t="inlineStr">
        <is>
          <t>STOCKHOLMS LÄN</t>
        </is>
      </c>
      <c r="E1664" t="inlineStr">
        <is>
          <t>NORRTÄLJE</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45471</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26600-2024</t>
        </is>
      </c>
      <c r="B1666" s="1" t="n">
        <v>45469</v>
      </c>
      <c r="C1666" s="1" t="n">
        <v>45471</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26612-2024</t>
        </is>
      </c>
      <c r="B1667" s="1" t="n">
        <v>45469</v>
      </c>
      <c r="C1667" s="1" t="n">
        <v>45471</v>
      </c>
      <c r="D1667" t="inlineStr">
        <is>
          <t>STOCKHOLMS LÄN</t>
        </is>
      </c>
      <c r="E1667" t="inlineStr">
        <is>
          <t>NORRTÄLJE</t>
        </is>
      </c>
      <c r="G1667" t="n">
        <v>4</v>
      </c>
      <c r="H1667" t="n">
        <v>0</v>
      </c>
      <c r="I1667" t="n">
        <v>0</v>
      </c>
      <c r="J1667" t="n">
        <v>0</v>
      </c>
      <c r="K1667" t="n">
        <v>0</v>
      </c>
      <c r="L1667" t="n">
        <v>0</v>
      </c>
      <c r="M1667" t="n">
        <v>0</v>
      </c>
      <c r="N1667" t="n">
        <v>0</v>
      </c>
      <c r="O1667" t="n">
        <v>0</v>
      </c>
      <c r="P1667" t="n">
        <v>0</v>
      </c>
      <c r="Q1667" t="n">
        <v>0</v>
      </c>
      <c r="R1667" s="2" t="inlineStr"/>
    </row>
    <row r="1668">
      <c r="A1668" t="inlineStr">
        <is>
          <t>A 26668-2024</t>
        </is>
      </c>
      <c r="B1668" s="1" t="n">
        <v>45469</v>
      </c>
      <c r="C1668" s="1" t="n">
        <v>45471</v>
      </c>
      <c r="D1668" t="inlineStr">
        <is>
          <t>STOCKHOLMS LÄN</t>
        </is>
      </c>
      <c r="E1668" t="inlineStr">
        <is>
          <t>NORRTÄLJE</t>
        </is>
      </c>
      <c r="G1668" t="n">
        <v>4.8</v>
      </c>
      <c r="H1668" t="n">
        <v>0</v>
      </c>
      <c r="I1668" t="n">
        <v>0</v>
      </c>
      <c r="J1668" t="n">
        <v>0</v>
      </c>
      <c r="K1668" t="n">
        <v>0</v>
      </c>
      <c r="L1668" t="n">
        <v>0</v>
      </c>
      <c r="M1668" t="n">
        <v>0</v>
      </c>
      <c r="N1668" t="n">
        <v>0</v>
      </c>
      <c r="O1668" t="n">
        <v>0</v>
      </c>
      <c r="P1668" t="n">
        <v>0</v>
      </c>
      <c r="Q1668" t="n">
        <v>0</v>
      </c>
      <c r="R1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2024-06-28T10:03:43Z</dcterms:created>
  <dcterms:modified xmlns:dcterms="http://purl.org/dc/terms/" xmlns:xsi="http://www.w3.org/2001/XMLSchema-instance" xsi:type="dcterms:W3CDTF">2024-06-28T10:03:45Z</dcterms:modified>
</cp:coreProperties>
</file>