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45930</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45930</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45930</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45930</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45930</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45930</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45930</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45930</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45930</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45930</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45930</v>
      </c>
      <c r="D12" t="inlineStr">
        <is>
          <t>STOCKHOLMS LÄN</t>
        </is>
      </c>
      <c r="E12" t="inlineStr">
        <is>
          <t>NORRTÄLJE</t>
        </is>
      </c>
      <c r="F12" t="inlineStr">
        <is>
          <t>Holmen skog AB</t>
        </is>
      </c>
      <c r="G12" t="n">
        <v>7.9</v>
      </c>
      <c r="H12" t="n">
        <v>1</v>
      </c>
      <c r="I12" t="n">
        <v>7</v>
      </c>
      <c r="J12" t="n">
        <v>5</v>
      </c>
      <c r="K12" t="n">
        <v>2</v>
      </c>
      <c r="L12" t="n">
        <v>0</v>
      </c>
      <c r="M12" t="n">
        <v>0</v>
      </c>
      <c r="N12" t="n">
        <v>0</v>
      </c>
      <c r="O12" t="n">
        <v>7</v>
      </c>
      <c r="P12" t="n">
        <v>2</v>
      </c>
      <c r="Q12" t="n">
        <v>15</v>
      </c>
      <c r="R12" s="2" t="inlineStr">
        <is>
          <t>Grangråticka
Läderdoftande fingersvamp
Druvfingersvamp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45930</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45930</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11231-2021</t>
        </is>
      </c>
      <c r="B15" s="1" t="n">
        <v>44263</v>
      </c>
      <c r="C15" s="1" t="n">
        <v>45930</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20722-2024</t>
        </is>
      </c>
      <c r="B16" s="1" t="n">
        <v>45436</v>
      </c>
      <c r="C16" s="1" t="n">
        <v>45930</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44847-2023</t>
        </is>
      </c>
      <c r="B17" s="1" t="n">
        <v>45190</v>
      </c>
      <c r="C17" s="1" t="n">
        <v>45930</v>
      </c>
      <c r="D17" t="inlineStr">
        <is>
          <t>STOCKHOLMS LÄN</t>
        </is>
      </c>
      <c r="E17" t="inlineStr">
        <is>
          <t>NORRTÄLJE</t>
        </is>
      </c>
      <c r="G17" t="n">
        <v>8.5</v>
      </c>
      <c r="H17" t="n">
        <v>10</v>
      </c>
      <c r="I17" t="n">
        <v>0</v>
      </c>
      <c r="J17" t="n">
        <v>4</v>
      </c>
      <c r="K17" t="n">
        <v>4</v>
      </c>
      <c r="L17" t="n">
        <v>1</v>
      </c>
      <c r="M17" t="n">
        <v>0</v>
      </c>
      <c r="N17" t="n">
        <v>0</v>
      </c>
      <c r="O17" t="n">
        <v>9</v>
      </c>
      <c r="P17" t="n">
        <v>5</v>
      </c>
      <c r="Q17" t="n">
        <v>10</v>
      </c>
      <c r="R17" s="2" t="inlineStr">
        <is>
          <t>Ejder
Gråtrut
Havstrut
Knärot
Stare
Fiskmås
Havsörn
Skrattmås
Strandskata
Gråkråka</t>
        </is>
      </c>
      <c r="S17">
        <f>HYPERLINK("https://klasma.github.io/Logging_0188/artfynd/A 44847-2023 artfynd.xlsx", "A 44847-2023")</f>
        <v/>
      </c>
      <c r="T17">
        <f>HYPERLINK("https://klasma.github.io/Logging_0188/kartor/A 44847-2023 karta.png", "A 44847-2023")</f>
        <v/>
      </c>
      <c r="U17">
        <f>HYPERLINK("https://klasma.github.io/Logging_0188/knärot/A 44847-2023 karta knärot.png", "A 44847-2023")</f>
        <v/>
      </c>
      <c r="V17">
        <f>HYPERLINK("https://klasma.github.io/Logging_0188/klagomål/A 44847-2023 FSC-klagomål.docx", "A 44847-2023")</f>
        <v/>
      </c>
      <c r="W17">
        <f>HYPERLINK("https://klasma.github.io/Logging_0188/klagomålsmail/A 44847-2023 FSC-klagomål mail.docx", "A 44847-2023")</f>
        <v/>
      </c>
      <c r="X17">
        <f>HYPERLINK("https://klasma.github.io/Logging_0188/tillsyn/A 44847-2023 tillsynsbegäran.docx", "A 44847-2023")</f>
        <v/>
      </c>
      <c r="Y17">
        <f>HYPERLINK("https://klasma.github.io/Logging_0188/tillsynsmail/A 44847-2023 tillsynsbegäran mail.docx", "A 44847-2023")</f>
        <v/>
      </c>
      <c r="Z17">
        <f>HYPERLINK("https://klasma.github.io/Logging_0188/fåglar/A 44847-2023 prioriterade fågelarter.docx", "A 44847-2023")</f>
        <v/>
      </c>
    </row>
    <row r="18" ht="15" customHeight="1">
      <c r="A18" t="inlineStr">
        <is>
          <t>A 47274-2024</t>
        </is>
      </c>
      <c r="B18" s="1" t="n">
        <v>45586.88145833334</v>
      </c>
      <c r="C18" s="1" t="n">
        <v>45930</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45930</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73093-2021</t>
        </is>
      </c>
      <c r="B20" s="1" t="n">
        <v>44550</v>
      </c>
      <c r="C20" s="1" t="n">
        <v>45930</v>
      </c>
      <c r="D20" t="inlineStr">
        <is>
          <t>STOCKHOLMS LÄN</t>
        </is>
      </c>
      <c r="E20" t="inlineStr">
        <is>
          <t>NORRTÄLJE</t>
        </is>
      </c>
      <c r="G20" t="n">
        <v>5.1</v>
      </c>
      <c r="H20" t="n">
        <v>6</v>
      </c>
      <c r="I20" t="n">
        <v>6</v>
      </c>
      <c r="J20" t="n">
        <v>1</v>
      </c>
      <c r="K20" t="n">
        <v>0</v>
      </c>
      <c r="L20" t="n">
        <v>0</v>
      </c>
      <c r="M20" t="n">
        <v>0</v>
      </c>
      <c r="N20" t="n">
        <v>0</v>
      </c>
      <c r="O20" t="n">
        <v>1</v>
      </c>
      <c r="P20" t="n">
        <v>0</v>
      </c>
      <c r="Q20" t="n">
        <v>9</v>
      </c>
      <c r="R20" s="2" t="inlineStr">
        <is>
          <t>Rödvingetrast
Guckusko
Myskmadra
Nästrot
Skogsknipprot
Tibast
Vätteros
Nattviol
Blåsippa</t>
        </is>
      </c>
      <c r="S20">
        <f>HYPERLINK("https://klasma.github.io/Logging_0188/artfynd/A 73093-2021 artfynd.xlsx", "A 73093-2021")</f>
        <v/>
      </c>
      <c r="T20">
        <f>HYPERLINK("https://klasma.github.io/Logging_0188/kartor/A 73093-2021 karta.png", "A 73093-2021")</f>
        <v/>
      </c>
      <c r="V20">
        <f>HYPERLINK("https://klasma.github.io/Logging_0188/klagomål/A 73093-2021 FSC-klagomål.docx", "A 73093-2021")</f>
        <v/>
      </c>
      <c r="W20">
        <f>HYPERLINK("https://klasma.github.io/Logging_0188/klagomålsmail/A 73093-2021 FSC-klagomål mail.docx", "A 73093-2021")</f>
        <v/>
      </c>
      <c r="X20">
        <f>HYPERLINK("https://klasma.github.io/Logging_0188/tillsyn/A 73093-2021 tillsynsbegäran.docx", "A 73093-2021")</f>
        <v/>
      </c>
      <c r="Y20">
        <f>HYPERLINK("https://klasma.github.io/Logging_0188/tillsynsmail/A 73093-2021 tillsynsbegäran mail.docx", "A 73093-2021")</f>
        <v/>
      </c>
      <c r="Z20">
        <f>HYPERLINK("https://klasma.github.io/Logging_0188/fåglar/A 73093-2021 prioriterade fågelarter.docx", "A 73093-2021")</f>
        <v/>
      </c>
    </row>
    <row r="21" ht="15" customHeight="1">
      <c r="A21" t="inlineStr">
        <is>
          <t>A 52815-2021</t>
        </is>
      </c>
      <c r="B21" s="1" t="n">
        <v>44467</v>
      </c>
      <c r="C21" s="1" t="n">
        <v>45930</v>
      </c>
      <c r="D21" t="inlineStr">
        <is>
          <t>STOCKHOLMS LÄN</t>
        </is>
      </c>
      <c r="E21" t="inlineStr">
        <is>
          <t>NORRTÄLJE</t>
        </is>
      </c>
      <c r="G21" t="n">
        <v>2.8</v>
      </c>
      <c r="H21" t="n">
        <v>0</v>
      </c>
      <c r="I21" t="n">
        <v>2</v>
      </c>
      <c r="J21" t="n">
        <v>2</v>
      </c>
      <c r="K21" t="n">
        <v>4</v>
      </c>
      <c r="L21" t="n">
        <v>1</v>
      </c>
      <c r="M21" t="n">
        <v>0</v>
      </c>
      <c r="N21" t="n">
        <v>0</v>
      </c>
      <c r="O21" t="n">
        <v>7</v>
      </c>
      <c r="P21" t="n">
        <v>5</v>
      </c>
      <c r="Q21" t="n">
        <v>9</v>
      </c>
      <c r="R21" s="2" t="inlineStr">
        <is>
          <t>Raggtaggsvamp
Gul lammticka
Koppartaggsvamp
Spricktaggsvamp
Svartfjällig musseron
Bittermusseron
Flattoppad klubbsvamp
Diskvaxskivling
Fjällig taggsvamp s.str.</t>
        </is>
      </c>
      <c r="S21">
        <f>HYPERLINK("https://klasma.github.io/Logging_0188/artfynd/A 52815-2021 artfynd.xlsx", "A 52815-2021")</f>
        <v/>
      </c>
      <c r="T21">
        <f>HYPERLINK("https://klasma.github.io/Logging_0188/kartor/A 52815-2021 karta.png", "A 52815-2021")</f>
        <v/>
      </c>
      <c r="V21">
        <f>HYPERLINK("https://klasma.github.io/Logging_0188/klagomål/A 52815-2021 FSC-klagomål.docx", "A 52815-2021")</f>
        <v/>
      </c>
      <c r="W21">
        <f>HYPERLINK("https://klasma.github.io/Logging_0188/klagomålsmail/A 52815-2021 FSC-klagomål mail.docx", "A 52815-2021")</f>
        <v/>
      </c>
      <c r="X21">
        <f>HYPERLINK("https://klasma.github.io/Logging_0188/tillsyn/A 52815-2021 tillsynsbegäran.docx", "A 52815-2021")</f>
        <v/>
      </c>
      <c r="Y21">
        <f>HYPERLINK("https://klasma.github.io/Logging_0188/tillsynsmail/A 52815-2021 tillsynsbegäran mail.docx", "A 52815-2021")</f>
        <v/>
      </c>
    </row>
    <row r="22" ht="15" customHeight="1">
      <c r="A22" t="inlineStr">
        <is>
          <t>A 59582-2024</t>
        </is>
      </c>
      <c r="B22" s="1" t="n">
        <v>45638</v>
      </c>
      <c r="C22" s="1" t="n">
        <v>45930</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45930</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45930</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45930</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47346-2021</t>
        </is>
      </c>
      <c r="B26" s="1" t="n">
        <v>44447</v>
      </c>
      <c r="C26" s="1" t="n">
        <v>45930</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25732-2025</t>
        </is>
      </c>
      <c r="B27" s="1" t="n">
        <v>45800</v>
      </c>
      <c r="C27" s="1" t="n">
        <v>45930</v>
      </c>
      <c r="D27" t="inlineStr">
        <is>
          <t>STOCKHOLMS LÄN</t>
        </is>
      </c>
      <c r="E27" t="inlineStr">
        <is>
          <t>NORRTÄLJE</t>
        </is>
      </c>
      <c r="G27" t="n">
        <v>7.4</v>
      </c>
      <c r="H27" t="n">
        <v>3</v>
      </c>
      <c r="I27" t="n">
        <v>3</v>
      </c>
      <c r="J27" t="n">
        <v>2</v>
      </c>
      <c r="K27" t="n">
        <v>1</v>
      </c>
      <c r="L27" t="n">
        <v>0</v>
      </c>
      <c r="M27" t="n">
        <v>0</v>
      </c>
      <c r="N27" t="n">
        <v>0</v>
      </c>
      <c r="O27" t="n">
        <v>3</v>
      </c>
      <c r="P27" t="n">
        <v>1</v>
      </c>
      <c r="Q27" t="n">
        <v>7</v>
      </c>
      <c r="R27" s="2" t="inlineStr">
        <is>
          <t>Knärot
Blå taggsvamp
Skrovlig taggsvamp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13933-2022</t>
        </is>
      </c>
      <c r="B28" s="1" t="n">
        <v>44650</v>
      </c>
      <c r="C28" s="1" t="n">
        <v>45930</v>
      </c>
      <c r="D28" t="inlineStr">
        <is>
          <t>STOCKHOLMS LÄN</t>
        </is>
      </c>
      <c r="E28" t="inlineStr">
        <is>
          <t>NORRTÄLJE</t>
        </is>
      </c>
      <c r="G28" t="n">
        <v>4.4</v>
      </c>
      <c r="H28" t="n">
        <v>3</v>
      </c>
      <c r="I28" t="n">
        <v>5</v>
      </c>
      <c r="J28" t="n">
        <v>1</v>
      </c>
      <c r="K28" t="n">
        <v>0</v>
      </c>
      <c r="L28" t="n">
        <v>0</v>
      </c>
      <c r="M28" t="n">
        <v>0</v>
      </c>
      <c r="N28" t="n">
        <v>0</v>
      </c>
      <c r="O28" t="n">
        <v>1</v>
      </c>
      <c r="P28" t="n">
        <v>0</v>
      </c>
      <c r="Q28" t="n">
        <v>7</v>
      </c>
      <c r="R28" s="2" t="inlineStr">
        <is>
          <t>Ullticka
Grön sköldmossa
Nästrot
Skogshakmossa
Tibast
Ögonpyrola
Blåsippa</t>
        </is>
      </c>
      <c r="S28">
        <f>HYPERLINK("https://klasma.github.io/Logging_0188/artfynd/A 13933-2022 artfynd.xlsx", "A 13933-2022")</f>
        <v/>
      </c>
      <c r="T28">
        <f>HYPERLINK("https://klasma.github.io/Logging_0188/kartor/A 13933-2022 karta.png", "A 13933-2022")</f>
        <v/>
      </c>
      <c r="V28">
        <f>HYPERLINK("https://klasma.github.io/Logging_0188/klagomål/A 13933-2022 FSC-klagomål.docx", "A 13933-2022")</f>
        <v/>
      </c>
      <c r="W28">
        <f>HYPERLINK("https://klasma.github.io/Logging_0188/klagomålsmail/A 13933-2022 FSC-klagomål mail.docx", "A 13933-2022")</f>
        <v/>
      </c>
      <c r="X28">
        <f>HYPERLINK("https://klasma.github.io/Logging_0188/tillsyn/A 13933-2022 tillsynsbegäran.docx", "A 13933-2022")</f>
        <v/>
      </c>
      <c r="Y28">
        <f>HYPERLINK("https://klasma.github.io/Logging_0188/tillsynsmail/A 13933-2022 tillsynsbegäran mail.docx", "A 13933-2022")</f>
        <v/>
      </c>
    </row>
    <row r="29" ht="15" customHeight="1">
      <c r="A29" t="inlineStr">
        <is>
          <t>A 15278-2024</t>
        </is>
      </c>
      <c r="B29" s="1" t="n">
        <v>45400.5958912037</v>
      </c>
      <c r="C29" s="1" t="n">
        <v>45930</v>
      </c>
      <c r="D29" t="inlineStr">
        <is>
          <t>STOCKHOLMS LÄN</t>
        </is>
      </c>
      <c r="E29" t="inlineStr">
        <is>
          <t>NORRTÄLJE</t>
        </is>
      </c>
      <c r="G29" t="n">
        <v>7.4</v>
      </c>
      <c r="H29" t="n">
        <v>2</v>
      </c>
      <c r="I29" t="n">
        <v>4</v>
      </c>
      <c r="J29" t="n">
        <v>1</v>
      </c>
      <c r="K29" t="n">
        <v>1</v>
      </c>
      <c r="L29" t="n">
        <v>0</v>
      </c>
      <c r="M29" t="n">
        <v>0</v>
      </c>
      <c r="N29" t="n">
        <v>0</v>
      </c>
      <c r="O29" t="n">
        <v>2</v>
      </c>
      <c r="P29" t="n">
        <v>1</v>
      </c>
      <c r="Q29" t="n">
        <v>7</v>
      </c>
      <c r="R29" s="2" t="inlineStr">
        <is>
          <t>Knärot
Ullticka
Fjällig taggsvamp s.str.
Grönpyrola
Kattfotslav
Vedticka
Blåsippa</t>
        </is>
      </c>
      <c r="S29">
        <f>HYPERLINK("https://klasma.github.io/Logging_0188/artfynd/A 15278-2024 artfynd.xlsx", "A 15278-2024")</f>
        <v/>
      </c>
      <c r="T29">
        <f>HYPERLINK("https://klasma.github.io/Logging_0188/kartor/A 15278-2024 karta.png", "A 15278-2024")</f>
        <v/>
      </c>
      <c r="U29">
        <f>HYPERLINK("https://klasma.github.io/Logging_0188/knärot/A 15278-2024 karta knärot.png", "A 15278-2024")</f>
        <v/>
      </c>
      <c r="V29">
        <f>HYPERLINK("https://klasma.github.io/Logging_0188/klagomål/A 15278-2024 FSC-klagomål.docx", "A 15278-2024")</f>
        <v/>
      </c>
      <c r="W29">
        <f>HYPERLINK("https://klasma.github.io/Logging_0188/klagomålsmail/A 15278-2024 FSC-klagomål mail.docx", "A 15278-2024")</f>
        <v/>
      </c>
      <c r="X29">
        <f>HYPERLINK("https://klasma.github.io/Logging_0188/tillsyn/A 15278-2024 tillsynsbegäran.docx", "A 15278-2024")</f>
        <v/>
      </c>
      <c r="Y29">
        <f>HYPERLINK("https://klasma.github.io/Logging_0188/tillsynsmail/A 15278-2024 tillsynsbegäran mail.docx", "A 15278-2024")</f>
        <v/>
      </c>
    </row>
    <row r="30" ht="15" customHeight="1">
      <c r="A30" t="inlineStr">
        <is>
          <t>A 34528-2025</t>
        </is>
      </c>
      <c r="B30" s="1" t="n">
        <v>45847.48436342592</v>
      </c>
      <c r="C30" s="1" t="n">
        <v>45930</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45930</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15804-2025</t>
        </is>
      </c>
      <c r="B32" s="1" t="n">
        <v>45748.6521875</v>
      </c>
      <c r="C32" s="1" t="n">
        <v>45930</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72111-2021</t>
        </is>
      </c>
      <c r="B33" s="1" t="n">
        <v>44544</v>
      </c>
      <c r="C33" s="1" t="n">
        <v>45930</v>
      </c>
      <c r="D33" t="inlineStr">
        <is>
          <t>STOCKHOLMS LÄN</t>
        </is>
      </c>
      <c r="E33" t="inlineStr">
        <is>
          <t>NORRTÄLJE</t>
        </is>
      </c>
      <c r="G33" t="n">
        <v>5.1</v>
      </c>
      <c r="H33" t="n">
        <v>1</v>
      </c>
      <c r="I33" t="n">
        <v>3</v>
      </c>
      <c r="J33" t="n">
        <v>1</v>
      </c>
      <c r="K33" t="n">
        <v>0</v>
      </c>
      <c r="L33" t="n">
        <v>0</v>
      </c>
      <c r="M33" t="n">
        <v>0</v>
      </c>
      <c r="N33" t="n">
        <v>0</v>
      </c>
      <c r="O33" t="n">
        <v>1</v>
      </c>
      <c r="P33" t="n">
        <v>0</v>
      </c>
      <c r="Q33" t="n">
        <v>5</v>
      </c>
      <c r="R33" s="2" t="inlineStr">
        <is>
          <t>Lunglav
Scharlakansvårskål agg.
Sårläka
Vårärt
Blåsippa</t>
        </is>
      </c>
      <c r="S33">
        <f>HYPERLINK("https://klasma.github.io/Logging_0188/artfynd/A 72111-2021 artfynd.xlsx", "A 72111-2021")</f>
        <v/>
      </c>
      <c r="T33">
        <f>HYPERLINK("https://klasma.github.io/Logging_0188/kartor/A 72111-2021 karta.png", "A 72111-2021")</f>
        <v/>
      </c>
      <c r="V33">
        <f>HYPERLINK("https://klasma.github.io/Logging_0188/klagomål/A 72111-2021 FSC-klagomål.docx", "A 72111-2021")</f>
        <v/>
      </c>
      <c r="W33">
        <f>HYPERLINK("https://klasma.github.io/Logging_0188/klagomålsmail/A 72111-2021 FSC-klagomål mail.docx", "A 72111-2021")</f>
        <v/>
      </c>
      <c r="X33">
        <f>HYPERLINK("https://klasma.github.io/Logging_0188/tillsyn/A 72111-2021 tillsynsbegäran.docx", "A 72111-2021")</f>
        <v/>
      </c>
      <c r="Y33">
        <f>HYPERLINK("https://klasma.github.io/Logging_0188/tillsynsmail/A 72111-2021 tillsynsbegäran mail.docx", "A 72111-2021")</f>
        <v/>
      </c>
    </row>
    <row r="34" ht="15" customHeight="1">
      <c r="A34" t="inlineStr">
        <is>
          <t>A 21922-2023</t>
        </is>
      </c>
      <c r="B34" s="1" t="n">
        <v>45068</v>
      </c>
      <c r="C34" s="1" t="n">
        <v>45930</v>
      </c>
      <c r="D34" t="inlineStr">
        <is>
          <t>STOCKHOLMS LÄN</t>
        </is>
      </c>
      <c r="E34" t="inlineStr">
        <is>
          <t>NORRTÄLJE</t>
        </is>
      </c>
      <c r="G34" t="n">
        <v>4.9</v>
      </c>
      <c r="H34" t="n">
        <v>2</v>
      </c>
      <c r="I34" t="n">
        <v>2</v>
      </c>
      <c r="J34" t="n">
        <v>1</v>
      </c>
      <c r="K34" t="n">
        <v>0</v>
      </c>
      <c r="L34" t="n">
        <v>0</v>
      </c>
      <c r="M34" t="n">
        <v>0</v>
      </c>
      <c r="N34" t="n">
        <v>0</v>
      </c>
      <c r="O34" t="n">
        <v>1</v>
      </c>
      <c r="P34" t="n">
        <v>0</v>
      </c>
      <c r="Q34" t="n">
        <v>5</v>
      </c>
      <c r="R34" s="2" t="inlineStr">
        <is>
          <t>Asppraktbagge
Stor aspticka
Svavelriska
Blåsippa
Gullviva</t>
        </is>
      </c>
      <c r="S34">
        <f>HYPERLINK("https://klasma.github.io/Logging_0188/artfynd/A 21922-2023 artfynd.xlsx", "A 21922-2023")</f>
        <v/>
      </c>
      <c r="T34">
        <f>HYPERLINK("https://klasma.github.io/Logging_0188/kartor/A 21922-2023 karta.png", "A 21922-2023")</f>
        <v/>
      </c>
      <c r="V34">
        <f>HYPERLINK("https://klasma.github.io/Logging_0188/klagomål/A 21922-2023 FSC-klagomål.docx", "A 21922-2023")</f>
        <v/>
      </c>
      <c r="W34">
        <f>HYPERLINK("https://klasma.github.io/Logging_0188/klagomålsmail/A 21922-2023 FSC-klagomål mail.docx", "A 21922-2023")</f>
        <v/>
      </c>
      <c r="X34">
        <f>HYPERLINK("https://klasma.github.io/Logging_0188/tillsyn/A 21922-2023 tillsynsbegäran.docx", "A 21922-2023")</f>
        <v/>
      </c>
      <c r="Y34">
        <f>HYPERLINK("https://klasma.github.io/Logging_0188/tillsynsmail/A 21922-2023 tillsynsbegäran mail.docx", "A 21922-2023")</f>
        <v/>
      </c>
    </row>
    <row r="35" ht="15" customHeight="1">
      <c r="A35" t="inlineStr">
        <is>
          <t>A 30687-2025</t>
        </is>
      </c>
      <c r="B35" s="1" t="n">
        <v>45831.53390046296</v>
      </c>
      <c r="C35" s="1" t="n">
        <v>45930</v>
      </c>
      <c r="D35" t="inlineStr">
        <is>
          <t>STOCKHOLMS LÄN</t>
        </is>
      </c>
      <c r="E35" t="inlineStr">
        <is>
          <t>NORRTÄLJE</t>
        </is>
      </c>
      <c r="G35" t="n">
        <v>6.7</v>
      </c>
      <c r="H35" t="n">
        <v>1</v>
      </c>
      <c r="I35" t="n">
        <v>2</v>
      </c>
      <c r="J35" t="n">
        <v>2</v>
      </c>
      <c r="K35" t="n">
        <v>0</v>
      </c>
      <c r="L35" t="n">
        <v>0</v>
      </c>
      <c r="M35" t="n">
        <v>0</v>
      </c>
      <c r="N35" t="n">
        <v>0</v>
      </c>
      <c r="O35" t="n">
        <v>2</v>
      </c>
      <c r="P35" t="n">
        <v>0</v>
      </c>
      <c r="Q35" t="n">
        <v>5</v>
      </c>
      <c r="R35" s="2" t="inlineStr">
        <is>
          <t>Ekvaxskivling
Kandelabersvamp
Stinkbrosking
Svart trolldruva
Blåsippa</t>
        </is>
      </c>
      <c r="S35">
        <f>HYPERLINK("https://klasma.github.io/Logging_0188/artfynd/A 30687-2025 artfynd.xlsx", "A 30687-2025")</f>
        <v/>
      </c>
      <c r="T35">
        <f>HYPERLINK("https://klasma.github.io/Logging_0188/kartor/A 30687-2025 karta.png", "A 30687-2025")</f>
        <v/>
      </c>
      <c r="V35">
        <f>HYPERLINK("https://klasma.github.io/Logging_0188/klagomål/A 30687-2025 FSC-klagomål.docx", "A 30687-2025")</f>
        <v/>
      </c>
      <c r="W35">
        <f>HYPERLINK("https://klasma.github.io/Logging_0188/klagomålsmail/A 30687-2025 FSC-klagomål mail.docx", "A 30687-2025")</f>
        <v/>
      </c>
      <c r="X35">
        <f>HYPERLINK("https://klasma.github.io/Logging_0188/tillsyn/A 30687-2025 tillsynsbegäran.docx", "A 30687-2025")</f>
        <v/>
      </c>
      <c r="Y35">
        <f>HYPERLINK("https://klasma.github.io/Logging_0188/tillsynsmail/A 30687-2025 tillsynsbegäran mail.docx", "A 30687-2025")</f>
        <v/>
      </c>
    </row>
    <row r="36" ht="15" customHeight="1">
      <c r="A36" t="inlineStr">
        <is>
          <t>A 22071-2022</t>
        </is>
      </c>
      <c r="B36" s="1" t="n">
        <v>44711</v>
      </c>
      <c r="C36" s="1" t="n">
        <v>45930</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41276-2025</t>
        </is>
      </c>
      <c r="B37" s="1" t="n">
        <v>45898.62723379629</v>
      </c>
      <c r="C37" s="1" t="n">
        <v>45930</v>
      </c>
      <c r="D37" t="inlineStr">
        <is>
          <t>STOCKHOLMS LÄN</t>
        </is>
      </c>
      <c r="E37" t="inlineStr">
        <is>
          <t>NORRTÄLJE</t>
        </is>
      </c>
      <c r="G37" t="n">
        <v>3.2</v>
      </c>
      <c r="H37" t="n">
        <v>1</v>
      </c>
      <c r="I37" t="n">
        <v>2</v>
      </c>
      <c r="J37" t="n">
        <v>0</v>
      </c>
      <c r="K37" t="n">
        <v>0</v>
      </c>
      <c r="L37" t="n">
        <v>1</v>
      </c>
      <c r="M37" t="n">
        <v>0</v>
      </c>
      <c r="N37" t="n">
        <v>0</v>
      </c>
      <c r="O37" t="n">
        <v>1</v>
      </c>
      <c r="P37" t="n">
        <v>1</v>
      </c>
      <c r="Q37" t="n">
        <v>4</v>
      </c>
      <c r="R37" s="2" t="inlineStr">
        <is>
          <t>Ask
Underviol
Vårärt
Blåsippa</t>
        </is>
      </c>
      <c r="S37">
        <f>HYPERLINK("https://klasma.github.io/Logging_0188/artfynd/A 41276-2025 artfynd.xlsx", "A 41276-2025")</f>
        <v/>
      </c>
      <c r="T37">
        <f>HYPERLINK("https://klasma.github.io/Logging_0188/kartor/A 41276-2025 karta.png", "A 41276-2025")</f>
        <v/>
      </c>
      <c r="V37">
        <f>HYPERLINK("https://klasma.github.io/Logging_0188/klagomål/A 41276-2025 FSC-klagomål.docx", "A 41276-2025")</f>
        <v/>
      </c>
      <c r="W37">
        <f>HYPERLINK("https://klasma.github.io/Logging_0188/klagomålsmail/A 41276-2025 FSC-klagomål mail.docx", "A 41276-2025")</f>
        <v/>
      </c>
      <c r="X37">
        <f>HYPERLINK("https://klasma.github.io/Logging_0188/tillsyn/A 41276-2025 tillsynsbegäran.docx", "A 41276-2025")</f>
        <v/>
      </c>
      <c r="Y37">
        <f>HYPERLINK("https://klasma.github.io/Logging_0188/tillsynsmail/A 41276-2025 tillsynsbegäran mail.docx", "A 41276-2025")</f>
        <v/>
      </c>
    </row>
    <row r="38" ht="15" customHeight="1">
      <c r="A38" t="inlineStr">
        <is>
          <t>A 10876-2025</t>
        </is>
      </c>
      <c r="B38" s="1" t="n">
        <v>45722</v>
      </c>
      <c r="C38" s="1" t="n">
        <v>45930</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21837-2025</t>
        </is>
      </c>
      <c r="B39" s="1" t="n">
        <v>45784.32179398148</v>
      </c>
      <c r="C39" s="1" t="n">
        <v>45930</v>
      </c>
      <c r="D39" t="inlineStr">
        <is>
          <t>STOCKHOLMS LÄN</t>
        </is>
      </c>
      <c r="E39" t="inlineStr">
        <is>
          <t>NORRTÄLJE</t>
        </is>
      </c>
      <c r="G39" t="n">
        <v>6.4</v>
      </c>
      <c r="H39" t="n">
        <v>2</v>
      </c>
      <c r="I39" t="n">
        <v>2</v>
      </c>
      <c r="J39" t="n">
        <v>1</v>
      </c>
      <c r="K39" t="n">
        <v>0</v>
      </c>
      <c r="L39" t="n">
        <v>0</v>
      </c>
      <c r="M39" t="n">
        <v>0</v>
      </c>
      <c r="N39" t="n">
        <v>0</v>
      </c>
      <c r="O39" t="n">
        <v>1</v>
      </c>
      <c r="P39" t="n">
        <v>0</v>
      </c>
      <c r="Q39" t="n">
        <v>4</v>
      </c>
      <c r="R39" s="2" t="inlineStr">
        <is>
          <t>Granticka
Brandticka
Nästrot
Blåsippa</t>
        </is>
      </c>
      <c r="S39">
        <f>HYPERLINK("https://klasma.github.io/Logging_0188/artfynd/A 21837-2025 artfynd.xlsx", "A 21837-2025")</f>
        <v/>
      </c>
      <c r="T39">
        <f>HYPERLINK("https://klasma.github.io/Logging_0188/kartor/A 21837-2025 karta.png", "A 21837-2025")</f>
        <v/>
      </c>
      <c r="V39">
        <f>HYPERLINK("https://klasma.github.io/Logging_0188/klagomål/A 21837-2025 FSC-klagomål.docx", "A 21837-2025")</f>
        <v/>
      </c>
      <c r="W39">
        <f>HYPERLINK("https://klasma.github.io/Logging_0188/klagomålsmail/A 21837-2025 FSC-klagomål mail.docx", "A 21837-2025")</f>
        <v/>
      </c>
      <c r="X39">
        <f>HYPERLINK("https://klasma.github.io/Logging_0188/tillsyn/A 21837-2025 tillsynsbegäran.docx", "A 21837-2025")</f>
        <v/>
      </c>
      <c r="Y39">
        <f>HYPERLINK("https://klasma.github.io/Logging_0188/tillsynsmail/A 21837-2025 tillsynsbegäran mail.docx", "A 21837-2025")</f>
        <v/>
      </c>
    </row>
    <row r="40" ht="15" customHeight="1">
      <c r="A40" t="inlineStr">
        <is>
          <t>A 21730-2025</t>
        </is>
      </c>
      <c r="B40" s="1" t="n">
        <v>45783.58123842593</v>
      </c>
      <c r="C40" s="1" t="n">
        <v>45930</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72305-2021</t>
        </is>
      </c>
      <c r="B41" s="1" t="n">
        <v>44545</v>
      </c>
      <c r="C41" s="1" t="n">
        <v>45930</v>
      </c>
      <c r="D41" t="inlineStr">
        <is>
          <t>STOCKHOLMS LÄN</t>
        </is>
      </c>
      <c r="E41" t="inlineStr">
        <is>
          <t>NORRTÄLJE</t>
        </is>
      </c>
      <c r="G41" t="n">
        <v>1.5</v>
      </c>
      <c r="H41" t="n">
        <v>1</v>
      </c>
      <c r="I41" t="n">
        <v>3</v>
      </c>
      <c r="J41" t="n">
        <v>0</v>
      </c>
      <c r="K41" t="n">
        <v>0</v>
      </c>
      <c r="L41" t="n">
        <v>0</v>
      </c>
      <c r="M41" t="n">
        <v>0</v>
      </c>
      <c r="N41" t="n">
        <v>0</v>
      </c>
      <c r="O41" t="n">
        <v>0</v>
      </c>
      <c r="P41" t="n">
        <v>0</v>
      </c>
      <c r="Q41" t="n">
        <v>4</v>
      </c>
      <c r="R41" s="2" t="inlineStr">
        <is>
          <t>Svart trolldruva
Sårläka
Vårärt
Blåsippa</t>
        </is>
      </c>
      <c r="S41">
        <f>HYPERLINK("https://klasma.github.io/Logging_0188/artfynd/A 72305-2021 artfynd.xlsx", "A 72305-2021")</f>
        <v/>
      </c>
      <c r="T41">
        <f>HYPERLINK("https://klasma.github.io/Logging_0188/kartor/A 72305-2021 karta.png", "A 72305-2021")</f>
        <v/>
      </c>
      <c r="V41">
        <f>HYPERLINK("https://klasma.github.io/Logging_0188/klagomål/A 72305-2021 FSC-klagomål.docx", "A 72305-2021")</f>
        <v/>
      </c>
      <c r="W41">
        <f>HYPERLINK("https://klasma.github.io/Logging_0188/klagomålsmail/A 72305-2021 FSC-klagomål mail.docx", "A 72305-2021")</f>
        <v/>
      </c>
      <c r="X41">
        <f>HYPERLINK("https://klasma.github.io/Logging_0188/tillsyn/A 72305-2021 tillsynsbegäran.docx", "A 72305-2021")</f>
        <v/>
      </c>
      <c r="Y41">
        <f>HYPERLINK("https://klasma.github.io/Logging_0188/tillsynsmail/A 72305-2021 tillsynsbegäran mail.docx", "A 72305-2021")</f>
        <v/>
      </c>
    </row>
    <row r="42" ht="15" customHeight="1">
      <c r="A42" t="inlineStr">
        <is>
          <t>A 24052-2021</t>
        </is>
      </c>
      <c r="B42" s="1" t="n">
        <v>44336</v>
      </c>
      <c r="C42" s="1" t="n">
        <v>45930</v>
      </c>
      <c r="D42" t="inlineStr">
        <is>
          <t>STOCKHOLMS LÄN</t>
        </is>
      </c>
      <c r="E42" t="inlineStr">
        <is>
          <t>NORRTÄLJE</t>
        </is>
      </c>
      <c r="G42" t="n">
        <v>8.6</v>
      </c>
      <c r="H42" t="n">
        <v>4</v>
      </c>
      <c r="I42" t="n">
        <v>0</v>
      </c>
      <c r="J42" t="n">
        <v>2</v>
      </c>
      <c r="K42" t="n">
        <v>0</v>
      </c>
      <c r="L42" t="n">
        <v>0</v>
      </c>
      <c r="M42" t="n">
        <v>0</v>
      </c>
      <c r="N42" t="n">
        <v>0</v>
      </c>
      <c r="O42" t="n">
        <v>2</v>
      </c>
      <c r="P42" t="n">
        <v>0</v>
      </c>
      <c r="Q42" t="n">
        <v>4</v>
      </c>
      <c r="R42" s="2" t="inlineStr">
        <is>
          <t>Brunlångöra
Nordfladdermus
Dvärgpipistrell
Större brunfladdermus</t>
        </is>
      </c>
      <c r="S42">
        <f>HYPERLINK("https://klasma.github.io/Logging_0188/artfynd/A 24052-2021 artfynd.xlsx", "A 24052-2021")</f>
        <v/>
      </c>
      <c r="T42">
        <f>HYPERLINK("https://klasma.github.io/Logging_0188/kartor/A 24052-2021 karta.png", "A 24052-2021")</f>
        <v/>
      </c>
      <c r="V42">
        <f>HYPERLINK("https://klasma.github.io/Logging_0188/klagomål/A 24052-2021 FSC-klagomål.docx", "A 24052-2021")</f>
        <v/>
      </c>
      <c r="W42">
        <f>HYPERLINK("https://klasma.github.io/Logging_0188/klagomålsmail/A 24052-2021 FSC-klagomål mail.docx", "A 24052-2021")</f>
        <v/>
      </c>
      <c r="X42">
        <f>HYPERLINK("https://klasma.github.io/Logging_0188/tillsyn/A 24052-2021 tillsynsbegäran.docx", "A 24052-2021")</f>
        <v/>
      </c>
      <c r="Y42">
        <f>HYPERLINK("https://klasma.github.io/Logging_0188/tillsynsmail/A 24052-2021 tillsynsbegäran mail.docx", "A 24052-2021")</f>
        <v/>
      </c>
    </row>
    <row r="43" ht="15" customHeight="1">
      <c r="A43" t="inlineStr">
        <is>
          <t>A 34521-2025</t>
        </is>
      </c>
      <c r="B43" s="1" t="n">
        <v>45847.47052083333</v>
      </c>
      <c r="C43" s="1" t="n">
        <v>45930</v>
      </c>
      <c r="D43" t="inlineStr">
        <is>
          <t>STOCKHOLMS LÄN</t>
        </is>
      </c>
      <c r="E43" t="inlineStr">
        <is>
          <t>NORRTÄLJE</t>
        </is>
      </c>
      <c r="G43" t="n">
        <v>4.3</v>
      </c>
      <c r="H43" t="n">
        <v>0</v>
      </c>
      <c r="I43" t="n">
        <v>2</v>
      </c>
      <c r="J43" t="n">
        <v>2</v>
      </c>
      <c r="K43" t="n">
        <v>0</v>
      </c>
      <c r="L43" t="n">
        <v>0</v>
      </c>
      <c r="M43" t="n">
        <v>0</v>
      </c>
      <c r="N43" t="n">
        <v>0</v>
      </c>
      <c r="O43" t="n">
        <v>2</v>
      </c>
      <c r="P43" t="n">
        <v>0</v>
      </c>
      <c r="Q43" t="n">
        <v>4</v>
      </c>
      <c r="R43" s="2" t="inlineStr">
        <is>
          <t>Kandelabersvamp
Vedtrappmossa
Anisspindling
Stor aspticka</t>
        </is>
      </c>
      <c r="S43">
        <f>HYPERLINK("https://klasma.github.io/Logging_0188/artfynd/A 34521-2025 artfynd.xlsx", "A 34521-2025")</f>
        <v/>
      </c>
      <c r="T43">
        <f>HYPERLINK("https://klasma.github.io/Logging_0188/kartor/A 34521-2025 karta.png", "A 34521-2025")</f>
        <v/>
      </c>
      <c r="V43">
        <f>HYPERLINK("https://klasma.github.io/Logging_0188/klagomål/A 34521-2025 FSC-klagomål.docx", "A 34521-2025")</f>
        <v/>
      </c>
      <c r="W43">
        <f>HYPERLINK("https://klasma.github.io/Logging_0188/klagomålsmail/A 34521-2025 FSC-klagomål mail.docx", "A 34521-2025")</f>
        <v/>
      </c>
      <c r="X43">
        <f>HYPERLINK("https://klasma.github.io/Logging_0188/tillsyn/A 34521-2025 tillsynsbegäran.docx", "A 34521-2025")</f>
        <v/>
      </c>
      <c r="Y43">
        <f>HYPERLINK("https://klasma.github.io/Logging_0188/tillsynsmail/A 34521-2025 tillsynsbegäran mail.docx", "A 34521-2025")</f>
        <v/>
      </c>
    </row>
    <row r="44" ht="15" customHeight="1">
      <c r="A44" t="inlineStr">
        <is>
          <t>A 44709-2022</t>
        </is>
      </c>
      <c r="B44" s="1" t="n">
        <v>44839</v>
      </c>
      <c r="C44" s="1" t="n">
        <v>45930</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17673-2021</t>
        </is>
      </c>
      <c r="B45" s="1" t="n">
        <v>44300</v>
      </c>
      <c r="C45" s="1" t="n">
        <v>45930</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14560-2021</t>
        </is>
      </c>
      <c r="B46" s="1" t="n">
        <v>44279</v>
      </c>
      <c r="C46" s="1" t="n">
        <v>45930</v>
      </c>
      <c r="D46" t="inlineStr">
        <is>
          <t>STOCKHOLMS LÄN</t>
        </is>
      </c>
      <c r="E46" t="inlineStr">
        <is>
          <t>NORRTÄLJE</t>
        </is>
      </c>
      <c r="G46" t="n">
        <v>1.8</v>
      </c>
      <c r="H46" t="n">
        <v>0</v>
      </c>
      <c r="I46" t="n">
        <v>2</v>
      </c>
      <c r="J46" t="n">
        <v>1</v>
      </c>
      <c r="K46" t="n">
        <v>0</v>
      </c>
      <c r="L46" t="n">
        <v>0</v>
      </c>
      <c r="M46" t="n">
        <v>0</v>
      </c>
      <c r="N46" t="n">
        <v>0</v>
      </c>
      <c r="O46" t="n">
        <v>1</v>
      </c>
      <c r="P46" t="n">
        <v>0</v>
      </c>
      <c r="Q46" t="n">
        <v>3</v>
      </c>
      <c r="R46" s="2" t="inlineStr">
        <is>
          <t>Vit vedfingersvamp
Stor aspticka
Vedticka</t>
        </is>
      </c>
      <c r="S46">
        <f>HYPERLINK("https://klasma.github.io/Logging_0188/artfynd/A 14560-2021 artfynd.xlsx", "A 14560-2021")</f>
        <v/>
      </c>
      <c r="T46">
        <f>HYPERLINK("https://klasma.github.io/Logging_0188/kartor/A 14560-2021 karta.png", "A 14560-2021")</f>
        <v/>
      </c>
      <c r="V46">
        <f>HYPERLINK("https://klasma.github.io/Logging_0188/klagomål/A 14560-2021 FSC-klagomål.docx", "A 14560-2021")</f>
        <v/>
      </c>
      <c r="W46">
        <f>HYPERLINK("https://klasma.github.io/Logging_0188/klagomålsmail/A 14560-2021 FSC-klagomål mail.docx", "A 14560-2021")</f>
        <v/>
      </c>
      <c r="X46">
        <f>HYPERLINK("https://klasma.github.io/Logging_0188/tillsyn/A 14560-2021 tillsynsbegäran.docx", "A 14560-2021")</f>
        <v/>
      </c>
      <c r="Y46">
        <f>HYPERLINK("https://klasma.github.io/Logging_0188/tillsynsmail/A 14560-2021 tillsynsbegäran mail.docx", "A 14560-2021")</f>
        <v/>
      </c>
    </row>
    <row r="47" ht="15" customHeight="1">
      <c r="A47" t="inlineStr">
        <is>
          <t>A 45113-2022</t>
        </is>
      </c>
      <c r="B47" s="1" t="n">
        <v>44843</v>
      </c>
      <c r="C47" s="1" t="n">
        <v>45930</v>
      </c>
      <c r="D47" t="inlineStr">
        <is>
          <t>STOCKHOLMS LÄN</t>
        </is>
      </c>
      <c r="E47" t="inlineStr">
        <is>
          <t>NORRTÄLJE</t>
        </is>
      </c>
      <c r="G47" t="n">
        <v>1.7</v>
      </c>
      <c r="H47" t="n">
        <v>0</v>
      </c>
      <c r="I47" t="n">
        <v>1</v>
      </c>
      <c r="J47" t="n">
        <v>1</v>
      </c>
      <c r="K47" t="n">
        <v>1</v>
      </c>
      <c r="L47" t="n">
        <v>0</v>
      </c>
      <c r="M47" t="n">
        <v>0</v>
      </c>
      <c r="N47" t="n">
        <v>0</v>
      </c>
      <c r="O47" t="n">
        <v>2</v>
      </c>
      <c r="P47" t="n">
        <v>1</v>
      </c>
      <c r="Q47" t="n">
        <v>3</v>
      </c>
      <c r="R47" s="2" t="inlineStr">
        <is>
          <t>Violett fingersvamp
Kandelabersvamp
Slät lönnlav</t>
        </is>
      </c>
      <c r="S47">
        <f>HYPERLINK("https://klasma.github.io/Logging_0188/artfynd/A 45113-2022 artfynd.xlsx", "A 45113-2022")</f>
        <v/>
      </c>
      <c r="T47">
        <f>HYPERLINK("https://klasma.github.io/Logging_0188/kartor/A 45113-2022 karta.png", "A 45113-2022")</f>
        <v/>
      </c>
      <c r="V47">
        <f>HYPERLINK("https://klasma.github.io/Logging_0188/klagomål/A 45113-2022 FSC-klagomål.docx", "A 45113-2022")</f>
        <v/>
      </c>
      <c r="W47">
        <f>HYPERLINK("https://klasma.github.io/Logging_0188/klagomålsmail/A 45113-2022 FSC-klagomål mail.docx", "A 45113-2022")</f>
        <v/>
      </c>
      <c r="X47">
        <f>HYPERLINK("https://klasma.github.io/Logging_0188/tillsyn/A 45113-2022 tillsynsbegäran.docx", "A 45113-2022")</f>
        <v/>
      </c>
      <c r="Y47">
        <f>HYPERLINK("https://klasma.github.io/Logging_0188/tillsynsmail/A 45113-2022 tillsynsbegäran mail.docx", "A 45113-2022")</f>
        <v/>
      </c>
    </row>
    <row r="48" ht="15" customHeight="1">
      <c r="A48" t="inlineStr">
        <is>
          <t>A 28836-2022</t>
        </is>
      </c>
      <c r="B48" s="1" t="n">
        <v>44749</v>
      </c>
      <c r="C48" s="1" t="n">
        <v>45930</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2851-2023</t>
        </is>
      </c>
      <c r="B49" s="1" t="n">
        <v>44945</v>
      </c>
      <c r="C49" s="1" t="n">
        <v>45930</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45930</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45930</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54110-2024</t>
        </is>
      </c>
      <c r="B52" s="1" t="n">
        <v>45616.54866898148</v>
      </c>
      <c r="C52" s="1" t="n">
        <v>45930</v>
      </c>
      <c r="D52" t="inlineStr">
        <is>
          <t>STOCKHOLMS LÄN</t>
        </is>
      </c>
      <c r="E52" t="inlineStr">
        <is>
          <t>NORRTÄLJE</t>
        </is>
      </c>
      <c r="G52" t="n">
        <v>6.7</v>
      </c>
      <c r="H52" t="n">
        <v>2</v>
      </c>
      <c r="I52" t="n">
        <v>0</v>
      </c>
      <c r="J52" t="n">
        <v>1</v>
      </c>
      <c r="K52" t="n">
        <v>0</v>
      </c>
      <c r="L52" t="n">
        <v>0</v>
      </c>
      <c r="M52" t="n">
        <v>0</v>
      </c>
      <c r="N52" t="n">
        <v>0</v>
      </c>
      <c r="O52" t="n">
        <v>1</v>
      </c>
      <c r="P52" t="n">
        <v>0</v>
      </c>
      <c r="Q52" t="n">
        <v>3</v>
      </c>
      <c r="R52" s="2" t="inlineStr">
        <is>
          <t>Klasefibbla
Nattviol
Gullviva</t>
        </is>
      </c>
      <c r="S52">
        <f>HYPERLINK("https://klasma.github.io/Logging_0188/artfynd/A 54110-2024 artfynd.xlsx", "A 54110-2024")</f>
        <v/>
      </c>
      <c r="T52">
        <f>HYPERLINK("https://klasma.github.io/Logging_0188/kartor/A 54110-2024 karta.png", "A 54110-2024")</f>
        <v/>
      </c>
      <c r="V52">
        <f>HYPERLINK("https://klasma.github.io/Logging_0188/klagomål/A 54110-2024 FSC-klagomål.docx", "A 54110-2024")</f>
        <v/>
      </c>
      <c r="W52">
        <f>HYPERLINK("https://klasma.github.io/Logging_0188/klagomålsmail/A 54110-2024 FSC-klagomål mail.docx", "A 54110-2024")</f>
        <v/>
      </c>
      <c r="X52">
        <f>HYPERLINK("https://klasma.github.io/Logging_0188/tillsyn/A 54110-2024 tillsynsbegäran.docx", "A 54110-2024")</f>
        <v/>
      </c>
      <c r="Y52">
        <f>HYPERLINK("https://klasma.github.io/Logging_0188/tillsynsmail/A 54110-2024 tillsynsbegäran mail.docx", "A 54110-2024")</f>
        <v/>
      </c>
    </row>
    <row r="53" ht="15" customHeight="1">
      <c r="A53" t="inlineStr">
        <is>
          <t>A 29185-2025</t>
        </is>
      </c>
      <c r="B53" s="1" t="n">
        <v>45821</v>
      </c>
      <c r="C53" s="1" t="n">
        <v>45930</v>
      </c>
      <c r="D53" t="inlineStr">
        <is>
          <t>STOCKHOLMS LÄN</t>
        </is>
      </c>
      <c r="E53" t="inlineStr">
        <is>
          <t>NORRTÄLJE</t>
        </is>
      </c>
      <c r="F53" t="inlineStr">
        <is>
          <t>Övriga Aktiebolag</t>
        </is>
      </c>
      <c r="G53" t="n">
        <v>8.5</v>
      </c>
      <c r="H53" t="n">
        <v>2</v>
      </c>
      <c r="I53" t="n">
        <v>1</v>
      </c>
      <c r="J53" t="n">
        <v>0</v>
      </c>
      <c r="K53" t="n">
        <v>0</v>
      </c>
      <c r="L53" t="n">
        <v>0</v>
      </c>
      <c r="M53" t="n">
        <v>0</v>
      </c>
      <c r="N53" t="n">
        <v>0</v>
      </c>
      <c r="O53" t="n">
        <v>0</v>
      </c>
      <c r="P53" t="n">
        <v>0</v>
      </c>
      <c r="Q53" t="n">
        <v>3</v>
      </c>
      <c r="R53" s="2" t="inlineStr">
        <is>
          <t>Vårärt
Fläcknycklar
Blåsippa</t>
        </is>
      </c>
      <c r="S53">
        <f>HYPERLINK("https://klasma.github.io/Logging_0188/artfynd/A 29185-2025 artfynd.xlsx", "A 29185-2025")</f>
        <v/>
      </c>
      <c r="T53">
        <f>HYPERLINK("https://klasma.github.io/Logging_0188/kartor/A 29185-2025 karta.png", "A 29185-2025")</f>
        <v/>
      </c>
      <c r="V53">
        <f>HYPERLINK("https://klasma.github.io/Logging_0188/klagomål/A 29185-2025 FSC-klagomål.docx", "A 29185-2025")</f>
        <v/>
      </c>
      <c r="W53">
        <f>HYPERLINK("https://klasma.github.io/Logging_0188/klagomålsmail/A 29185-2025 FSC-klagomål mail.docx", "A 29185-2025")</f>
        <v/>
      </c>
      <c r="X53">
        <f>HYPERLINK("https://klasma.github.io/Logging_0188/tillsyn/A 29185-2025 tillsynsbegäran.docx", "A 29185-2025")</f>
        <v/>
      </c>
      <c r="Y53">
        <f>HYPERLINK("https://klasma.github.io/Logging_0188/tillsynsmail/A 29185-2025 tillsynsbegäran mail.docx", "A 29185-2025")</f>
        <v/>
      </c>
    </row>
    <row r="54" ht="15" customHeight="1">
      <c r="A54" t="inlineStr">
        <is>
          <t>A 53065-2024</t>
        </is>
      </c>
      <c r="B54" s="1" t="n">
        <v>45611.47233796296</v>
      </c>
      <c r="C54" s="1" t="n">
        <v>45930</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34524-2025</t>
        </is>
      </c>
      <c r="B55" s="1" t="n">
        <v>45847.47685185185</v>
      </c>
      <c r="C55" s="1" t="n">
        <v>45930</v>
      </c>
      <c r="D55" t="inlineStr">
        <is>
          <t>STOCKHOLMS LÄN</t>
        </is>
      </c>
      <c r="E55" t="inlineStr">
        <is>
          <t>NORRTÄLJE</t>
        </is>
      </c>
      <c r="G55" t="n">
        <v>3.3</v>
      </c>
      <c r="H55" t="n">
        <v>0</v>
      </c>
      <c r="I55" t="n">
        <v>1</v>
      </c>
      <c r="J55" t="n">
        <v>2</v>
      </c>
      <c r="K55" t="n">
        <v>0</v>
      </c>
      <c r="L55" t="n">
        <v>0</v>
      </c>
      <c r="M55" t="n">
        <v>0</v>
      </c>
      <c r="N55" t="n">
        <v>0</v>
      </c>
      <c r="O55" t="n">
        <v>2</v>
      </c>
      <c r="P55" t="n">
        <v>0</v>
      </c>
      <c r="Q55" t="n">
        <v>3</v>
      </c>
      <c r="R55" s="2" t="inlineStr">
        <is>
          <t>Tallticka
Vedtrappmossa
Kornknutmossa</t>
        </is>
      </c>
      <c r="S55">
        <f>HYPERLINK("https://klasma.github.io/Logging_0188/artfynd/A 34524-2025 artfynd.xlsx", "A 34524-2025")</f>
        <v/>
      </c>
      <c r="T55">
        <f>HYPERLINK("https://klasma.github.io/Logging_0188/kartor/A 34524-2025 karta.png", "A 34524-2025")</f>
        <v/>
      </c>
      <c r="V55">
        <f>HYPERLINK("https://klasma.github.io/Logging_0188/klagomål/A 34524-2025 FSC-klagomål.docx", "A 34524-2025")</f>
        <v/>
      </c>
      <c r="W55">
        <f>HYPERLINK("https://klasma.github.io/Logging_0188/klagomålsmail/A 34524-2025 FSC-klagomål mail.docx", "A 34524-2025")</f>
        <v/>
      </c>
      <c r="X55">
        <f>HYPERLINK("https://klasma.github.io/Logging_0188/tillsyn/A 34524-2025 tillsynsbegäran.docx", "A 34524-2025")</f>
        <v/>
      </c>
      <c r="Y55">
        <f>HYPERLINK("https://klasma.github.io/Logging_0188/tillsynsmail/A 34524-2025 tillsynsbegäran mail.docx", "A 34524-2025")</f>
        <v/>
      </c>
    </row>
    <row r="56" ht="15" customHeight="1">
      <c r="A56" t="inlineStr">
        <is>
          <t>A 50618-2022</t>
        </is>
      </c>
      <c r="B56" s="1" t="n">
        <v>44866</v>
      </c>
      <c r="C56" s="1" t="n">
        <v>45930</v>
      </c>
      <c r="D56" t="inlineStr">
        <is>
          <t>STOCKHOLMS LÄN</t>
        </is>
      </c>
      <c r="E56" t="inlineStr">
        <is>
          <t>NORRTÄLJE</t>
        </is>
      </c>
      <c r="G56" t="n">
        <v>7.8</v>
      </c>
      <c r="H56" t="n">
        <v>2</v>
      </c>
      <c r="I56" t="n">
        <v>2</v>
      </c>
      <c r="J56" t="n">
        <v>0</v>
      </c>
      <c r="K56" t="n">
        <v>0</v>
      </c>
      <c r="L56" t="n">
        <v>0</v>
      </c>
      <c r="M56" t="n">
        <v>0</v>
      </c>
      <c r="N56" t="n">
        <v>0</v>
      </c>
      <c r="O56" t="n">
        <v>0</v>
      </c>
      <c r="P56" t="n">
        <v>0</v>
      </c>
      <c r="Q56" t="n">
        <v>3</v>
      </c>
      <c r="R56" s="2" t="inlineStr">
        <is>
          <t>Skogsknipprot
Vårärt
Blåsippa</t>
        </is>
      </c>
      <c r="S56">
        <f>HYPERLINK("https://klasma.github.io/Logging_0188/artfynd/A 50618-2022 artfynd.xlsx", "A 50618-2022")</f>
        <v/>
      </c>
      <c r="T56">
        <f>HYPERLINK("https://klasma.github.io/Logging_0188/kartor/A 50618-2022 karta.png", "A 50618-2022")</f>
        <v/>
      </c>
      <c r="V56">
        <f>HYPERLINK("https://klasma.github.io/Logging_0188/klagomål/A 50618-2022 FSC-klagomål.docx", "A 50618-2022")</f>
        <v/>
      </c>
      <c r="W56">
        <f>HYPERLINK("https://klasma.github.io/Logging_0188/klagomålsmail/A 50618-2022 FSC-klagomål mail.docx", "A 50618-2022")</f>
        <v/>
      </c>
      <c r="X56">
        <f>HYPERLINK("https://klasma.github.io/Logging_0188/tillsyn/A 50618-2022 tillsynsbegäran.docx", "A 50618-2022")</f>
        <v/>
      </c>
      <c r="Y56">
        <f>HYPERLINK("https://klasma.github.io/Logging_0188/tillsynsmail/A 50618-2022 tillsynsbegäran mail.docx", "A 50618-2022")</f>
        <v/>
      </c>
    </row>
    <row r="57" ht="15" customHeight="1">
      <c r="A57" t="inlineStr">
        <is>
          <t>A 31803-2021</t>
        </is>
      </c>
      <c r="B57" s="1" t="n">
        <v>44370</v>
      </c>
      <c r="C57" s="1" t="n">
        <v>45930</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45930</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51220-2023</t>
        </is>
      </c>
      <c r="B59" s="1" t="n">
        <v>45219</v>
      </c>
      <c r="C59" s="1" t="n">
        <v>45930</v>
      </c>
      <c r="D59" t="inlineStr">
        <is>
          <t>STOCKHOLMS LÄN</t>
        </is>
      </c>
      <c r="E59" t="inlineStr">
        <is>
          <t>NORRTÄLJE</t>
        </is>
      </c>
      <c r="G59" t="n">
        <v>7.7</v>
      </c>
      <c r="H59" t="n">
        <v>1</v>
      </c>
      <c r="I59" t="n">
        <v>0</v>
      </c>
      <c r="J59" t="n">
        <v>1</v>
      </c>
      <c r="K59" t="n">
        <v>0</v>
      </c>
      <c r="L59" t="n">
        <v>0</v>
      </c>
      <c r="M59" t="n">
        <v>0</v>
      </c>
      <c r="N59" t="n">
        <v>0</v>
      </c>
      <c r="O59" t="n">
        <v>1</v>
      </c>
      <c r="P59" t="n">
        <v>0</v>
      </c>
      <c r="Q59" t="n">
        <v>2</v>
      </c>
      <c r="R59" s="2" t="inlineStr">
        <is>
          <t>Ullticka
Blåsippa</t>
        </is>
      </c>
      <c r="S59">
        <f>HYPERLINK("https://klasma.github.io/Logging_0188/artfynd/A 51220-2023 artfynd.xlsx", "A 51220-2023")</f>
        <v/>
      </c>
      <c r="T59">
        <f>HYPERLINK("https://klasma.github.io/Logging_0188/kartor/A 51220-2023 karta.png", "A 51220-2023")</f>
        <v/>
      </c>
      <c r="V59">
        <f>HYPERLINK("https://klasma.github.io/Logging_0188/klagomål/A 51220-2023 FSC-klagomål.docx", "A 51220-2023")</f>
        <v/>
      </c>
      <c r="W59">
        <f>HYPERLINK("https://klasma.github.io/Logging_0188/klagomålsmail/A 51220-2023 FSC-klagomål mail.docx", "A 51220-2023")</f>
        <v/>
      </c>
      <c r="X59">
        <f>HYPERLINK("https://klasma.github.io/Logging_0188/tillsyn/A 51220-2023 tillsynsbegäran.docx", "A 51220-2023")</f>
        <v/>
      </c>
      <c r="Y59">
        <f>HYPERLINK("https://klasma.github.io/Logging_0188/tillsynsmail/A 51220-2023 tillsynsbegäran mail.docx", "A 51220-2023")</f>
        <v/>
      </c>
    </row>
    <row r="60" ht="15" customHeight="1">
      <c r="A60" t="inlineStr">
        <is>
          <t>A 30693-2022</t>
        </is>
      </c>
      <c r="B60" s="1" t="n">
        <v>44763</v>
      </c>
      <c r="C60" s="1" t="n">
        <v>45930</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11031-2025</t>
        </is>
      </c>
      <c r="B61" s="1" t="n">
        <v>45723</v>
      </c>
      <c r="C61" s="1" t="n">
        <v>45930</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45930</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22190-2024</t>
        </is>
      </c>
      <c r="B63" s="1" t="n">
        <v>45446.35888888889</v>
      </c>
      <c r="C63" s="1" t="n">
        <v>45930</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52124-2022</t>
        </is>
      </c>
      <c r="B64" s="1" t="n">
        <v>44868</v>
      </c>
      <c r="C64" s="1" t="n">
        <v>45930</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51980-2022</t>
        </is>
      </c>
      <c r="B65" s="1" t="n">
        <v>44872</v>
      </c>
      <c r="C65" s="1" t="n">
        <v>45930</v>
      </c>
      <c r="D65" t="inlineStr">
        <is>
          <t>STOCKHOLMS LÄN</t>
        </is>
      </c>
      <c r="E65" t="inlineStr">
        <is>
          <t>NORRTÄLJE</t>
        </is>
      </c>
      <c r="G65" t="n">
        <v>7.9</v>
      </c>
      <c r="H65" t="n">
        <v>1</v>
      </c>
      <c r="I65" t="n">
        <v>2</v>
      </c>
      <c r="J65" t="n">
        <v>0</v>
      </c>
      <c r="K65" t="n">
        <v>0</v>
      </c>
      <c r="L65" t="n">
        <v>0</v>
      </c>
      <c r="M65" t="n">
        <v>0</v>
      </c>
      <c r="N65" t="n">
        <v>0</v>
      </c>
      <c r="O65" t="n">
        <v>0</v>
      </c>
      <c r="P65" t="n">
        <v>0</v>
      </c>
      <c r="Q65" t="n">
        <v>2</v>
      </c>
      <c r="R65" s="2" t="inlineStr">
        <is>
          <t>Rödgul trumpetsvamp
Skogsknipprot</t>
        </is>
      </c>
      <c r="S65">
        <f>HYPERLINK("https://klasma.github.io/Logging_0188/artfynd/A 51980-2022 artfynd.xlsx", "A 51980-2022")</f>
        <v/>
      </c>
      <c r="T65">
        <f>HYPERLINK("https://klasma.github.io/Logging_0188/kartor/A 51980-2022 karta.png", "A 51980-2022")</f>
        <v/>
      </c>
      <c r="V65">
        <f>HYPERLINK("https://klasma.github.io/Logging_0188/klagomål/A 51980-2022 FSC-klagomål.docx", "A 51980-2022")</f>
        <v/>
      </c>
      <c r="W65">
        <f>HYPERLINK("https://klasma.github.io/Logging_0188/klagomålsmail/A 51980-2022 FSC-klagomål mail.docx", "A 51980-2022")</f>
        <v/>
      </c>
      <c r="X65">
        <f>HYPERLINK("https://klasma.github.io/Logging_0188/tillsyn/A 51980-2022 tillsynsbegäran.docx", "A 51980-2022")</f>
        <v/>
      </c>
      <c r="Y65">
        <f>HYPERLINK("https://klasma.github.io/Logging_0188/tillsynsmail/A 51980-2022 tillsynsbegäran mail.docx", "A 51980-2022")</f>
        <v/>
      </c>
    </row>
    <row r="66" ht="15" customHeight="1">
      <c r="A66" t="inlineStr">
        <is>
          <t>A 25731-2025</t>
        </is>
      </c>
      <c r="B66" s="1" t="n">
        <v>45800</v>
      </c>
      <c r="C66" s="1" t="n">
        <v>45930</v>
      </c>
      <c r="D66" t="inlineStr">
        <is>
          <t>STOCKHOLMS LÄN</t>
        </is>
      </c>
      <c r="E66" t="inlineStr">
        <is>
          <t>NORRTÄLJE</t>
        </is>
      </c>
      <c r="G66" t="n">
        <v>11.9</v>
      </c>
      <c r="H66" t="n">
        <v>2</v>
      </c>
      <c r="I66" t="n">
        <v>0</v>
      </c>
      <c r="J66" t="n">
        <v>0</v>
      </c>
      <c r="K66" t="n">
        <v>1</v>
      </c>
      <c r="L66" t="n">
        <v>0</v>
      </c>
      <c r="M66" t="n">
        <v>0</v>
      </c>
      <c r="N66" t="n">
        <v>0</v>
      </c>
      <c r="O66" t="n">
        <v>1</v>
      </c>
      <c r="P66" t="n">
        <v>1</v>
      </c>
      <c r="Q66" t="n">
        <v>2</v>
      </c>
      <c r="R66" s="2" t="inlineStr">
        <is>
          <t>Knärot
Tjäder</t>
        </is>
      </c>
      <c r="S66">
        <f>HYPERLINK("https://klasma.github.io/Logging_0188/artfynd/A 25731-2025 artfynd.xlsx", "A 25731-2025")</f>
        <v/>
      </c>
      <c r="T66">
        <f>HYPERLINK("https://klasma.github.io/Logging_0188/kartor/A 25731-2025 karta.png", "A 25731-2025")</f>
        <v/>
      </c>
      <c r="U66">
        <f>HYPERLINK("https://klasma.github.io/Logging_0188/knärot/A 25731-2025 karta knärot.png", "A 25731-2025")</f>
        <v/>
      </c>
      <c r="V66">
        <f>HYPERLINK("https://klasma.github.io/Logging_0188/klagomål/A 25731-2025 FSC-klagomål.docx", "A 25731-2025")</f>
        <v/>
      </c>
      <c r="W66">
        <f>HYPERLINK("https://klasma.github.io/Logging_0188/klagomålsmail/A 25731-2025 FSC-klagomål mail.docx", "A 25731-2025")</f>
        <v/>
      </c>
      <c r="X66">
        <f>HYPERLINK("https://klasma.github.io/Logging_0188/tillsyn/A 25731-2025 tillsynsbegäran.docx", "A 25731-2025")</f>
        <v/>
      </c>
      <c r="Y66">
        <f>HYPERLINK("https://klasma.github.io/Logging_0188/tillsynsmail/A 25731-2025 tillsynsbegäran mail.docx", "A 25731-2025")</f>
        <v/>
      </c>
      <c r="Z66">
        <f>HYPERLINK("https://klasma.github.io/Logging_0188/fåglar/A 25731-2025 prioriterade fågelarter.docx", "A 25731-2025")</f>
        <v/>
      </c>
    </row>
    <row r="67" ht="15" customHeight="1">
      <c r="A67" t="inlineStr">
        <is>
          <t>A 20012-2025</t>
        </is>
      </c>
      <c r="B67" s="1" t="n">
        <v>45772.30234953704</v>
      </c>
      <c r="C67" s="1" t="n">
        <v>45930</v>
      </c>
      <c r="D67" t="inlineStr">
        <is>
          <t>STOCKHOLMS LÄN</t>
        </is>
      </c>
      <c r="E67" t="inlineStr">
        <is>
          <t>NORRTÄLJE</t>
        </is>
      </c>
      <c r="G67" t="n">
        <v>3.8</v>
      </c>
      <c r="H67" t="n">
        <v>0</v>
      </c>
      <c r="I67" t="n">
        <v>2</v>
      </c>
      <c r="J67" t="n">
        <v>0</v>
      </c>
      <c r="K67" t="n">
        <v>0</v>
      </c>
      <c r="L67" t="n">
        <v>0</v>
      </c>
      <c r="M67" t="n">
        <v>0</v>
      </c>
      <c r="N67" t="n">
        <v>0</v>
      </c>
      <c r="O67" t="n">
        <v>0</v>
      </c>
      <c r="P67" t="n">
        <v>0</v>
      </c>
      <c r="Q67" t="n">
        <v>2</v>
      </c>
      <c r="R67" s="2" t="inlineStr">
        <is>
          <t>Barkticka
Stor aspticka</t>
        </is>
      </c>
      <c r="S67">
        <f>HYPERLINK("https://klasma.github.io/Logging_0188/artfynd/A 20012-2025 artfynd.xlsx", "A 20012-2025")</f>
        <v/>
      </c>
      <c r="T67">
        <f>HYPERLINK("https://klasma.github.io/Logging_0188/kartor/A 20012-2025 karta.png", "A 20012-2025")</f>
        <v/>
      </c>
      <c r="V67">
        <f>HYPERLINK("https://klasma.github.io/Logging_0188/klagomål/A 20012-2025 FSC-klagomål.docx", "A 20012-2025")</f>
        <v/>
      </c>
      <c r="W67">
        <f>HYPERLINK("https://klasma.github.io/Logging_0188/klagomålsmail/A 20012-2025 FSC-klagomål mail.docx", "A 20012-2025")</f>
        <v/>
      </c>
      <c r="X67">
        <f>HYPERLINK("https://klasma.github.io/Logging_0188/tillsyn/A 20012-2025 tillsynsbegäran.docx", "A 20012-2025")</f>
        <v/>
      </c>
      <c r="Y67">
        <f>HYPERLINK("https://klasma.github.io/Logging_0188/tillsynsmail/A 20012-2025 tillsynsbegäran mail.docx", "A 20012-2025")</f>
        <v/>
      </c>
    </row>
    <row r="68" ht="15" customHeight="1">
      <c r="A68" t="inlineStr">
        <is>
          <t>A 52360-2024</t>
        </is>
      </c>
      <c r="B68" s="1" t="n">
        <v>45609.37094907407</v>
      </c>
      <c r="C68" s="1" t="n">
        <v>45930</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52825-2023</t>
        </is>
      </c>
      <c r="B69" s="1" t="n">
        <v>45226</v>
      </c>
      <c r="C69" s="1" t="n">
        <v>45930</v>
      </c>
      <c r="D69" t="inlineStr">
        <is>
          <t>STOCKHOLMS LÄN</t>
        </is>
      </c>
      <c r="E69" t="inlineStr">
        <is>
          <t>NORRTÄLJE</t>
        </is>
      </c>
      <c r="G69" t="n">
        <v>1</v>
      </c>
      <c r="H69" t="n">
        <v>0</v>
      </c>
      <c r="I69" t="n">
        <v>2</v>
      </c>
      <c r="J69" t="n">
        <v>0</v>
      </c>
      <c r="K69" t="n">
        <v>0</v>
      </c>
      <c r="L69" t="n">
        <v>0</v>
      </c>
      <c r="M69" t="n">
        <v>0</v>
      </c>
      <c r="N69" t="n">
        <v>0</v>
      </c>
      <c r="O69" t="n">
        <v>0</v>
      </c>
      <c r="P69" t="n">
        <v>0</v>
      </c>
      <c r="Q69" t="n">
        <v>2</v>
      </c>
      <c r="R69" s="2" t="inlineStr">
        <is>
          <t>Fjällig taggsvamp s.str.
Strimspindling</t>
        </is>
      </c>
      <c r="S69">
        <f>HYPERLINK("https://klasma.github.io/Logging_0188/artfynd/A 52825-2023 artfynd.xlsx", "A 52825-2023")</f>
        <v/>
      </c>
      <c r="T69">
        <f>HYPERLINK("https://klasma.github.io/Logging_0188/kartor/A 52825-2023 karta.png", "A 52825-2023")</f>
        <v/>
      </c>
      <c r="V69">
        <f>HYPERLINK("https://klasma.github.io/Logging_0188/klagomål/A 52825-2023 FSC-klagomål.docx", "A 52825-2023")</f>
        <v/>
      </c>
      <c r="W69">
        <f>HYPERLINK("https://klasma.github.io/Logging_0188/klagomålsmail/A 52825-2023 FSC-klagomål mail.docx", "A 52825-2023")</f>
        <v/>
      </c>
      <c r="X69">
        <f>HYPERLINK("https://klasma.github.io/Logging_0188/tillsyn/A 52825-2023 tillsynsbegäran.docx", "A 52825-2023")</f>
        <v/>
      </c>
      <c r="Y69">
        <f>HYPERLINK("https://klasma.github.io/Logging_0188/tillsynsmail/A 52825-2023 tillsynsbegäran mail.docx", "A 52825-2023")</f>
        <v/>
      </c>
    </row>
    <row r="70" ht="15" customHeight="1">
      <c r="A70" t="inlineStr">
        <is>
          <t>A 1547-2022</t>
        </is>
      </c>
      <c r="B70" s="1" t="n">
        <v>44573</v>
      </c>
      <c r="C70" s="1" t="n">
        <v>45930</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48288-2020</t>
        </is>
      </c>
      <c r="B71" s="1" t="n">
        <v>44102</v>
      </c>
      <c r="C71" s="1" t="n">
        <v>45930</v>
      </c>
      <c r="D71" t="inlineStr">
        <is>
          <t>STOCKHOLMS LÄN</t>
        </is>
      </c>
      <c r="E71" t="inlineStr">
        <is>
          <t>NORRTÄLJE</t>
        </is>
      </c>
      <c r="F71" t="inlineStr">
        <is>
          <t>Holmen skog AB</t>
        </is>
      </c>
      <c r="G71" t="n">
        <v>2.9</v>
      </c>
      <c r="H71" t="n">
        <v>1</v>
      </c>
      <c r="I71" t="n">
        <v>0</v>
      </c>
      <c r="J71" t="n">
        <v>0</v>
      </c>
      <c r="K71" t="n">
        <v>0</v>
      </c>
      <c r="L71" t="n">
        <v>1</v>
      </c>
      <c r="M71" t="n">
        <v>0</v>
      </c>
      <c r="N71" t="n">
        <v>0</v>
      </c>
      <c r="O71" t="n">
        <v>1</v>
      </c>
      <c r="P71" t="n">
        <v>1</v>
      </c>
      <c r="Q71" t="n">
        <v>1</v>
      </c>
      <c r="R71" s="2" t="inlineStr">
        <is>
          <t>Asknätfjäril</t>
        </is>
      </c>
      <c r="S71">
        <f>HYPERLINK("https://klasma.github.io/Logging_0188/artfynd/A 48288-2020 artfynd.xlsx", "A 48288-2020")</f>
        <v/>
      </c>
      <c r="T71">
        <f>HYPERLINK("https://klasma.github.io/Logging_0188/kartor/A 48288-2020 karta.png", "A 48288-2020")</f>
        <v/>
      </c>
      <c r="V71">
        <f>HYPERLINK("https://klasma.github.io/Logging_0188/klagomål/A 48288-2020 FSC-klagomål.docx", "A 48288-2020")</f>
        <v/>
      </c>
      <c r="W71">
        <f>HYPERLINK("https://klasma.github.io/Logging_0188/klagomålsmail/A 48288-2020 FSC-klagomål mail.docx", "A 48288-2020")</f>
        <v/>
      </c>
      <c r="X71">
        <f>HYPERLINK("https://klasma.github.io/Logging_0188/tillsyn/A 48288-2020 tillsynsbegäran.docx", "A 48288-2020")</f>
        <v/>
      </c>
      <c r="Y71">
        <f>HYPERLINK("https://klasma.github.io/Logging_0188/tillsynsmail/A 48288-2020 tillsynsbegäran mail.docx", "A 48288-2020")</f>
        <v/>
      </c>
    </row>
    <row r="72" ht="15" customHeight="1">
      <c r="A72" t="inlineStr">
        <is>
          <t>A 188-2022</t>
        </is>
      </c>
      <c r="B72" s="1" t="n">
        <v>44564.66387731482</v>
      </c>
      <c r="C72" s="1" t="n">
        <v>45930</v>
      </c>
      <c r="D72" t="inlineStr">
        <is>
          <t>STOCKHOLMS LÄN</t>
        </is>
      </c>
      <c r="E72" t="inlineStr">
        <is>
          <t>NORRTÄLJE</t>
        </is>
      </c>
      <c r="G72" t="n">
        <v>4.1</v>
      </c>
      <c r="H72" t="n">
        <v>0</v>
      </c>
      <c r="I72" t="n">
        <v>1</v>
      </c>
      <c r="J72" t="n">
        <v>0</v>
      </c>
      <c r="K72" t="n">
        <v>0</v>
      </c>
      <c r="L72" t="n">
        <v>0</v>
      </c>
      <c r="M72" t="n">
        <v>0</v>
      </c>
      <c r="N72" t="n">
        <v>0</v>
      </c>
      <c r="O72" t="n">
        <v>0</v>
      </c>
      <c r="P72" t="n">
        <v>0</v>
      </c>
      <c r="Q72" t="n">
        <v>1</v>
      </c>
      <c r="R72" s="2" t="inlineStr">
        <is>
          <t>Svart trolldruva</t>
        </is>
      </c>
      <c r="S72">
        <f>HYPERLINK("https://klasma.github.io/Logging_0188/artfynd/A 188-2022 artfynd.xlsx", "A 188-2022")</f>
        <v/>
      </c>
      <c r="T72">
        <f>HYPERLINK("https://klasma.github.io/Logging_0188/kartor/A 188-2022 karta.png", "A 188-2022")</f>
        <v/>
      </c>
      <c r="V72">
        <f>HYPERLINK("https://klasma.github.io/Logging_0188/klagomål/A 188-2022 FSC-klagomål.docx", "A 188-2022")</f>
        <v/>
      </c>
      <c r="W72">
        <f>HYPERLINK("https://klasma.github.io/Logging_0188/klagomålsmail/A 188-2022 FSC-klagomål mail.docx", "A 188-2022")</f>
        <v/>
      </c>
      <c r="X72">
        <f>HYPERLINK("https://klasma.github.io/Logging_0188/tillsyn/A 188-2022 tillsynsbegäran.docx", "A 188-2022")</f>
        <v/>
      </c>
      <c r="Y72">
        <f>HYPERLINK("https://klasma.github.io/Logging_0188/tillsynsmail/A 188-2022 tillsynsbegäran mail.docx", "A 188-2022")</f>
        <v/>
      </c>
    </row>
    <row r="73" ht="15" customHeight="1">
      <c r="A73" t="inlineStr">
        <is>
          <t>A 62846-2020</t>
        </is>
      </c>
      <c r="B73" s="1" t="n">
        <v>44161</v>
      </c>
      <c r="C73" s="1" t="n">
        <v>45930</v>
      </c>
      <c r="D73" t="inlineStr">
        <is>
          <t>STOCKHOLMS LÄN</t>
        </is>
      </c>
      <c r="E73" t="inlineStr">
        <is>
          <t>NORRTÄLJE</t>
        </is>
      </c>
      <c r="G73" t="n">
        <v>1.4</v>
      </c>
      <c r="H73" t="n">
        <v>1</v>
      </c>
      <c r="I73" t="n">
        <v>0</v>
      </c>
      <c r="J73" t="n">
        <v>0</v>
      </c>
      <c r="K73" t="n">
        <v>0</v>
      </c>
      <c r="L73" t="n">
        <v>0</v>
      </c>
      <c r="M73" t="n">
        <v>0</v>
      </c>
      <c r="N73" t="n">
        <v>0</v>
      </c>
      <c r="O73" t="n">
        <v>0</v>
      </c>
      <c r="P73" t="n">
        <v>0</v>
      </c>
      <c r="Q73" t="n">
        <v>1</v>
      </c>
      <c r="R73" s="2" t="inlineStr">
        <is>
          <t>Fläcknycklar</t>
        </is>
      </c>
      <c r="S73">
        <f>HYPERLINK("https://klasma.github.io/Logging_0188/artfynd/A 62846-2020 artfynd.xlsx", "A 62846-2020")</f>
        <v/>
      </c>
      <c r="T73">
        <f>HYPERLINK("https://klasma.github.io/Logging_0188/kartor/A 62846-2020 karta.png", "A 62846-2020")</f>
        <v/>
      </c>
      <c r="V73">
        <f>HYPERLINK("https://klasma.github.io/Logging_0188/klagomål/A 62846-2020 FSC-klagomål.docx", "A 62846-2020")</f>
        <v/>
      </c>
      <c r="W73">
        <f>HYPERLINK("https://klasma.github.io/Logging_0188/klagomålsmail/A 62846-2020 FSC-klagomål mail.docx", "A 62846-2020")</f>
        <v/>
      </c>
      <c r="X73">
        <f>HYPERLINK("https://klasma.github.io/Logging_0188/tillsyn/A 62846-2020 tillsynsbegäran.docx", "A 62846-2020")</f>
        <v/>
      </c>
      <c r="Y73">
        <f>HYPERLINK("https://klasma.github.io/Logging_0188/tillsynsmail/A 62846-2020 tillsynsbegäran mail.docx", "A 62846-2020")</f>
        <v/>
      </c>
    </row>
    <row r="74" ht="15" customHeight="1">
      <c r="A74" t="inlineStr">
        <is>
          <t>A 30138-2021</t>
        </is>
      </c>
      <c r="B74" s="1" t="n">
        <v>44363</v>
      </c>
      <c r="C74" s="1" t="n">
        <v>45930</v>
      </c>
      <c r="D74" t="inlineStr">
        <is>
          <t>STOCKHOLMS LÄN</t>
        </is>
      </c>
      <c r="E74" t="inlineStr">
        <is>
          <t>NORRTÄLJE</t>
        </is>
      </c>
      <c r="G74" t="n">
        <v>4.5</v>
      </c>
      <c r="H74" t="n">
        <v>0</v>
      </c>
      <c r="I74" t="n">
        <v>1</v>
      </c>
      <c r="J74" t="n">
        <v>0</v>
      </c>
      <c r="K74" t="n">
        <v>0</v>
      </c>
      <c r="L74" t="n">
        <v>0</v>
      </c>
      <c r="M74" t="n">
        <v>0</v>
      </c>
      <c r="N74" t="n">
        <v>0</v>
      </c>
      <c r="O74" t="n">
        <v>0</v>
      </c>
      <c r="P74" t="n">
        <v>0</v>
      </c>
      <c r="Q74" t="n">
        <v>1</v>
      </c>
      <c r="R74" s="2" t="inlineStr">
        <is>
          <t>Vårärt</t>
        </is>
      </c>
      <c r="S74">
        <f>HYPERLINK("https://klasma.github.io/Logging_0188/artfynd/A 30138-2021 artfynd.xlsx", "A 30138-2021")</f>
        <v/>
      </c>
      <c r="T74">
        <f>HYPERLINK("https://klasma.github.io/Logging_0188/kartor/A 30138-2021 karta.png", "A 30138-2021")</f>
        <v/>
      </c>
      <c r="V74">
        <f>HYPERLINK("https://klasma.github.io/Logging_0188/klagomål/A 30138-2021 FSC-klagomål.docx", "A 30138-2021")</f>
        <v/>
      </c>
      <c r="W74">
        <f>HYPERLINK("https://klasma.github.io/Logging_0188/klagomålsmail/A 30138-2021 FSC-klagomål mail.docx", "A 30138-2021")</f>
        <v/>
      </c>
      <c r="X74">
        <f>HYPERLINK("https://klasma.github.io/Logging_0188/tillsyn/A 30138-2021 tillsynsbegäran.docx", "A 30138-2021")</f>
        <v/>
      </c>
      <c r="Y74">
        <f>HYPERLINK("https://klasma.github.io/Logging_0188/tillsynsmail/A 30138-2021 tillsynsbegäran mail.docx", "A 30138-2021")</f>
        <v/>
      </c>
    </row>
    <row r="75" ht="15" customHeight="1">
      <c r="A75" t="inlineStr">
        <is>
          <t>A 17629-2022</t>
        </is>
      </c>
      <c r="B75" s="1" t="n">
        <v>44680</v>
      </c>
      <c r="C75" s="1" t="n">
        <v>45930</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32111-2022</t>
        </is>
      </c>
      <c r="B76" s="1" t="n">
        <v>44778.92797453704</v>
      </c>
      <c r="C76" s="1" t="n">
        <v>45930</v>
      </c>
      <c r="D76" t="inlineStr">
        <is>
          <t>STOCKHOLMS LÄN</t>
        </is>
      </c>
      <c r="E76" t="inlineStr">
        <is>
          <t>NORRTÄLJE</t>
        </is>
      </c>
      <c r="G76" t="n">
        <v>3.1</v>
      </c>
      <c r="H76" t="n">
        <v>0</v>
      </c>
      <c r="I76" t="n">
        <v>0</v>
      </c>
      <c r="J76" t="n">
        <v>1</v>
      </c>
      <c r="K76" t="n">
        <v>0</v>
      </c>
      <c r="L76" t="n">
        <v>0</v>
      </c>
      <c r="M76" t="n">
        <v>0</v>
      </c>
      <c r="N76" t="n">
        <v>0</v>
      </c>
      <c r="O76" t="n">
        <v>1</v>
      </c>
      <c r="P76" t="n">
        <v>0</v>
      </c>
      <c r="Q76" t="n">
        <v>1</v>
      </c>
      <c r="R76" s="2" t="inlineStr">
        <is>
          <t>Orange taggsvamp</t>
        </is>
      </c>
      <c r="S76">
        <f>HYPERLINK("https://klasma.github.io/Logging_0188/artfynd/A 32111-2022 artfynd.xlsx", "A 32111-2022")</f>
        <v/>
      </c>
      <c r="T76">
        <f>HYPERLINK("https://klasma.github.io/Logging_0188/kartor/A 32111-2022 karta.png", "A 32111-2022")</f>
        <v/>
      </c>
      <c r="V76">
        <f>HYPERLINK("https://klasma.github.io/Logging_0188/klagomål/A 32111-2022 FSC-klagomål.docx", "A 32111-2022")</f>
        <v/>
      </c>
      <c r="W76">
        <f>HYPERLINK("https://klasma.github.io/Logging_0188/klagomålsmail/A 32111-2022 FSC-klagomål mail.docx", "A 32111-2022")</f>
        <v/>
      </c>
      <c r="X76">
        <f>HYPERLINK("https://klasma.github.io/Logging_0188/tillsyn/A 32111-2022 tillsynsbegäran.docx", "A 32111-2022")</f>
        <v/>
      </c>
      <c r="Y76">
        <f>HYPERLINK("https://klasma.github.io/Logging_0188/tillsynsmail/A 32111-2022 tillsynsbegäran mail.docx", "A 32111-2022")</f>
        <v/>
      </c>
    </row>
    <row r="77" ht="15" customHeight="1">
      <c r="A77" t="inlineStr">
        <is>
          <t>A 33477-2022</t>
        </is>
      </c>
      <c r="B77" s="1" t="n">
        <v>44788.70217592592</v>
      </c>
      <c r="C77" s="1" t="n">
        <v>45930</v>
      </c>
      <c r="D77" t="inlineStr">
        <is>
          <t>STOCKHOLMS LÄN</t>
        </is>
      </c>
      <c r="E77" t="inlineStr">
        <is>
          <t>NORRTÄLJE</t>
        </is>
      </c>
      <c r="G77" t="n">
        <v>5.7</v>
      </c>
      <c r="H77" t="n">
        <v>1</v>
      </c>
      <c r="I77" t="n">
        <v>1</v>
      </c>
      <c r="J77" t="n">
        <v>0</v>
      </c>
      <c r="K77" t="n">
        <v>0</v>
      </c>
      <c r="L77" t="n">
        <v>0</v>
      </c>
      <c r="M77" t="n">
        <v>0</v>
      </c>
      <c r="N77" t="n">
        <v>0</v>
      </c>
      <c r="O77" t="n">
        <v>0</v>
      </c>
      <c r="P77" t="n">
        <v>0</v>
      </c>
      <c r="Q77" t="n">
        <v>1</v>
      </c>
      <c r="R77" s="2" t="inlineStr">
        <is>
          <t>Nästrot</t>
        </is>
      </c>
      <c r="S77">
        <f>HYPERLINK("https://klasma.github.io/Logging_0188/artfynd/A 33477-2022 artfynd.xlsx", "A 33477-2022")</f>
        <v/>
      </c>
      <c r="T77">
        <f>HYPERLINK("https://klasma.github.io/Logging_0188/kartor/A 33477-2022 karta.png", "A 33477-2022")</f>
        <v/>
      </c>
      <c r="V77">
        <f>HYPERLINK("https://klasma.github.io/Logging_0188/klagomål/A 33477-2022 FSC-klagomål.docx", "A 33477-2022")</f>
        <v/>
      </c>
      <c r="W77">
        <f>HYPERLINK("https://klasma.github.io/Logging_0188/klagomålsmail/A 33477-2022 FSC-klagomål mail.docx", "A 33477-2022")</f>
        <v/>
      </c>
      <c r="X77">
        <f>HYPERLINK("https://klasma.github.io/Logging_0188/tillsyn/A 33477-2022 tillsynsbegäran.docx", "A 33477-2022")</f>
        <v/>
      </c>
      <c r="Y77">
        <f>HYPERLINK("https://klasma.github.io/Logging_0188/tillsynsmail/A 33477-2022 tillsynsbegäran mail.docx", "A 33477-2022")</f>
        <v/>
      </c>
    </row>
    <row r="78" ht="15" customHeight="1">
      <c r="A78" t="inlineStr">
        <is>
          <t>A 26120-2024</t>
        </is>
      </c>
      <c r="B78" s="1" t="n">
        <v>45468.45995370371</v>
      </c>
      <c r="C78" s="1" t="n">
        <v>45930</v>
      </c>
      <c r="D78" t="inlineStr">
        <is>
          <t>STOCKHOLMS LÄN</t>
        </is>
      </c>
      <c r="E78" t="inlineStr">
        <is>
          <t>NORRTÄLJE</t>
        </is>
      </c>
      <c r="G78" t="n">
        <v>1.8</v>
      </c>
      <c r="H78" t="n">
        <v>0</v>
      </c>
      <c r="I78" t="n">
        <v>0</v>
      </c>
      <c r="J78" t="n">
        <v>1</v>
      </c>
      <c r="K78" t="n">
        <v>0</v>
      </c>
      <c r="L78" t="n">
        <v>0</v>
      </c>
      <c r="M78" t="n">
        <v>0</v>
      </c>
      <c r="N78" t="n">
        <v>0</v>
      </c>
      <c r="O78" t="n">
        <v>1</v>
      </c>
      <c r="P78" t="n">
        <v>0</v>
      </c>
      <c r="Q78" t="n">
        <v>1</v>
      </c>
      <c r="R78" s="2" t="inlineStr">
        <is>
          <t>Majviva</t>
        </is>
      </c>
      <c r="S78">
        <f>HYPERLINK("https://klasma.github.io/Logging_0188/artfynd/A 26120-2024 artfynd.xlsx", "A 26120-2024")</f>
        <v/>
      </c>
      <c r="T78">
        <f>HYPERLINK("https://klasma.github.io/Logging_0188/kartor/A 26120-2024 karta.png", "A 26120-2024")</f>
        <v/>
      </c>
      <c r="V78">
        <f>HYPERLINK("https://klasma.github.io/Logging_0188/klagomål/A 26120-2024 FSC-klagomål.docx", "A 26120-2024")</f>
        <v/>
      </c>
      <c r="W78">
        <f>HYPERLINK("https://klasma.github.io/Logging_0188/klagomålsmail/A 26120-2024 FSC-klagomål mail.docx", "A 26120-2024")</f>
        <v/>
      </c>
      <c r="X78">
        <f>HYPERLINK("https://klasma.github.io/Logging_0188/tillsyn/A 26120-2024 tillsynsbegäran.docx", "A 26120-2024")</f>
        <v/>
      </c>
      <c r="Y78">
        <f>HYPERLINK("https://klasma.github.io/Logging_0188/tillsynsmail/A 26120-2024 tillsynsbegäran mail.docx", "A 26120-2024")</f>
        <v/>
      </c>
    </row>
    <row r="79" ht="15" customHeight="1">
      <c r="A79" t="inlineStr">
        <is>
          <t>A 47898-2022</t>
        </is>
      </c>
      <c r="B79" s="1" t="n">
        <v>44855</v>
      </c>
      <c r="C79" s="1" t="n">
        <v>45930</v>
      </c>
      <c r="D79" t="inlineStr">
        <is>
          <t>STOCKHOLMS LÄN</t>
        </is>
      </c>
      <c r="E79" t="inlineStr">
        <is>
          <t>NORRTÄLJE</t>
        </is>
      </c>
      <c r="G79" t="n">
        <v>6.7</v>
      </c>
      <c r="H79" t="n">
        <v>1</v>
      </c>
      <c r="I79" t="n">
        <v>1</v>
      </c>
      <c r="J79" t="n">
        <v>0</v>
      </c>
      <c r="K79" t="n">
        <v>0</v>
      </c>
      <c r="L79" t="n">
        <v>0</v>
      </c>
      <c r="M79" t="n">
        <v>0</v>
      </c>
      <c r="N79" t="n">
        <v>0</v>
      </c>
      <c r="O79" t="n">
        <v>0</v>
      </c>
      <c r="P79" t="n">
        <v>0</v>
      </c>
      <c r="Q79" t="n">
        <v>1</v>
      </c>
      <c r="R79" s="2" t="inlineStr">
        <is>
          <t>Guckusko</t>
        </is>
      </c>
      <c r="S79">
        <f>HYPERLINK("https://klasma.github.io/Logging_0188/artfynd/A 47898-2022 artfynd.xlsx", "A 47898-2022")</f>
        <v/>
      </c>
      <c r="T79">
        <f>HYPERLINK("https://klasma.github.io/Logging_0188/kartor/A 47898-2022 karta.png", "A 47898-2022")</f>
        <v/>
      </c>
      <c r="V79">
        <f>HYPERLINK("https://klasma.github.io/Logging_0188/klagomål/A 47898-2022 FSC-klagomål.docx", "A 47898-2022")</f>
        <v/>
      </c>
      <c r="W79">
        <f>HYPERLINK("https://klasma.github.io/Logging_0188/klagomålsmail/A 47898-2022 FSC-klagomål mail.docx", "A 47898-2022")</f>
        <v/>
      </c>
      <c r="X79">
        <f>HYPERLINK("https://klasma.github.io/Logging_0188/tillsyn/A 47898-2022 tillsynsbegäran.docx", "A 47898-2022")</f>
        <v/>
      </c>
      <c r="Y79">
        <f>HYPERLINK("https://klasma.github.io/Logging_0188/tillsynsmail/A 47898-2022 tillsynsbegäran mail.docx", "A 47898-2022")</f>
        <v/>
      </c>
    </row>
    <row r="80" ht="15" customHeight="1">
      <c r="A80" t="inlineStr">
        <is>
          <t>A 40861-2025</t>
        </is>
      </c>
      <c r="B80" s="1" t="n">
        <v>45897.56356481482</v>
      </c>
      <c r="C80" s="1" t="n">
        <v>45930</v>
      </c>
      <c r="D80" t="inlineStr">
        <is>
          <t>STOCKHOLMS LÄN</t>
        </is>
      </c>
      <c r="E80" t="inlineStr">
        <is>
          <t>NORRTÄLJE</t>
        </is>
      </c>
      <c r="G80" t="n">
        <v>4</v>
      </c>
      <c r="H80" t="n">
        <v>0</v>
      </c>
      <c r="I80" t="n">
        <v>0</v>
      </c>
      <c r="J80" t="n">
        <v>1</v>
      </c>
      <c r="K80" t="n">
        <v>0</v>
      </c>
      <c r="L80" t="n">
        <v>0</v>
      </c>
      <c r="M80" t="n">
        <v>0</v>
      </c>
      <c r="N80" t="n">
        <v>0</v>
      </c>
      <c r="O80" t="n">
        <v>1</v>
      </c>
      <c r="P80" t="n">
        <v>0</v>
      </c>
      <c r="Q80" t="n">
        <v>1</v>
      </c>
      <c r="R80" s="2" t="inlineStr">
        <is>
          <t>Skogsklocka</t>
        </is>
      </c>
      <c r="S80">
        <f>HYPERLINK("https://klasma.github.io/Logging_0188/artfynd/A 40861-2025 artfynd.xlsx", "A 40861-2025")</f>
        <v/>
      </c>
      <c r="T80">
        <f>HYPERLINK("https://klasma.github.io/Logging_0188/kartor/A 40861-2025 karta.png", "A 40861-2025")</f>
        <v/>
      </c>
      <c r="V80">
        <f>HYPERLINK("https://klasma.github.io/Logging_0188/klagomål/A 40861-2025 FSC-klagomål.docx", "A 40861-2025")</f>
        <v/>
      </c>
      <c r="W80">
        <f>HYPERLINK("https://klasma.github.io/Logging_0188/klagomålsmail/A 40861-2025 FSC-klagomål mail.docx", "A 40861-2025")</f>
        <v/>
      </c>
      <c r="X80">
        <f>HYPERLINK("https://klasma.github.io/Logging_0188/tillsyn/A 40861-2025 tillsynsbegäran.docx", "A 40861-2025")</f>
        <v/>
      </c>
      <c r="Y80">
        <f>HYPERLINK("https://klasma.github.io/Logging_0188/tillsynsmail/A 40861-2025 tillsynsbegäran mail.docx", "A 40861-2025")</f>
        <v/>
      </c>
    </row>
    <row r="81" ht="15" customHeight="1">
      <c r="A81" t="inlineStr">
        <is>
          <t>A 11429-2023</t>
        </is>
      </c>
      <c r="B81" s="1" t="n">
        <v>44993</v>
      </c>
      <c r="C81" s="1" t="n">
        <v>45930</v>
      </c>
      <c r="D81" t="inlineStr">
        <is>
          <t>STOCKHOLMS LÄN</t>
        </is>
      </c>
      <c r="E81" t="inlineStr">
        <is>
          <t>NORRTÄLJE</t>
        </is>
      </c>
      <c r="G81" t="n">
        <v>2</v>
      </c>
      <c r="H81" t="n">
        <v>0</v>
      </c>
      <c r="I81" t="n">
        <v>0</v>
      </c>
      <c r="J81" t="n">
        <v>1</v>
      </c>
      <c r="K81" t="n">
        <v>0</v>
      </c>
      <c r="L81" t="n">
        <v>0</v>
      </c>
      <c r="M81" t="n">
        <v>0</v>
      </c>
      <c r="N81" t="n">
        <v>0</v>
      </c>
      <c r="O81" t="n">
        <v>1</v>
      </c>
      <c r="P81" t="n">
        <v>0</v>
      </c>
      <c r="Q81" t="n">
        <v>1</v>
      </c>
      <c r="R81" s="2" t="inlineStr">
        <is>
          <t>Skogsklocka</t>
        </is>
      </c>
      <c r="S81">
        <f>HYPERLINK("https://klasma.github.io/Logging_0188/artfynd/A 11429-2023 artfynd.xlsx", "A 11429-2023")</f>
        <v/>
      </c>
      <c r="T81">
        <f>HYPERLINK("https://klasma.github.io/Logging_0188/kartor/A 11429-2023 karta.png", "A 11429-2023")</f>
        <v/>
      </c>
      <c r="V81">
        <f>HYPERLINK("https://klasma.github.io/Logging_0188/klagomål/A 11429-2023 FSC-klagomål.docx", "A 11429-2023")</f>
        <v/>
      </c>
      <c r="W81">
        <f>HYPERLINK("https://klasma.github.io/Logging_0188/klagomålsmail/A 11429-2023 FSC-klagomål mail.docx", "A 11429-2023")</f>
        <v/>
      </c>
      <c r="X81">
        <f>HYPERLINK("https://klasma.github.io/Logging_0188/tillsyn/A 11429-2023 tillsynsbegäran.docx", "A 11429-2023")</f>
        <v/>
      </c>
      <c r="Y81">
        <f>HYPERLINK("https://klasma.github.io/Logging_0188/tillsynsmail/A 11429-2023 tillsynsbegäran mail.docx", "A 11429-2023")</f>
        <v/>
      </c>
    </row>
    <row r="82" ht="15" customHeight="1">
      <c r="A82" t="inlineStr">
        <is>
          <t>A 42313-2025</t>
        </is>
      </c>
      <c r="B82" s="1" t="n">
        <v>45904.6575</v>
      </c>
      <c r="C82" s="1" t="n">
        <v>45930</v>
      </c>
      <c r="D82" t="inlineStr">
        <is>
          <t>STOCKHOLMS LÄN</t>
        </is>
      </c>
      <c r="E82" t="inlineStr">
        <is>
          <t>NORRTÄLJE</t>
        </is>
      </c>
      <c r="G82" t="n">
        <v>1.7</v>
      </c>
      <c r="H82" t="n">
        <v>1</v>
      </c>
      <c r="I82" t="n">
        <v>0</v>
      </c>
      <c r="J82" t="n">
        <v>0</v>
      </c>
      <c r="K82" t="n">
        <v>0</v>
      </c>
      <c r="L82" t="n">
        <v>0</v>
      </c>
      <c r="M82" t="n">
        <v>0</v>
      </c>
      <c r="N82" t="n">
        <v>0</v>
      </c>
      <c r="O82" t="n">
        <v>0</v>
      </c>
      <c r="P82" t="n">
        <v>0</v>
      </c>
      <c r="Q82" t="n">
        <v>1</v>
      </c>
      <c r="R82" s="2" t="inlineStr">
        <is>
          <t>Vanlig padda</t>
        </is>
      </c>
      <c r="S82">
        <f>HYPERLINK("https://klasma.github.io/Logging_0188/artfynd/A 42313-2025 artfynd.xlsx", "A 42313-2025")</f>
        <v/>
      </c>
      <c r="T82">
        <f>HYPERLINK("https://klasma.github.io/Logging_0188/kartor/A 42313-2025 karta.png", "A 42313-2025")</f>
        <v/>
      </c>
      <c r="V82">
        <f>HYPERLINK("https://klasma.github.io/Logging_0188/klagomål/A 42313-2025 FSC-klagomål.docx", "A 42313-2025")</f>
        <v/>
      </c>
      <c r="W82">
        <f>HYPERLINK("https://klasma.github.io/Logging_0188/klagomålsmail/A 42313-2025 FSC-klagomål mail.docx", "A 42313-2025")</f>
        <v/>
      </c>
      <c r="X82">
        <f>HYPERLINK("https://klasma.github.io/Logging_0188/tillsyn/A 42313-2025 tillsynsbegäran.docx", "A 42313-2025")</f>
        <v/>
      </c>
      <c r="Y82">
        <f>HYPERLINK("https://klasma.github.io/Logging_0188/tillsynsmail/A 42313-2025 tillsynsbegäran mail.docx", "A 42313-2025")</f>
        <v/>
      </c>
    </row>
    <row r="83" ht="15" customHeight="1">
      <c r="A83" t="inlineStr">
        <is>
          <t>A 4595-2023</t>
        </is>
      </c>
      <c r="B83" s="1" t="n">
        <v>44956</v>
      </c>
      <c r="C83" s="1" t="n">
        <v>45930</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50854-2022</t>
        </is>
      </c>
      <c r="B84" s="1" t="n">
        <v>44863</v>
      </c>
      <c r="C84" s="1" t="n">
        <v>45930</v>
      </c>
      <c r="D84" t="inlineStr">
        <is>
          <t>STOCKHOLMS LÄN</t>
        </is>
      </c>
      <c r="E84" t="inlineStr">
        <is>
          <t>NORRTÄLJE</t>
        </is>
      </c>
      <c r="G84" t="n">
        <v>2.9</v>
      </c>
      <c r="H84" t="n">
        <v>0</v>
      </c>
      <c r="I84" t="n">
        <v>1</v>
      </c>
      <c r="J84" t="n">
        <v>0</v>
      </c>
      <c r="K84" t="n">
        <v>0</v>
      </c>
      <c r="L84" t="n">
        <v>0</v>
      </c>
      <c r="M84" t="n">
        <v>0</v>
      </c>
      <c r="N84" t="n">
        <v>0</v>
      </c>
      <c r="O84" t="n">
        <v>0</v>
      </c>
      <c r="P84" t="n">
        <v>0</v>
      </c>
      <c r="Q84" t="n">
        <v>1</v>
      </c>
      <c r="R84" s="2" t="inlineStr">
        <is>
          <t>Tibast</t>
        </is>
      </c>
      <c r="S84">
        <f>HYPERLINK("https://klasma.github.io/Logging_0188/artfynd/A 50854-2022 artfynd.xlsx", "A 50854-2022")</f>
        <v/>
      </c>
      <c r="T84">
        <f>HYPERLINK("https://klasma.github.io/Logging_0188/kartor/A 50854-2022 karta.png", "A 50854-2022")</f>
        <v/>
      </c>
      <c r="V84">
        <f>HYPERLINK("https://klasma.github.io/Logging_0188/klagomål/A 50854-2022 FSC-klagomål.docx", "A 50854-2022")</f>
        <v/>
      </c>
      <c r="W84">
        <f>HYPERLINK("https://klasma.github.io/Logging_0188/klagomålsmail/A 50854-2022 FSC-klagomål mail.docx", "A 50854-2022")</f>
        <v/>
      </c>
      <c r="X84">
        <f>HYPERLINK("https://klasma.github.io/Logging_0188/tillsyn/A 50854-2022 tillsynsbegäran.docx", "A 50854-2022")</f>
        <v/>
      </c>
      <c r="Y84">
        <f>HYPERLINK("https://klasma.github.io/Logging_0188/tillsynsmail/A 50854-2022 tillsynsbegäran mail.docx", "A 50854-2022")</f>
        <v/>
      </c>
    </row>
    <row r="85" ht="15" customHeight="1">
      <c r="A85" t="inlineStr">
        <is>
          <t>A 58888-2021</t>
        </is>
      </c>
      <c r="B85" s="1" t="n">
        <v>44489</v>
      </c>
      <c r="C85" s="1" t="n">
        <v>45930</v>
      </c>
      <c r="D85" t="inlineStr">
        <is>
          <t>STOCKHOLMS LÄN</t>
        </is>
      </c>
      <c r="E85" t="inlineStr">
        <is>
          <t>NORRTÄLJE</t>
        </is>
      </c>
      <c r="F85" t="inlineStr">
        <is>
          <t>Holmen skog AB</t>
        </is>
      </c>
      <c r="G85" t="n">
        <v>2.5</v>
      </c>
      <c r="H85" t="n">
        <v>1</v>
      </c>
      <c r="I85" t="n">
        <v>0</v>
      </c>
      <c r="J85" t="n">
        <v>0</v>
      </c>
      <c r="K85" t="n">
        <v>0</v>
      </c>
      <c r="L85" t="n">
        <v>1</v>
      </c>
      <c r="M85" t="n">
        <v>0</v>
      </c>
      <c r="N85" t="n">
        <v>0</v>
      </c>
      <c r="O85" t="n">
        <v>1</v>
      </c>
      <c r="P85" t="n">
        <v>1</v>
      </c>
      <c r="Q85" t="n">
        <v>1</v>
      </c>
      <c r="R85" s="2" t="inlineStr">
        <is>
          <t>Asknätfjäril</t>
        </is>
      </c>
      <c r="S85">
        <f>HYPERLINK("https://klasma.github.io/Logging_0188/artfynd/A 58888-2021 artfynd.xlsx", "A 58888-2021")</f>
        <v/>
      </c>
      <c r="T85">
        <f>HYPERLINK("https://klasma.github.io/Logging_0188/kartor/A 58888-2021 karta.png", "A 58888-2021")</f>
        <v/>
      </c>
      <c r="V85">
        <f>HYPERLINK("https://klasma.github.io/Logging_0188/klagomål/A 58888-2021 FSC-klagomål.docx", "A 58888-2021")</f>
        <v/>
      </c>
      <c r="W85">
        <f>HYPERLINK("https://klasma.github.io/Logging_0188/klagomålsmail/A 58888-2021 FSC-klagomål mail.docx", "A 58888-2021")</f>
        <v/>
      </c>
      <c r="X85">
        <f>HYPERLINK("https://klasma.github.io/Logging_0188/tillsyn/A 58888-2021 tillsynsbegäran.docx", "A 58888-2021")</f>
        <v/>
      </c>
      <c r="Y85">
        <f>HYPERLINK("https://klasma.github.io/Logging_0188/tillsynsmail/A 58888-2021 tillsynsbegäran mail.docx", "A 58888-2021")</f>
        <v/>
      </c>
    </row>
    <row r="86" ht="15" customHeight="1">
      <c r="A86" t="inlineStr">
        <is>
          <t>A 64456-2023</t>
        </is>
      </c>
      <c r="B86" s="1" t="n">
        <v>45280</v>
      </c>
      <c r="C86" s="1" t="n">
        <v>45930</v>
      </c>
      <c r="D86" t="inlineStr">
        <is>
          <t>STOCKHOLMS LÄN</t>
        </is>
      </c>
      <c r="E86" t="inlineStr">
        <is>
          <t>NORRTÄLJE</t>
        </is>
      </c>
      <c r="G86" t="n">
        <v>2.5</v>
      </c>
      <c r="H86" t="n">
        <v>0</v>
      </c>
      <c r="I86" t="n">
        <v>1</v>
      </c>
      <c r="J86" t="n">
        <v>0</v>
      </c>
      <c r="K86" t="n">
        <v>0</v>
      </c>
      <c r="L86" t="n">
        <v>0</v>
      </c>
      <c r="M86" t="n">
        <v>0</v>
      </c>
      <c r="N86" t="n">
        <v>0</v>
      </c>
      <c r="O86" t="n">
        <v>0</v>
      </c>
      <c r="P86" t="n">
        <v>0</v>
      </c>
      <c r="Q86" t="n">
        <v>1</v>
      </c>
      <c r="R86" s="2" t="inlineStr">
        <is>
          <t>Rödgul trumpetsvamp</t>
        </is>
      </c>
      <c r="S86">
        <f>HYPERLINK("https://klasma.github.io/Logging_0188/artfynd/A 64456-2023 artfynd.xlsx", "A 64456-2023")</f>
        <v/>
      </c>
      <c r="T86">
        <f>HYPERLINK("https://klasma.github.io/Logging_0188/kartor/A 64456-2023 karta.png", "A 64456-2023")</f>
        <v/>
      </c>
      <c r="V86">
        <f>HYPERLINK("https://klasma.github.io/Logging_0188/klagomål/A 64456-2023 FSC-klagomål.docx", "A 64456-2023")</f>
        <v/>
      </c>
      <c r="W86">
        <f>HYPERLINK("https://klasma.github.io/Logging_0188/klagomålsmail/A 64456-2023 FSC-klagomål mail.docx", "A 64456-2023")</f>
        <v/>
      </c>
      <c r="X86">
        <f>HYPERLINK("https://klasma.github.io/Logging_0188/tillsyn/A 64456-2023 tillsynsbegäran.docx", "A 64456-2023")</f>
        <v/>
      </c>
      <c r="Y86">
        <f>HYPERLINK("https://klasma.github.io/Logging_0188/tillsynsmail/A 64456-2023 tillsynsbegäran mail.docx", "A 64456-2023")</f>
        <v/>
      </c>
    </row>
    <row r="87" ht="15" customHeight="1">
      <c r="A87" t="inlineStr">
        <is>
          <t>A 4860-2022</t>
        </is>
      </c>
      <c r="B87" s="1" t="n">
        <v>44592</v>
      </c>
      <c r="C87" s="1" t="n">
        <v>45930</v>
      </c>
      <c r="D87" t="inlineStr">
        <is>
          <t>STOCKHOLMS LÄN</t>
        </is>
      </c>
      <c r="E87" t="inlineStr">
        <is>
          <t>NORRTÄLJE</t>
        </is>
      </c>
      <c r="G87" t="n">
        <v>22.3</v>
      </c>
      <c r="H87" t="n">
        <v>0</v>
      </c>
      <c r="I87" t="n">
        <v>0</v>
      </c>
      <c r="J87" t="n">
        <v>1</v>
      </c>
      <c r="K87" t="n">
        <v>0</v>
      </c>
      <c r="L87" t="n">
        <v>0</v>
      </c>
      <c r="M87" t="n">
        <v>0</v>
      </c>
      <c r="N87" t="n">
        <v>0</v>
      </c>
      <c r="O87" t="n">
        <v>1</v>
      </c>
      <c r="P87" t="n">
        <v>0</v>
      </c>
      <c r="Q87" t="n">
        <v>1</v>
      </c>
      <c r="R87" s="2" t="inlineStr">
        <is>
          <t>Igelkott</t>
        </is>
      </c>
      <c r="S87">
        <f>HYPERLINK("https://klasma.github.io/Logging_0188/artfynd/A 4860-2022 artfynd.xlsx", "A 4860-2022")</f>
        <v/>
      </c>
      <c r="T87">
        <f>HYPERLINK("https://klasma.github.io/Logging_0188/kartor/A 4860-2022 karta.png", "A 4860-2022")</f>
        <v/>
      </c>
      <c r="V87">
        <f>HYPERLINK("https://klasma.github.io/Logging_0188/klagomål/A 4860-2022 FSC-klagomål.docx", "A 4860-2022")</f>
        <v/>
      </c>
      <c r="W87">
        <f>HYPERLINK("https://klasma.github.io/Logging_0188/klagomålsmail/A 4860-2022 FSC-klagomål mail.docx", "A 4860-2022")</f>
        <v/>
      </c>
      <c r="X87">
        <f>HYPERLINK("https://klasma.github.io/Logging_0188/tillsyn/A 4860-2022 tillsynsbegäran.docx", "A 4860-2022")</f>
        <v/>
      </c>
      <c r="Y87">
        <f>HYPERLINK("https://klasma.github.io/Logging_0188/tillsynsmail/A 4860-2022 tillsynsbegäran mail.docx", "A 4860-2022")</f>
        <v/>
      </c>
    </row>
    <row r="88" ht="15" customHeight="1">
      <c r="A88" t="inlineStr">
        <is>
          <t>A 8371-2025</t>
        </is>
      </c>
      <c r="B88" s="1" t="n">
        <v>45708</v>
      </c>
      <c r="C88" s="1" t="n">
        <v>45930</v>
      </c>
      <c r="D88" t="inlineStr">
        <is>
          <t>STOCKHOLMS LÄN</t>
        </is>
      </c>
      <c r="E88" t="inlineStr">
        <is>
          <t>NORRTÄLJE</t>
        </is>
      </c>
      <c r="F88" t="inlineStr">
        <is>
          <t>Övriga Aktiebolag</t>
        </is>
      </c>
      <c r="G88" t="n">
        <v>2.9</v>
      </c>
      <c r="H88" t="n">
        <v>1</v>
      </c>
      <c r="I88" t="n">
        <v>0</v>
      </c>
      <c r="J88" t="n">
        <v>1</v>
      </c>
      <c r="K88" t="n">
        <v>0</v>
      </c>
      <c r="L88" t="n">
        <v>0</v>
      </c>
      <c r="M88" t="n">
        <v>0</v>
      </c>
      <c r="N88" t="n">
        <v>0</v>
      </c>
      <c r="O88" t="n">
        <v>1</v>
      </c>
      <c r="P88" t="n">
        <v>0</v>
      </c>
      <c r="Q88" t="n">
        <v>1</v>
      </c>
      <c r="R88" s="2" t="inlineStr">
        <is>
          <t>Spillkråka</t>
        </is>
      </c>
      <c r="S88">
        <f>HYPERLINK("https://klasma.github.io/Logging_0188/artfynd/A 8371-2025 artfynd.xlsx", "A 8371-2025")</f>
        <v/>
      </c>
      <c r="T88">
        <f>HYPERLINK("https://klasma.github.io/Logging_0188/kartor/A 8371-2025 karta.png", "A 8371-2025")</f>
        <v/>
      </c>
      <c r="V88">
        <f>HYPERLINK("https://klasma.github.io/Logging_0188/klagomål/A 8371-2025 FSC-klagomål.docx", "A 8371-2025")</f>
        <v/>
      </c>
      <c r="W88">
        <f>HYPERLINK("https://klasma.github.io/Logging_0188/klagomålsmail/A 8371-2025 FSC-klagomål mail.docx", "A 8371-2025")</f>
        <v/>
      </c>
      <c r="X88">
        <f>HYPERLINK("https://klasma.github.io/Logging_0188/tillsyn/A 8371-2025 tillsynsbegäran.docx", "A 8371-2025")</f>
        <v/>
      </c>
      <c r="Y88">
        <f>HYPERLINK("https://klasma.github.io/Logging_0188/tillsynsmail/A 8371-2025 tillsynsbegäran mail.docx", "A 8371-2025")</f>
        <v/>
      </c>
      <c r="Z88">
        <f>HYPERLINK("https://klasma.github.io/Logging_0188/fåglar/A 8371-2025 prioriterade fågelarter.docx", "A 8371-2025")</f>
        <v/>
      </c>
    </row>
    <row r="89" ht="15" customHeight="1">
      <c r="A89" t="inlineStr">
        <is>
          <t>A 52611-2024</t>
        </is>
      </c>
      <c r="B89" s="1" t="n">
        <v>45609.83747685186</v>
      </c>
      <c r="C89" s="1" t="n">
        <v>45930</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21744-2023</t>
        </is>
      </c>
      <c r="B90" s="1" t="n">
        <v>45065</v>
      </c>
      <c r="C90" s="1" t="n">
        <v>45930</v>
      </c>
      <c r="D90" t="inlineStr">
        <is>
          <t>STOCKHOLMS LÄN</t>
        </is>
      </c>
      <c r="E90" t="inlineStr">
        <is>
          <t>NORRTÄLJE</t>
        </is>
      </c>
      <c r="F90" t="inlineStr">
        <is>
          <t>Holmen skog AB</t>
        </is>
      </c>
      <c r="G90" t="n">
        <v>4.2</v>
      </c>
      <c r="H90" t="n">
        <v>0</v>
      </c>
      <c r="I90" t="n">
        <v>1</v>
      </c>
      <c r="J90" t="n">
        <v>0</v>
      </c>
      <c r="K90" t="n">
        <v>0</v>
      </c>
      <c r="L90" t="n">
        <v>0</v>
      </c>
      <c r="M90" t="n">
        <v>0</v>
      </c>
      <c r="N90" t="n">
        <v>0</v>
      </c>
      <c r="O90" t="n">
        <v>0</v>
      </c>
      <c r="P90" t="n">
        <v>0</v>
      </c>
      <c r="Q90" t="n">
        <v>1</v>
      </c>
      <c r="R90" s="2" t="inlineStr">
        <is>
          <t>Korallblylav</t>
        </is>
      </c>
      <c r="S90">
        <f>HYPERLINK("https://klasma.github.io/Logging_0188/artfynd/A 21744-2023 artfynd.xlsx", "A 21744-2023")</f>
        <v/>
      </c>
      <c r="T90">
        <f>HYPERLINK("https://klasma.github.io/Logging_0188/kartor/A 21744-2023 karta.png", "A 21744-2023")</f>
        <v/>
      </c>
      <c r="V90">
        <f>HYPERLINK("https://klasma.github.io/Logging_0188/klagomål/A 21744-2023 FSC-klagomål.docx", "A 21744-2023")</f>
        <v/>
      </c>
      <c r="W90">
        <f>HYPERLINK("https://klasma.github.io/Logging_0188/klagomålsmail/A 21744-2023 FSC-klagomål mail.docx", "A 21744-2023")</f>
        <v/>
      </c>
      <c r="X90">
        <f>HYPERLINK("https://klasma.github.io/Logging_0188/tillsyn/A 21744-2023 tillsynsbegäran.docx", "A 21744-2023")</f>
        <v/>
      </c>
      <c r="Y90">
        <f>HYPERLINK("https://klasma.github.io/Logging_0188/tillsynsmail/A 21744-2023 tillsynsbegäran mail.docx", "A 21744-2023")</f>
        <v/>
      </c>
    </row>
    <row r="91" ht="15" customHeight="1">
      <c r="A91" t="inlineStr">
        <is>
          <t>A 52508-2023</t>
        </is>
      </c>
      <c r="B91" s="1" t="n">
        <v>45225</v>
      </c>
      <c r="C91" s="1" t="n">
        <v>45930</v>
      </c>
      <c r="D91" t="inlineStr">
        <is>
          <t>STOCKHOLMS LÄN</t>
        </is>
      </c>
      <c r="E91" t="inlineStr">
        <is>
          <t>NORRTÄLJE</t>
        </is>
      </c>
      <c r="G91" t="n">
        <v>19.7</v>
      </c>
      <c r="H91" t="n">
        <v>1</v>
      </c>
      <c r="I91" t="n">
        <v>0</v>
      </c>
      <c r="J91" t="n">
        <v>0</v>
      </c>
      <c r="K91" t="n">
        <v>1</v>
      </c>
      <c r="L91" t="n">
        <v>0</v>
      </c>
      <c r="M91" t="n">
        <v>0</v>
      </c>
      <c r="N91" t="n">
        <v>0</v>
      </c>
      <c r="O91" t="n">
        <v>1</v>
      </c>
      <c r="P91" t="n">
        <v>1</v>
      </c>
      <c r="Q91" t="n">
        <v>1</v>
      </c>
      <c r="R91" s="2" t="inlineStr">
        <is>
          <t>Svärta</t>
        </is>
      </c>
      <c r="S91">
        <f>HYPERLINK("https://klasma.github.io/Logging_0188/artfynd/A 52508-2023 artfynd.xlsx", "A 52508-2023")</f>
        <v/>
      </c>
      <c r="T91">
        <f>HYPERLINK("https://klasma.github.io/Logging_0188/kartor/A 52508-2023 karta.png", "A 52508-2023")</f>
        <v/>
      </c>
      <c r="V91">
        <f>HYPERLINK("https://klasma.github.io/Logging_0188/klagomål/A 52508-2023 FSC-klagomål.docx", "A 52508-2023")</f>
        <v/>
      </c>
      <c r="W91">
        <f>HYPERLINK("https://klasma.github.io/Logging_0188/klagomålsmail/A 52508-2023 FSC-klagomål mail.docx", "A 52508-2023")</f>
        <v/>
      </c>
      <c r="X91">
        <f>HYPERLINK("https://klasma.github.io/Logging_0188/tillsyn/A 52508-2023 tillsynsbegäran.docx", "A 52508-2023")</f>
        <v/>
      </c>
      <c r="Y91">
        <f>HYPERLINK("https://klasma.github.io/Logging_0188/tillsynsmail/A 52508-2023 tillsynsbegäran mail.docx", "A 52508-2023")</f>
        <v/>
      </c>
    </row>
    <row r="92" ht="15" customHeight="1">
      <c r="A92" t="inlineStr">
        <is>
          <t>A 17952-2022</t>
        </is>
      </c>
      <c r="B92" s="1" t="n">
        <v>44683</v>
      </c>
      <c r="C92" s="1" t="n">
        <v>45930</v>
      </c>
      <c r="D92" t="inlineStr">
        <is>
          <t>STOCKHOLMS LÄN</t>
        </is>
      </c>
      <c r="E92" t="inlineStr">
        <is>
          <t>NORRTÄLJE</t>
        </is>
      </c>
      <c r="G92" t="n">
        <v>51.1</v>
      </c>
      <c r="H92" t="n">
        <v>0</v>
      </c>
      <c r="I92" t="n">
        <v>0</v>
      </c>
      <c r="J92" t="n">
        <v>0</v>
      </c>
      <c r="K92" t="n">
        <v>1</v>
      </c>
      <c r="L92" t="n">
        <v>0</v>
      </c>
      <c r="M92" t="n">
        <v>0</v>
      </c>
      <c r="N92" t="n">
        <v>0</v>
      </c>
      <c r="O92" t="n">
        <v>1</v>
      </c>
      <c r="P92" t="n">
        <v>1</v>
      </c>
      <c r="Q92" t="n">
        <v>1</v>
      </c>
      <c r="R92" s="2" t="inlineStr">
        <is>
          <t>Kattunvisslare</t>
        </is>
      </c>
      <c r="S92">
        <f>HYPERLINK("https://klasma.github.io/Logging_0188/artfynd/A 17952-2022 artfynd.xlsx", "A 17952-2022")</f>
        <v/>
      </c>
      <c r="T92">
        <f>HYPERLINK("https://klasma.github.io/Logging_0188/kartor/A 17952-2022 karta.png", "A 17952-2022")</f>
        <v/>
      </c>
      <c r="V92">
        <f>HYPERLINK("https://klasma.github.io/Logging_0188/klagomål/A 17952-2022 FSC-klagomål.docx", "A 17952-2022")</f>
        <v/>
      </c>
      <c r="W92">
        <f>HYPERLINK("https://klasma.github.io/Logging_0188/klagomålsmail/A 17952-2022 FSC-klagomål mail.docx", "A 17952-2022")</f>
        <v/>
      </c>
      <c r="X92">
        <f>HYPERLINK("https://klasma.github.io/Logging_0188/tillsyn/A 17952-2022 tillsynsbegäran.docx", "A 17952-2022")</f>
        <v/>
      </c>
      <c r="Y92">
        <f>HYPERLINK("https://klasma.github.io/Logging_0188/tillsynsmail/A 17952-2022 tillsynsbegäran mail.docx", "A 17952-2022")</f>
        <v/>
      </c>
    </row>
    <row r="93" ht="15" customHeight="1">
      <c r="A93" t="inlineStr">
        <is>
          <t>A 23146-2024</t>
        </is>
      </c>
      <c r="B93" s="1" t="n">
        <v>45450.63958333333</v>
      </c>
      <c r="C93" s="1" t="n">
        <v>45930</v>
      </c>
      <c r="D93" t="inlineStr">
        <is>
          <t>STOCKHOLMS LÄN</t>
        </is>
      </c>
      <c r="E93" t="inlineStr">
        <is>
          <t>NORRTÄLJE</t>
        </is>
      </c>
      <c r="F93" t="inlineStr">
        <is>
          <t>Kommuner</t>
        </is>
      </c>
      <c r="G93" t="n">
        <v>6</v>
      </c>
      <c r="H93" t="n">
        <v>0</v>
      </c>
      <c r="I93" t="n">
        <v>0</v>
      </c>
      <c r="J93" t="n">
        <v>1</v>
      </c>
      <c r="K93" t="n">
        <v>0</v>
      </c>
      <c r="L93" t="n">
        <v>0</v>
      </c>
      <c r="M93" t="n">
        <v>0</v>
      </c>
      <c r="N93" t="n">
        <v>0</v>
      </c>
      <c r="O93" t="n">
        <v>1</v>
      </c>
      <c r="P93" t="n">
        <v>0</v>
      </c>
      <c r="Q93" t="n">
        <v>1</v>
      </c>
      <c r="R93" s="2" t="inlineStr">
        <is>
          <t>Motaggsvamp</t>
        </is>
      </c>
      <c r="S93">
        <f>HYPERLINK("https://klasma.github.io/Logging_0188/artfynd/A 23146-2024 artfynd.xlsx", "A 23146-2024")</f>
        <v/>
      </c>
      <c r="T93">
        <f>HYPERLINK("https://klasma.github.io/Logging_0188/kartor/A 23146-2024 karta.png", "A 23146-2024")</f>
        <v/>
      </c>
      <c r="V93">
        <f>HYPERLINK("https://klasma.github.io/Logging_0188/klagomål/A 23146-2024 FSC-klagomål.docx", "A 23146-2024")</f>
        <v/>
      </c>
      <c r="W93">
        <f>HYPERLINK("https://klasma.github.io/Logging_0188/klagomålsmail/A 23146-2024 FSC-klagomål mail.docx", "A 23146-2024")</f>
        <v/>
      </c>
      <c r="X93">
        <f>HYPERLINK("https://klasma.github.io/Logging_0188/tillsyn/A 23146-2024 tillsynsbegäran.docx", "A 23146-2024")</f>
        <v/>
      </c>
      <c r="Y93">
        <f>HYPERLINK("https://klasma.github.io/Logging_0188/tillsynsmail/A 23146-2024 tillsynsbegäran mail.docx", "A 23146-2024")</f>
        <v/>
      </c>
    </row>
    <row r="94" ht="15" customHeight="1">
      <c r="A94" t="inlineStr">
        <is>
          <t>A 48131-2023</t>
        </is>
      </c>
      <c r="B94" s="1" t="n">
        <v>45205</v>
      </c>
      <c r="C94" s="1" t="n">
        <v>45930</v>
      </c>
      <c r="D94" t="inlineStr">
        <is>
          <t>STOCKHOLMS LÄN</t>
        </is>
      </c>
      <c r="E94" t="inlineStr">
        <is>
          <t>NORRTÄLJE</t>
        </is>
      </c>
      <c r="G94" t="n">
        <v>2.3</v>
      </c>
      <c r="H94" t="n">
        <v>0</v>
      </c>
      <c r="I94" t="n">
        <v>0</v>
      </c>
      <c r="J94" t="n">
        <v>1</v>
      </c>
      <c r="K94" t="n">
        <v>0</v>
      </c>
      <c r="L94" t="n">
        <v>0</v>
      </c>
      <c r="M94" t="n">
        <v>0</v>
      </c>
      <c r="N94" t="n">
        <v>0</v>
      </c>
      <c r="O94" t="n">
        <v>1</v>
      </c>
      <c r="P94" t="n">
        <v>0</v>
      </c>
      <c r="Q94" t="n">
        <v>1</v>
      </c>
      <c r="R94" s="2" t="inlineStr">
        <is>
          <t>Slåtterfibbla</t>
        </is>
      </c>
      <c r="S94">
        <f>HYPERLINK("https://klasma.github.io/Logging_0188/artfynd/A 48131-2023 artfynd.xlsx", "A 48131-2023")</f>
        <v/>
      </c>
      <c r="T94">
        <f>HYPERLINK("https://klasma.github.io/Logging_0188/kartor/A 48131-2023 karta.png", "A 48131-2023")</f>
        <v/>
      </c>
      <c r="V94">
        <f>HYPERLINK("https://klasma.github.io/Logging_0188/klagomål/A 48131-2023 FSC-klagomål.docx", "A 48131-2023")</f>
        <v/>
      </c>
      <c r="W94">
        <f>HYPERLINK("https://klasma.github.io/Logging_0188/klagomålsmail/A 48131-2023 FSC-klagomål mail.docx", "A 48131-2023")</f>
        <v/>
      </c>
      <c r="X94">
        <f>HYPERLINK("https://klasma.github.io/Logging_0188/tillsyn/A 48131-2023 tillsynsbegäran.docx", "A 48131-2023")</f>
        <v/>
      </c>
      <c r="Y94">
        <f>HYPERLINK("https://klasma.github.io/Logging_0188/tillsynsmail/A 48131-2023 tillsynsbegäran mail.docx", "A 48131-2023")</f>
        <v/>
      </c>
    </row>
    <row r="95" ht="15" customHeight="1">
      <c r="A95" t="inlineStr">
        <is>
          <t>A 27538-2024</t>
        </is>
      </c>
      <c r="B95" s="1" t="n">
        <v>45474</v>
      </c>
      <c r="C95" s="1" t="n">
        <v>45930</v>
      </c>
      <c r="D95" t="inlineStr">
        <is>
          <t>STOCKHOLMS LÄN</t>
        </is>
      </c>
      <c r="E95" t="inlineStr">
        <is>
          <t>NORRTÄLJE</t>
        </is>
      </c>
      <c r="G95" t="n">
        <v>1.5</v>
      </c>
      <c r="H95" t="n">
        <v>1</v>
      </c>
      <c r="I95" t="n">
        <v>1</v>
      </c>
      <c r="J95" t="n">
        <v>0</v>
      </c>
      <c r="K95" t="n">
        <v>0</v>
      </c>
      <c r="L95" t="n">
        <v>0</v>
      </c>
      <c r="M95" t="n">
        <v>0</v>
      </c>
      <c r="N95" t="n">
        <v>0</v>
      </c>
      <c r="O95" t="n">
        <v>0</v>
      </c>
      <c r="P95" t="n">
        <v>0</v>
      </c>
      <c r="Q95" t="n">
        <v>1</v>
      </c>
      <c r="R95" s="2" t="inlineStr">
        <is>
          <t>Skogsknipprot</t>
        </is>
      </c>
      <c r="S95">
        <f>HYPERLINK("https://klasma.github.io/Logging_0188/artfynd/A 27538-2024 artfynd.xlsx", "A 27538-2024")</f>
        <v/>
      </c>
      <c r="T95">
        <f>HYPERLINK("https://klasma.github.io/Logging_0188/kartor/A 27538-2024 karta.png", "A 27538-2024")</f>
        <v/>
      </c>
      <c r="V95">
        <f>HYPERLINK("https://klasma.github.io/Logging_0188/klagomål/A 27538-2024 FSC-klagomål.docx", "A 27538-2024")</f>
        <v/>
      </c>
      <c r="W95">
        <f>HYPERLINK("https://klasma.github.io/Logging_0188/klagomålsmail/A 27538-2024 FSC-klagomål mail.docx", "A 27538-2024")</f>
        <v/>
      </c>
      <c r="X95">
        <f>HYPERLINK("https://klasma.github.io/Logging_0188/tillsyn/A 27538-2024 tillsynsbegäran.docx", "A 27538-2024")</f>
        <v/>
      </c>
      <c r="Y95">
        <f>HYPERLINK("https://klasma.github.io/Logging_0188/tillsynsmail/A 27538-2024 tillsynsbegäran mail.docx", "A 27538-2024")</f>
        <v/>
      </c>
    </row>
    <row r="96" ht="15" customHeight="1">
      <c r="A96" t="inlineStr">
        <is>
          <t>A 13271-2025</t>
        </is>
      </c>
      <c r="B96" s="1" t="n">
        <v>45735.54510416667</v>
      </c>
      <c r="C96" s="1" t="n">
        <v>45930</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4385-2023</t>
        </is>
      </c>
      <c r="B97" s="1" t="n">
        <v>44955.71322916666</v>
      </c>
      <c r="C97" s="1" t="n">
        <v>45930</v>
      </c>
      <c r="D97" t="inlineStr">
        <is>
          <t>STOCKHOLMS LÄN</t>
        </is>
      </c>
      <c r="E97" t="inlineStr">
        <is>
          <t>NORRTÄLJE</t>
        </is>
      </c>
      <c r="G97" t="n">
        <v>7.8</v>
      </c>
      <c r="H97" t="n">
        <v>1</v>
      </c>
      <c r="I97" t="n">
        <v>1</v>
      </c>
      <c r="J97" t="n">
        <v>0</v>
      </c>
      <c r="K97" t="n">
        <v>0</v>
      </c>
      <c r="L97" t="n">
        <v>0</v>
      </c>
      <c r="M97" t="n">
        <v>0</v>
      </c>
      <c r="N97" t="n">
        <v>0</v>
      </c>
      <c r="O97" t="n">
        <v>0</v>
      </c>
      <c r="P97" t="n">
        <v>0</v>
      </c>
      <c r="Q97" t="n">
        <v>1</v>
      </c>
      <c r="R97" s="2" t="inlineStr">
        <is>
          <t>Skogsknipprot</t>
        </is>
      </c>
      <c r="S97">
        <f>HYPERLINK("https://klasma.github.io/Logging_0188/artfynd/A 4385-2023 artfynd.xlsx", "A 4385-2023")</f>
        <v/>
      </c>
      <c r="T97">
        <f>HYPERLINK("https://klasma.github.io/Logging_0188/kartor/A 4385-2023 karta.png", "A 4385-2023")</f>
        <v/>
      </c>
      <c r="V97">
        <f>HYPERLINK("https://klasma.github.io/Logging_0188/klagomål/A 4385-2023 FSC-klagomål.docx", "A 4385-2023")</f>
        <v/>
      </c>
      <c r="W97">
        <f>HYPERLINK("https://klasma.github.io/Logging_0188/klagomålsmail/A 4385-2023 FSC-klagomål mail.docx", "A 4385-2023")</f>
        <v/>
      </c>
      <c r="X97">
        <f>HYPERLINK("https://klasma.github.io/Logging_0188/tillsyn/A 4385-2023 tillsynsbegäran.docx", "A 4385-2023")</f>
        <v/>
      </c>
      <c r="Y97">
        <f>HYPERLINK("https://klasma.github.io/Logging_0188/tillsynsmail/A 4385-2023 tillsynsbegäran mail.docx", "A 4385-2023")</f>
        <v/>
      </c>
    </row>
    <row r="98" ht="15" customHeight="1">
      <c r="A98" t="inlineStr">
        <is>
          <t>A 27827-2022</t>
        </is>
      </c>
      <c r="B98" s="1" t="n">
        <v>44743.59504629629</v>
      </c>
      <c r="C98" s="1" t="n">
        <v>45930</v>
      </c>
      <c r="D98" t="inlineStr">
        <is>
          <t>STOCKHOLMS LÄN</t>
        </is>
      </c>
      <c r="E98" t="inlineStr">
        <is>
          <t>NORRTÄLJE</t>
        </is>
      </c>
      <c r="F98" t="inlineStr">
        <is>
          <t>Holmen skog AB</t>
        </is>
      </c>
      <c r="G98" t="n">
        <v>4.7</v>
      </c>
      <c r="H98" t="n">
        <v>1</v>
      </c>
      <c r="I98" t="n">
        <v>0</v>
      </c>
      <c r="J98" t="n">
        <v>1</v>
      </c>
      <c r="K98" t="n">
        <v>0</v>
      </c>
      <c r="L98" t="n">
        <v>0</v>
      </c>
      <c r="M98" t="n">
        <v>0</v>
      </c>
      <c r="N98" t="n">
        <v>0</v>
      </c>
      <c r="O98" t="n">
        <v>1</v>
      </c>
      <c r="P98" t="n">
        <v>0</v>
      </c>
      <c r="Q98" t="n">
        <v>1</v>
      </c>
      <c r="R98" s="2" t="inlineStr">
        <is>
          <t>Nordfladdermus</t>
        </is>
      </c>
      <c r="S98">
        <f>HYPERLINK("https://klasma.github.io/Logging_0188/artfynd/A 27827-2022 artfynd.xlsx", "A 27827-2022")</f>
        <v/>
      </c>
      <c r="T98">
        <f>HYPERLINK("https://klasma.github.io/Logging_0188/kartor/A 27827-2022 karta.png", "A 27827-2022")</f>
        <v/>
      </c>
      <c r="V98">
        <f>HYPERLINK("https://klasma.github.io/Logging_0188/klagomål/A 27827-2022 FSC-klagomål.docx", "A 27827-2022")</f>
        <v/>
      </c>
      <c r="W98">
        <f>HYPERLINK("https://klasma.github.io/Logging_0188/klagomålsmail/A 27827-2022 FSC-klagomål mail.docx", "A 27827-2022")</f>
        <v/>
      </c>
      <c r="X98">
        <f>HYPERLINK("https://klasma.github.io/Logging_0188/tillsyn/A 27827-2022 tillsynsbegäran.docx", "A 27827-2022")</f>
        <v/>
      </c>
      <c r="Y98">
        <f>HYPERLINK("https://klasma.github.io/Logging_0188/tillsynsmail/A 27827-2022 tillsynsbegäran mail.docx", "A 27827-2022")</f>
        <v/>
      </c>
    </row>
    <row r="99" ht="15" customHeight="1">
      <c r="A99" t="inlineStr">
        <is>
          <t>A 24330-2023</t>
        </is>
      </c>
      <c r="B99" s="1" t="n">
        <v>45081</v>
      </c>
      <c r="C99" s="1" t="n">
        <v>45930</v>
      </c>
      <c r="D99" t="inlineStr">
        <is>
          <t>STOCKHOLMS LÄN</t>
        </is>
      </c>
      <c r="E99" t="inlineStr">
        <is>
          <t>NORRTÄLJE</t>
        </is>
      </c>
      <c r="G99" t="n">
        <v>5</v>
      </c>
      <c r="H99" t="n">
        <v>1</v>
      </c>
      <c r="I99" t="n">
        <v>0</v>
      </c>
      <c r="J99" t="n">
        <v>1</v>
      </c>
      <c r="K99" t="n">
        <v>0</v>
      </c>
      <c r="L99" t="n">
        <v>0</v>
      </c>
      <c r="M99" t="n">
        <v>0</v>
      </c>
      <c r="N99" t="n">
        <v>0</v>
      </c>
      <c r="O99" t="n">
        <v>1</v>
      </c>
      <c r="P99" t="n">
        <v>0</v>
      </c>
      <c r="Q99" t="n">
        <v>1</v>
      </c>
      <c r="R99" s="2" t="inlineStr">
        <is>
          <t>Mindre hackspett</t>
        </is>
      </c>
      <c r="S99">
        <f>HYPERLINK("https://klasma.github.io/Logging_0188/artfynd/A 24330-2023 artfynd.xlsx", "A 24330-2023")</f>
        <v/>
      </c>
      <c r="T99">
        <f>HYPERLINK("https://klasma.github.io/Logging_0188/kartor/A 24330-2023 karta.png", "A 24330-2023")</f>
        <v/>
      </c>
      <c r="V99">
        <f>HYPERLINK("https://klasma.github.io/Logging_0188/klagomål/A 24330-2023 FSC-klagomål.docx", "A 24330-2023")</f>
        <v/>
      </c>
      <c r="W99">
        <f>HYPERLINK("https://klasma.github.io/Logging_0188/klagomålsmail/A 24330-2023 FSC-klagomål mail.docx", "A 24330-2023")</f>
        <v/>
      </c>
      <c r="X99">
        <f>HYPERLINK("https://klasma.github.io/Logging_0188/tillsyn/A 24330-2023 tillsynsbegäran.docx", "A 24330-2023")</f>
        <v/>
      </c>
      <c r="Y99">
        <f>HYPERLINK("https://klasma.github.io/Logging_0188/tillsynsmail/A 24330-2023 tillsynsbegäran mail.docx", "A 24330-2023")</f>
        <v/>
      </c>
      <c r="Z99">
        <f>HYPERLINK("https://klasma.github.io/Logging_0188/fåglar/A 24330-2023 prioriterade fågelarter.docx", "A 24330-2023")</f>
        <v/>
      </c>
    </row>
    <row r="100" ht="15" customHeight="1">
      <c r="A100" t="inlineStr">
        <is>
          <t>A 24535-2023</t>
        </is>
      </c>
      <c r="B100" s="1" t="n">
        <v>45082</v>
      </c>
      <c r="C100" s="1" t="n">
        <v>45930</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21927-2025</t>
        </is>
      </c>
      <c r="B101" s="1" t="n">
        <v>45784.54878472222</v>
      </c>
      <c r="C101" s="1" t="n">
        <v>45930</v>
      </c>
      <c r="D101" t="inlineStr">
        <is>
          <t>STOCKHOLMS LÄN</t>
        </is>
      </c>
      <c r="E101" t="inlineStr">
        <is>
          <t>NORRTÄLJE</t>
        </is>
      </c>
      <c r="G101" t="n">
        <v>3.4</v>
      </c>
      <c r="H101" t="n">
        <v>1</v>
      </c>
      <c r="I101" t="n">
        <v>1</v>
      </c>
      <c r="J101" t="n">
        <v>0</v>
      </c>
      <c r="K101" t="n">
        <v>0</v>
      </c>
      <c r="L101" t="n">
        <v>0</v>
      </c>
      <c r="M101" t="n">
        <v>0</v>
      </c>
      <c r="N101" t="n">
        <v>0</v>
      </c>
      <c r="O101" t="n">
        <v>0</v>
      </c>
      <c r="P101" t="n">
        <v>0</v>
      </c>
      <c r="Q101" t="n">
        <v>1</v>
      </c>
      <c r="R101" s="2" t="inlineStr">
        <is>
          <t>Nästrot</t>
        </is>
      </c>
      <c r="S101">
        <f>HYPERLINK("https://klasma.github.io/Logging_0188/artfynd/A 21927-2025 artfynd.xlsx", "A 21927-2025")</f>
        <v/>
      </c>
      <c r="T101">
        <f>HYPERLINK("https://klasma.github.io/Logging_0188/kartor/A 21927-2025 karta.png", "A 21927-2025")</f>
        <v/>
      </c>
      <c r="V101">
        <f>HYPERLINK("https://klasma.github.io/Logging_0188/klagomål/A 21927-2025 FSC-klagomål.docx", "A 21927-2025")</f>
        <v/>
      </c>
      <c r="W101">
        <f>HYPERLINK("https://klasma.github.io/Logging_0188/klagomålsmail/A 21927-2025 FSC-klagomål mail.docx", "A 21927-2025")</f>
        <v/>
      </c>
      <c r="X101">
        <f>HYPERLINK("https://klasma.github.io/Logging_0188/tillsyn/A 21927-2025 tillsynsbegäran.docx", "A 21927-2025")</f>
        <v/>
      </c>
      <c r="Y101">
        <f>HYPERLINK("https://klasma.github.io/Logging_0188/tillsynsmail/A 21927-2025 tillsynsbegäran mail.docx", "A 21927-2025")</f>
        <v/>
      </c>
    </row>
    <row r="102" ht="15" customHeight="1">
      <c r="A102" t="inlineStr">
        <is>
          <t>A 9955-2022</t>
        </is>
      </c>
      <c r="B102" s="1" t="n">
        <v>44620</v>
      </c>
      <c r="C102" s="1" t="n">
        <v>45930</v>
      </c>
      <c r="D102" t="inlineStr">
        <is>
          <t>STOCKHOLMS LÄN</t>
        </is>
      </c>
      <c r="E102" t="inlineStr">
        <is>
          <t>NORRTÄLJE</t>
        </is>
      </c>
      <c r="G102" t="n">
        <v>7.8</v>
      </c>
      <c r="H102" t="n">
        <v>1</v>
      </c>
      <c r="I102" t="n">
        <v>0</v>
      </c>
      <c r="J102" t="n">
        <v>0</v>
      </c>
      <c r="K102" t="n">
        <v>0</v>
      </c>
      <c r="L102" t="n">
        <v>0</v>
      </c>
      <c r="M102" t="n">
        <v>0</v>
      </c>
      <c r="N102" t="n">
        <v>0</v>
      </c>
      <c r="O102" t="n">
        <v>0</v>
      </c>
      <c r="P102" t="n">
        <v>0</v>
      </c>
      <c r="Q102" t="n">
        <v>1</v>
      </c>
      <c r="R102" s="2" t="inlineStr">
        <is>
          <t>Åkergroda</t>
        </is>
      </c>
      <c r="S102">
        <f>HYPERLINK("https://klasma.github.io/Logging_0188/artfynd/A 9955-2022 artfynd.xlsx", "A 9955-2022")</f>
        <v/>
      </c>
      <c r="T102">
        <f>HYPERLINK("https://klasma.github.io/Logging_0188/kartor/A 9955-2022 karta.png", "A 9955-2022")</f>
        <v/>
      </c>
      <c r="V102">
        <f>HYPERLINK("https://klasma.github.io/Logging_0188/klagomål/A 9955-2022 FSC-klagomål.docx", "A 9955-2022")</f>
        <v/>
      </c>
      <c r="W102">
        <f>HYPERLINK("https://klasma.github.io/Logging_0188/klagomålsmail/A 9955-2022 FSC-klagomål mail.docx", "A 9955-2022")</f>
        <v/>
      </c>
      <c r="X102">
        <f>HYPERLINK("https://klasma.github.io/Logging_0188/tillsyn/A 9955-2022 tillsynsbegäran.docx", "A 9955-2022")</f>
        <v/>
      </c>
      <c r="Y102">
        <f>HYPERLINK("https://klasma.github.io/Logging_0188/tillsynsmail/A 9955-2022 tillsynsbegäran mail.docx", "A 9955-2022")</f>
        <v/>
      </c>
    </row>
    <row r="103" ht="15" customHeight="1">
      <c r="A103" t="inlineStr">
        <is>
          <t>A 26635-2023</t>
        </is>
      </c>
      <c r="B103" s="1" t="n">
        <v>45092</v>
      </c>
      <c r="C103" s="1" t="n">
        <v>45930</v>
      </c>
      <c r="D103" t="inlineStr">
        <is>
          <t>STOCKHOLMS LÄN</t>
        </is>
      </c>
      <c r="E103" t="inlineStr">
        <is>
          <t>NORRTÄLJE</t>
        </is>
      </c>
      <c r="G103" t="n">
        <v>3.1</v>
      </c>
      <c r="H103" t="n">
        <v>1</v>
      </c>
      <c r="I103" t="n">
        <v>0</v>
      </c>
      <c r="J103" t="n">
        <v>0</v>
      </c>
      <c r="K103" t="n">
        <v>0</v>
      </c>
      <c r="L103" t="n">
        <v>0</v>
      </c>
      <c r="M103" t="n">
        <v>0</v>
      </c>
      <c r="N103" t="n">
        <v>0</v>
      </c>
      <c r="O103" t="n">
        <v>0</v>
      </c>
      <c r="P103" t="n">
        <v>0</v>
      </c>
      <c r="Q103" t="n">
        <v>1</v>
      </c>
      <c r="R103" s="2" t="inlineStr">
        <is>
          <t>Fläcknycklar</t>
        </is>
      </c>
      <c r="S103">
        <f>HYPERLINK("https://klasma.github.io/Logging_0188/artfynd/A 26635-2023 artfynd.xlsx", "A 26635-2023")</f>
        <v/>
      </c>
      <c r="T103">
        <f>HYPERLINK("https://klasma.github.io/Logging_0188/kartor/A 26635-2023 karta.png", "A 26635-2023")</f>
        <v/>
      </c>
      <c r="V103">
        <f>HYPERLINK("https://klasma.github.io/Logging_0188/klagomål/A 26635-2023 FSC-klagomål.docx", "A 26635-2023")</f>
        <v/>
      </c>
      <c r="W103">
        <f>HYPERLINK("https://klasma.github.io/Logging_0188/klagomålsmail/A 26635-2023 FSC-klagomål mail.docx", "A 26635-2023")</f>
        <v/>
      </c>
      <c r="X103">
        <f>HYPERLINK("https://klasma.github.io/Logging_0188/tillsyn/A 26635-2023 tillsynsbegäran.docx", "A 26635-2023")</f>
        <v/>
      </c>
      <c r="Y103">
        <f>HYPERLINK("https://klasma.github.io/Logging_0188/tillsynsmail/A 26635-2023 tillsynsbegäran mail.docx", "A 26635-2023")</f>
        <v/>
      </c>
    </row>
    <row r="104" ht="15" customHeight="1">
      <c r="A104" t="inlineStr">
        <is>
          <t>A 19829-2022</t>
        </is>
      </c>
      <c r="B104" s="1" t="n">
        <v>44695.43527777777</v>
      </c>
      <c r="C104" s="1" t="n">
        <v>45930</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23905-2025</t>
        </is>
      </c>
      <c r="B105" s="1" t="n">
        <v>45794.63298611111</v>
      </c>
      <c r="C105" s="1" t="n">
        <v>45930</v>
      </c>
      <c r="D105" t="inlineStr">
        <is>
          <t>STOCKHOLMS LÄN</t>
        </is>
      </c>
      <c r="E105" t="inlineStr">
        <is>
          <t>NORRTÄLJE</t>
        </is>
      </c>
      <c r="G105" t="n">
        <v>8.4</v>
      </c>
      <c r="H105" t="n">
        <v>1</v>
      </c>
      <c r="I105" t="n">
        <v>0</v>
      </c>
      <c r="J105" t="n">
        <v>0</v>
      </c>
      <c r="K105" t="n">
        <v>0</v>
      </c>
      <c r="L105" t="n">
        <v>0</v>
      </c>
      <c r="M105" t="n">
        <v>0</v>
      </c>
      <c r="N105" t="n">
        <v>0</v>
      </c>
      <c r="O105" t="n">
        <v>0</v>
      </c>
      <c r="P105" t="n">
        <v>0</v>
      </c>
      <c r="Q105" t="n">
        <v>1</v>
      </c>
      <c r="R105" s="2" t="inlineStr">
        <is>
          <t>Blåsippa</t>
        </is>
      </c>
      <c r="S105">
        <f>HYPERLINK("https://klasma.github.io/Logging_0188/artfynd/A 23905-2025 artfynd.xlsx", "A 23905-2025")</f>
        <v/>
      </c>
      <c r="T105">
        <f>HYPERLINK("https://klasma.github.io/Logging_0188/kartor/A 23905-2025 karta.png", "A 23905-2025")</f>
        <v/>
      </c>
      <c r="V105">
        <f>HYPERLINK("https://klasma.github.io/Logging_0188/klagomål/A 23905-2025 FSC-klagomål.docx", "A 23905-2025")</f>
        <v/>
      </c>
      <c r="W105">
        <f>HYPERLINK("https://klasma.github.io/Logging_0188/klagomålsmail/A 23905-2025 FSC-klagomål mail.docx", "A 23905-2025")</f>
        <v/>
      </c>
      <c r="X105">
        <f>HYPERLINK("https://klasma.github.io/Logging_0188/tillsyn/A 23905-2025 tillsynsbegäran.docx", "A 23905-2025")</f>
        <v/>
      </c>
      <c r="Y105">
        <f>HYPERLINK("https://klasma.github.io/Logging_0188/tillsynsmail/A 23905-2025 tillsynsbegäran mail.docx", "A 23905-2025")</f>
        <v/>
      </c>
    </row>
    <row r="106" ht="15" customHeight="1">
      <c r="A106" t="inlineStr">
        <is>
          <t>A 25687-2025</t>
        </is>
      </c>
      <c r="B106" s="1" t="n">
        <v>45800</v>
      </c>
      <c r="C106" s="1" t="n">
        <v>45930</v>
      </c>
      <c r="D106" t="inlineStr">
        <is>
          <t>STOCKHOLMS LÄN</t>
        </is>
      </c>
      <c r="E106" t="inlineStr">
        <is>
          <t>NORRTÄLJE</t>
        </is>
      </c>
      <c r="G106" t="n">
        <v>15.7</v>
      </c>
      <c r="H106" t="n">
        <v>0</v>
      </c>
      <c r="I106" t="n">
        <v>1</v>
      </c>
      <c r="J106" t="n">
        <v>0</v>
      </c>
      <c r="K106" t="n">
        <v>0</v>
      </c>
      <c r="L106" t="n">
        <v>0</v>
      </c>
      <c r="M106" t="n">
        <v>0</v>
      </c>
      <c r="N106" t="n">
        <v>0</v>
      </c>
      <c r="O106" t="n">
        <v>0</v>
      </c>
      <c r="P106" t="n">
        <v>0</v>
      </c>
      <c r="Q106" t="n">
        <v>1</v>
      </c>
      <c r="R106" s="2" t="inlineStr">
        <is>
          <t>Grönpyrola</t>
        </is>
      </c>
      <c r="S106">
        <f>HYPERLINK("https://klasma.github.io/Logging_0188/artfynd/A 25687-2025 artfynd.xlsx", "A 25687-2025")</f>
        <v/>
      </c>
      <c r="T106">
        <f>HYPERLINK("https://klasma.github.io/Logging_0188/kartor/A 25687-2025 karta.png", "A 25687-2025")</f>
        <v/>
      </c>
      <c r="V106">
        <f>HYPERLINK("https://klasma.github.io/Logging_0188/klagomål/A 25687-2025 FSC-klagomål.docx", "A 25687-2025")</f>
        <v/>
      </c>
      <c r="W106">
        <f>HYPERLINK("https://klasma.github.io/Logging_0188/klagomålsmail/A 25687-2025 FSC-klagomål mail.docx", "A 25687-2025")</f>
        <v/>
      </c>
      <c r="X106">
        <f>HYPERLINK("https://klasma.github.io/Logging_0188/tillsyn/A 25687-2025 tillsynsbegäran.docx", "A 25687-2025")</f>
        <v/>
      </c>
      <c r="Y106">
        <f>HYPERLINK("https://klasma.github.io/Logging_0188/tillsynsmail/A 25687-2025 tillsynsbegäran mail.docx", "A 25687-2025")</f>
        <v/>
      </c>
    </row>
    <row r="107" ht="15" customHeight="1">
      <c r="A107" t="inlineStr">
        <is>
          <t>A 35649-2023</t>
        </is>
      </c>
      <c r="B107" s="1" t="n">
        <v>45146</v>
      </c>
      <c r="C107" s="1" t="n">
        <v>45930</v>
      </c>
      <c r="D107" t="inlineStr">
        <is>
          <t>STOCKHOLMS LÄN</t>
        </is>
      </c>
      <c r="E107" t="inlineStr">
        <is>
          <t>NORRTÄLJE</t>
        </is>
      </c>
      <c r="G107" t="n">
        <v>25.1</v>
      </c>
      <c r="H107" t="n">
        <v>0</v>
      </c>
      <c r="I107" t="n">
        <v>0</v>
      </c>
      <c r="J107" t="n">
        <v>1</v>
      </c>
      <c r="K107" t="n">
        <v>0</v>
      </c>
      <c r="L107" t="n">
        <v>0</v>
      </c>
      <c r="M107" t="n">
        <v>0</v>
      </c>
      <c r="N107" t="n">
        <v>0</v>
      </c>
      <c r="O107" t="n">
        <v>1</v>
      </c>
      <c r="P107" t="n">
        <v>0</v>
      </c>
      <c r="Q107" t="n">
        <v>1</v>
      </c>
      <c r="R107" s="2" t="inlineStr">
        <is>
          <t>Månlåsbräken</t>
        </is>
      </c>
      <c r="S107">
        <f>HYPERLINK("https://klasma.github.io/Logging_0188/artfynd/A 35649-2023 artfynd.xlsx", "A 35649-2023")</f>
        <v/>
      </c>
      <c r="T107">
        <f>HYPERLINK("https://klasma.github.io/Logging_0188/kartor/A 35649-2023 karta.png", "A 35649-2023")</f>
        <v/>
      </c>
      <c r="V107">
        <f>HYPERLINK("https://klasma.github.io/Logging_0188/klagomål/A 35649-2023 FSC-klagomål.docx", "A 35649-2023")</f>
        <v/>
      </c>
      <c r="W107">
        <f>HYPERLINK("https://klasma.github.io/Logging_0188/klagomålsmail/A 35649-2023 FSC-klagomål mail.docx", "A 35649-2023")</f>
        <v/>
      </c>
      <c r="X107">
        <f>HYPERLINK("https://klasma.github.io/Logging_0188/tillsyn/A 35649-2023 tillsynsbegäran.docx", "A 35649-2023")</f>
        <v/>
      </c>
      <c r="Y107">
        <f>HYPERLINK("https://klasma.github.io/Logging_0188/tillsynsmail/A 35649-2023 tillsynsbegäran mail.docx", "A 35649-2023")</f>
        <v/>
      </c>
    </row>
    <row r="108" ht="15" customHeight="1">
      <c r="A108" t="inlineStr">
        <is>
          <t>A 35764-2024</t>
        </is>
      </c>
      <c r="B108" s="1" t="n">
        <v>45532</v>
      </c>
      <c r="C108" s="1" t="n">
        <v>45930</v>
      </c>
      <c r="D108" t="inlineStr">
        <is>
          <t>STOCKHOLMS LÄN</t>
        </is>
      </c>
      <c r="E108" t="inlineStr">
        <is>
          <t>NORRTÄLJE</t>
        </is>
      </c>
      <c r="G108" t="n">
        <v>14.2</v>
      </c>
      <c r="H108" t="n">
        <v>1</v>
      </c>
      <c r="I108" t="n">
        <v>0</v>
      </c>
      <c r="J108" t="n">
        <v>0</v>
      </c>
      <c r="K108" t="n">
        <v>1</v>
      </c>
      <c r="L108" t="n">
        <v>0</v>
      </c>
      <c r="M108" t="n">
        <v>0</v>
      </c>
      <c r="N108" t="n">
        <v>0</v>
      </c>
      <c r="O108" t="n">
        <v>1</v>
      </c>
      <c r="P108" t="n">
        <v>1</v>
      </c>
      <c r="Q108" t="n">
        <v>1</v>
      </c>
      <c r="R108" s="2" t="inlineStr">
        <is>
          <t>Knärot</t>
        </is>
      </c>
      <c r="S108">
        <f>HYPERLINK("https://klasma.github.io/Logging_0188/artfynd/A 35764-2024 artfynd.xlsx", "A 35764-2024")</f>
        <v/>
      </c>
      <c r="T108">
        <f>HYPERLINK("https://klasma.github.io/Logging_0188/kartor/A 35764-2024 karta.png", "A 35764-2024")</f>
        <v/>
      </c>
      <c r="U108">
        <f>HYPERLINK("https://klasma.github.io/Logging_0188/knärot/A 35764-2024 karta knärot.png", "A 35764-2024")</f>
        <v/>
      </c>
      <c r="V108">
        <f>HYPERLINK("https://klasma.github.io/Logging_0188/klagomål/A 35764-2024 FSC-klagomål.docx", "A 35764-2024")</f>
        <v/>
      </c>
      <c r="W108">
        <f>HYPERLINK("https://klasma.github.io/Logging_0188/klagomålsmail/A 35764-2024 FSC-klagomål mail.docx", "A 35764-2024")</f>
        <v/>
      </c>
      <c r="X108">
        <f>HYPERLINK("https://klasma.github.io/Logging_0188/tillsyn/A 35764-2024 tillsynsbegäran.docx", "A 35764-2024")</f>
        <v/>
      </c>
      <c r="Y108">
        <f>HYPERLINK("https://klasma.github.io/Logging_0188/tillsynsmail/A 35764-2024 tillsynsbegäran mail.docx", "A 35764-2024")</f>
        <v/>
      </c>
    </row>
    <row r="109" ht="15" customHeight="1">
      <c r="A109" t="inlineStr">
        <is>
          <t>A 25669-2025</t>
        </is>
      </c>
      <c r="B109" s="1" t="n">
        <v>45803.62766203703</v>
      </c>
      <c r="C109" s="1" t="n">
        <v>45930</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6381-2023</t>
        </is>
      </c>
      <c r="B110" s="1" t="n">
        <v>44965</v>
      </c>
      <c r="C110" s="1" t="n">
        <v>45930</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45930</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33548-2025</t>
        </is>
      </c>
      <c r="B112" s="1" t="n">
        <v>45841.5721875</v>
      </c>
      <c r="C112" s="1" t="n">
        <v>45930</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45930</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39158-2025</t>
        </is>
      </c>
      <c r="B114" s="1" t="n">
        <v>45888.62712962963</v>
      </c>
      <c r="C114" s="1" t="n">
        <v>45930</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4532-2025</t>
        </is>
      </c>
      <c r="B115" s="1" t="n">
        <v>45687.34177083334</v>
      </c>
      <c r="C115" s="1" t="n">
        <v>45930</v>
      </c>
      <c r="D115" t="inlineStr">
        <is>
          <t>STOCKHOLMS LÄN</t>
        </is>
      </c>
      <c r="E115" t="inlineStr">
        <is>
          <t>NORRTÄLJE</t>
        </is>
      </c>
      <c r="F115" t="inlineStr">
        <is>
          <t>Holmen skog AB</t>
        </is>
      </c>
      <c r="G115" t="n">
        <v>6.4</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4532-2025 artfynd.xlsx", "A 4532-2025")</f>
        <v/>
      </c>
      <c r="T115">
        <f>HYPERLINK("https://klasma.github.io/Logging_0188/kartor/A 4532-2025 karta.png", "A 4532-2025")</f>
        <v/>
      </c>
      <c r="V115">
        <f>HYPERLINK("https://klasma.github.io/Logging_0188/klagomål/A 4532-2025 FSC-klagomål.docx", "A 4532-2025")</f>
        <v/>
      </c>
      <c r="W115">
        <f>HYPERLINK("https://klasma.github.io/Logging_0188/klagomålsmail/A 4532-2025 FSC-klagomål mail.docx", "A 4532-2025")</f>
        <v/>
      </c>
      <c r="X115">
        <f>HYPERLINK("https://klasma.github.io/Logging_0188/tillsyn/A 4532-2025 tillsynsbegäran.docx", "A 4532-2025")</f>
        <v/>
      </c>
      <c r="Y115">
        <f>HYPERLINK("https://klasma.github.io/Logging_0188/tillsynsmail/A 4532-2025 tillsynsbegäran mail.docx", "A 4532-2025")</f>
        <v/>
      </c>
    </row>
    <row r="116" ht="15" customHeight="1">
      <c r="A116" t="inlineStr">
        <is>
          <t>A 16870-2025</t>
        </is>
      </c>
      <c r="B116" s="1" t="n">
        <v>45754</v>
      </c>
      <c r="C116" s="1" t="n">
        <v>45930</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14365-2025</t>
        </is>
      </c>
      <c r="B117" s="1" t="n">
        <v>45741.38688657407</v>
      </c>
      <c r="C117" s="1" t="n">
        <v>45930</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21150-2022</t>
        </is>
      </c>
      <c r="B118" s="1" t="n">
        <v>44704</v>
      </c>
      <c r="C118" s="1" t="n">
        <v>45930</v>
      </c>
      <c r="D118" t="inlineStr">
        <is>
          <t>STOCKHOLMS LÄN</t>
        </is>
      </c>
      <c r="E118" t="inlineStr">
        <is>
          <t>NORRTÄLJE</t>
        </is>
      </c>
      <c r="G118" t="n">
        <v>12.5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21150-2022 artfynd.xlsx", "A 21150-2022")</f>
        <v/>
      </c>
      <c r="T118">
        <f>HYPERLINK("https://klasma.github.io/Logging_0188/kartor/A 21150-2022 karta.png", "A 21150-2022")</f>
        <v/>
      </c>
      <c r="V118">
        <f>HYPERLINK("https://klasma.github.io/Logging_0188/klagomål/A 21150-2022 FSC-klagomål.docx", "A 21150-2022")</f>
        <v/>
      </c>
      <c r="W118">
        <f>HYPERLINK("https://klasma.github.io/Logging_0188/klagomålsmail/A 21150-2022 FSC-klagomål mail.docx", "A 21150-2022")</f>
        <v/>
      </c>
      <c r="X118">
        <f>HYPERLINK("https://klasma.github.io/Logging_0188/tillsyn/A 21150-2022 tillsynsbegäran.docx", "A 21150-2022")</f>
        <v/>
      </c>
      <c r="Y118">
        <f>HYPERLINK("https://klasma.github.io/Logging_0188/tillsynsmail/A 21150-2022 tillsynsbegäran mail.docx", "A 21150-2022")</f>
        <v/>
      </c>
    </row>
    <row r="119" ht="15" customHeight="1">
      <c r="A119" t="inlineStr">
        <is>
          <t>A 1162-2021</t>
        </is>
      </c>
      <c r="B119" s="1" t="n">
        <v>44207</v>
      </c>
      <c r="C119" s="1" t="n">
        <v>45930</v>
      </c>
      <c r="D119" t="inlineStr">
        <is>
          <t>STOCKHOLMS LÄN</t>
        </is>
      </c>
      <c r="E119" t="inlineStr">
        <is>
          <t>NORRTÄLJE</t>
        </is>
      </c>
      <c r="G119" t="n">
        <v>2.2</v>
      </c>
      <c r="H119" t="n">
        <v>1</v>
      </c>
      <c r="I119" t="n">
        <v>0</v>
      </c>
      <c r="J119" t="n">
        <v>0</v>
      </c>
      <c r="K119" t="n">
        <v>1</v>
      </c>
      <c r="L119" t="n">
        <v>0</v>
      </c>
      <c r="M119" t="n">
        <v>0</v>
      </c>
      <c r="N119" t="n">
        <v>0</v>
      </c>
      <c r="O119" t="n">
        <v>1</v>
      </c>
      <c r="P119" t="n">
        <v>1</v>
      </c>
      <c r="Q119" t="n">
        <v>1</v>
      </c>
      <c r="R119" s="2" t="inlineStr">
        <is>
          <t>Hällebräcka</t>
        </is>
      </c>
      <c r="S119">
        <f>HYPERLINK("https://klasma.github.io/Logging_0188/artfynd/A 1162-2021 artfynd.xlsx", "A 1162-2021")</f>
        <v/>
      </c>
      <c r="T119">
        <f>HYPERLINK("https://klasma.github.io/Logging_0188/kartor/A 1162-2021 karta.png", "A 1162-2021")</f>
        <v/>
      </c>
      <c r="V119">
        <f>HYPERLINK("https://klasma.github.io/Logging_0188/klagomål/A 1162-2021 FSC-klagomål.docx", "A 1162-2021")</f>
        <v/>
      </c>
      <c r="W119">
        <f>HYPERLINK("https://klasma.github.io/Logging_0188/klagomålsmail/A 1162-2021 FSC-klagomål mail.docx", "A 1162-2021")</f>
        <v/>
      </c>
      <c r="X119">
        <f>HYPERLINK("https://klasma.github.io/Logging_0188/tillsyn/A 1162-2021 tillsynsbegäran.docx", "A 1162-2021")</f>
        <v/>
      </c>
      <c r="Y119">
        <f>HYPERLINK("https://klasma.github.io/Logging_0188/tillsynsmail/A 1162-2021 tillsynsbegäran mail.docx", "A 1162-2021")</f>
        <v/>
      </c>
    </row>
    <row r="120" ht="15" customHeight="1">
      <c r="A120" t="inlineStr">
        <is>
          <t>A 1970-2021</t>
        </is>
      </c>
      <c r="B120" s="1" t="n">
        <v>44210</v>
      </c>
      <c r="C120" s="1" t="n">
        <v>45930</v>
      </c>
      <c r="D120" t="inlineStr">
        <is>
          <t>STOCKHOLMS LÄN</t>
        </is>
      </c>
      <c r="E120" t="inlineStr">
        <is>
          <t>NORRTÄLJE</t>
        </is>
      </c>
      <c r="G120" t="n">
        <v>3.1</v>
      </c>
      <c r="H120" t="n">
        <v>0</v>
      </c>
      <c r="I120" t="n">
        <v>0</v>
      </c>
      <c r="J120" t="n">
        <v>0</v>
      </c>
      <c r="K120" t="n">
        <v>0</v>
      </c>
      <c r="L120" t="n">
        <v>0</v>
      </c>
      <c r="M120" t="n">
        <v>0</v>
      </c>
      <c r="N120" t="n">
        <v>0</v>
      </c>
      <c r="O120" t="n">
        <v>0</v>
      </c>
      <c r="P120" t="n">
        <v>0</v>
      </c>
      <c r="Q120" t="n">
        <v>0</v>
      </c>
      <c r="R120" s="2" t="inlineStr"/>
    </row>
    <row r="121" ht="15" customHeight="1">
      <c r="A121" t="inlineStr">
        <is>
          <t>A 1637-2021</t>
        </is>
      </c>
      <c r="B121" s="1" t="n">
        <v>44209</v>
      </c>
      <c r="C121" s="1" t="n">
        <v>45930</v>
      </c>
      <c r="D121" t="inlineStr">
        <is>
          <t>STOCKHOLMS LÄN</t>
        </is>
      </c>
      <c r="E121" t="inlineStr">
        <is>
          <t>NORRTÄLJE</t>
        </is>
      </c>
      <c r="G121" t="n">
        <v>1.6</v>
      </c>
      <c r="H121" t="n">
        <v>0</v>
      </c>
      <c r="I121" t="n">
        <v>0</v>
      </c>
      <c r="J121" t="n">
        <v>0</v>
      </c>
      <c r="K121" t="n">
        <v>0</v>
      </c>
      <c r="L121" t="n">
        <v>0</v>
      </c>
      <c r="M121" t="n">
        <v>0</v>
      </c>
      <c r="N121" t="n">
        <v>0</v>
      </c>
      <c r="O121" t="n">
        <v>0</v>
      </c>
      <c r="P121" t="n">
        <v>0</v>
      </c>
      <c r="Q121" t="n">
        <v>0</v>
      </c>
      <c r="R121" s="2" t="inlineStr"/>
    </row>
    <row r="122" ht="15" customHeight="1">
      <c r="A122" t="inlineStr">
        <is>
          <t>A 18580-2021</t>
        </is>
      </c>
      <c r="B122" s="1" t="n">
        <v>44306</v>
      </c>
      <c r="C122" s="1" t="n">
        <v>45930</v>
      </c>
      <c r="D122" t="inlineStr">
        <is>
          <t>STOCKHOLMS LÄN</t>
        </is>
      </c>
      <c r="E122" t="inlineStr">
        <is>
          <t>NORRTÄLJE</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12877-2022</t>
        </is>
      </c>
      <c r="B123" s="1" t="n">
        <v>44642</v>
      </c>
      <c r="C123" s="1" t="n">
        <v>45930</v>
      </c>
      <c r="D123" t="inlineStr">
        <is>
          <t>STOCKHOLMS LÄN</t>
        </is>
      </c>
      <c r="E123" t="inlineStr">
        <is>
          <t>NORRTÄLJE</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71543-2021</t>
        </is>
      </c>
      <c r="B124" s="1" t="n">
        <v>44540</v>
      </c>
      <c r="C124" s="1" t="n">
        <v>45930</v>
      </c>
      <c r="D124" t="inlineStr">
        <is>
          <t>STOCKHOLMS LÄN</t>
        </is>
      </c>
      <c r="E124" t="inlineStr">
        <is>
          <t>NORRTÄLJE</t>
        </is>
      </c>
      <c r="G124" t="n">
        <v>1.8</v>
      </c>
      <c r="H124" t="n">
        <v>0</v>
      </c>
      <c r="I124" t="n">
        <v>0</v>
      </c>
      <c r="J124" t="n">
        <v>0</v>
      </c>
      <c r="K124" t="n">
        <v>0</v>
      </c>
      <c r="L124" t="n">
        <v>0</v>
      </c>
      <c r="M124" t="n">
        <v>0</v>
      </c>
      <c r="N124" t="n">
        <v>0</v>
      </c>
      <c r="O124" t="n">
        <v>0</v>
      </c>
      <c r="P124" t="n">
        <v>0</v>
      </c>
      <c r="Q124" t="n">
        <v>0</v>
      </c>
      <c r="R124" s="2" t="inlineStr"/>
    </row>
    <row r="125" ht="15" customHeight="1">
      <c r="A125" t="inlineStr">
        <is>
          <t>A 14036-2022</t>
        </is>
      </c>
      <c r="B125" s="1" t="n">
        <v>44650.8699537037</v>
      </c>
      <c r="C125" s="1" t="n">
        <v>45930</v>
      </c>
      <c r="D125" t="inlineStr">
        <is>
          <t>STOCKHOLMS LÄN</t>
        </is>
      </c>
      <c r="E125" t="inlineStr">
        <is>
          <t>NORRTÄLJE</t>
        </is>
      </c>
      <c r="G125" t="n">
        <v>1.1</v>
      </c>
      <c r="H125" t="n">
        <v>0</v>
      </c>
      <c r="I125" t="n">
        <v>0</v>
      </c>
      <c r="J125" t="n">
        <v>0</v>
      </c>
      <c r="K125" t="n">
        <v>0</v>
      </c>
      <c r="L125" t="n">
        <v>0</v>
      </c>
      <c r="M125" t="n">
        <v>0</v>
      </c>
      <c r="N125" t="n">
        <v>0</v>
      </c>
      <c r="O125" t="n">
        <v>0</v>
      </c>
      <c r="P125" t="n">
        <v>0</v>
      </c>
      <c r="Q125" t="n">
        <v>0</v>
      </c>
      <c r="R125" s="2" t="inlineStr"/>
    </row>
    <row r="126" ht="15" customHeight="1">
      <c r="A126" t="inlineStr">
        <is>
          <t>A 47344-2021</t>
        </is>
      </c>
      <c r="B126" s="1" t="n">
        <v>44447</v>
      </c>
      <c r="C126" s="1" t="n">
        <v>45930</v>
      </c>
      <c r="D126" t="inlineStr">
        <is>
          <t>STOCKHOLMS LÄN</t>
        </is>
      </c>
      <c r="E126" t="inlineStr">
        <is>
          <t>NORRTÄLJE</t>
        </is>
      </c>
      <c r="G126" t="n">
        <v>3.3</v>
      </c>
      <c r="H126" t="n">
        <v>0</v>
      </c>
      <c r="I126" t="n">
        <v>0</v>
      </c>
      <c r="J126" t="n">
        <v>0</v>
      </c>
      <c r="K126" t="n">
        <v>0</v>
      </c>
      <c r="L126" t="n">
        <v>0</v>
      </c>
      <c r="M126" t="n">
        <v>0</v>
      </c>
      <c r="N126" t="n">
        <v>0</v>
      </c>
      <c r="O126" t="n">
        <v>0</v>
      </c>
      <c r="P126" t="n">
        <v>0</v>
      </c>
      <c r="Q126" t="n">
        <v>0</v>
      </c>
      <c r="R126" s="2" t="inlineStr"/>
    </row>
    <row r="127" ht="15" customHeight="1">
      <c r="A127" t="inlineStr">
        <is>
          <t>A 43036-2022</t>
        </is>
      </c>
      <c r="B127" s="1" t="n">
        <v>44833</v>
      </c>
      <c r="C127" s="1" t="n">
        <v>45930</v>
      </c>
      <c r="D127" t="inlineStr">
        <is>
          <t>STOCKHOLMS LÄN</t>
        </is>
      </c>
      <c r="E127" t="inlineStr">
        <is>
          <t>NORRTÄLJE</t>
        </is>
      </c>
      <c r="F127" t="inlineStr">
        <is>
          <t>Kyrkan</t>
        </is>
      </c>
      <c r="G127" t="n">
        <v>1.7</v>
      </c>
      <c r="H127" t="n">
        <v>0</v>
      </c>
      <c r="I127" t="n">
        <v>0</v>
      </c>
      <c r="J127" t="n">
        <v>0</v>
      </c>
      <c r="K127" t="n">
        <v>0</v>
      </c>
      <c r="L127" t="n">
        <v>0</v>
      </c>
      <c r="M127" t="n">
        <v>0</v>
      </c>
      <c r="N127" t="n">
        <v>0</v>
      </c>
      <c r="O127" t="n">
        <v>0</v>
      </c>
      <c r="P127" t="n">
        <v>0</v>
      </c>
      <c r="Q127" t="n">
        <v>0</v>
      </c>
      <c r="R127" s="2" t="inlineStr"/>
    </row>
    <row r="128" ht="15" customHeight="1">
      <c r="A128" t="inlineStr">
        <is>
          <t>A 15289-2021</t>
        </is>
      </c>
      <c r="B128" s="1" t="n">
        <v>44284.59546296296</v>
      </c>
      <c r="C128" s="1" t="n">
        <v>45930</v>
      </c>
      <c r="D128" t="inlineStr">
        <is>
          <t>STOCKHOLMS LÄN</t>
        </is>
      </c>
      <c r="E128" t="inlineStr">
        <is>
          <t>NORRTÄLJE</t>
        </is>
      </c>
      <c r="G128" t="n">
        <v>0.5</v>
      </c>
      <c r="H128" t="n">
        <v>0</v>
      </c>
      <c r="I128" t="n">
        <v>0</v>
      </c>
      <c r="J128" t="n">
        <v>0</v>
      </c>
      <c r="K128" t="n">
        <v>0</v>
      </c>
      <c r="L128" t="n">
        <v>0</v>
      </c>
      <c r="M128" t="n">
        <v>0</v>
      </c>
      <c r="N128" t="n">
        <v>0</v>
      </c>
      <c r="O128" t="n">
        <v>0</v>
      </c>
      <c r="P128" t="n">
        <v>0</v>
      </c>
      <c r="Q128" t="n">
        <v>0</v>
      </c>
      <c r="R128" s="2" t="inlineStr"/>
    </row>
    <row r="129" ht="15" customHeight="1">
      <c r="A129" t="inlineStr">
        <is>
          <t>A 40542-2021</t>
        </is>
      </c>
      <c r="B129" s="1" t="n">
        <v>44420</v>
      </c>
      <c r="C129" s="1" t="n">
        <v>45930</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40546-2021</t>
        </is>
      </c>
      <c r="B130" s="1" t="n">
        <v>44420</v>
      </c>
      <c r="C130" s="1" t="n">
        <v>45930</v>
      </c>
      <c r="D130" t="inlineStr">
        <is>
          <t>STOCKHOLMS LÄN</t>
        </is>
      </c>
      <c r="E130" t="inlineStr">
        <is>
          <t>NORRTÄLJE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23096-2021</t>
        </is>
      </c>
      <c r="B131" s="1" t="n">
        <v>44330</v>
      </c>
      <c r="C131" s="1" t="n">
        <v>45930</v>
      </c>
      <c r="D131" t="inlineStr">
        <is>
          <t>STOCKHOLMS LÄN</t>
        </is>
      </c>
      <c r="E131" t="inlineStr">
        <is>
          <t>NORRTÄLJE</t>
        </is>
      </c>
      <c r="G131" t="n">
        <v>0.3</v>
      </c>
      <c r="H131" t="n">
        <v>0</v>
      </c>
      <c r="I131" t="n">
        <v>0</v>
      </c>
      <c r="J131" t="n">
        <v>0</v>
      </c>
      <c r="K131" t="n">
        <v>0</v>
      </c>
      <c r="L131" t="n">
        <v>0</v>
      </c>
      <c r="M131" t="n">
        <v>0</v>
      </c>
      <c r="N131" t="n">
        <v>0</v>
      </c>
      <c r="O131" t="n">
        <v>0</v>
      </c>
      <c r="P131" t="n">
        <v>0</v>
      </c>
      <c r="Q131" t="n">
        <v>0</v>
      </c>
      <c r="R131" s="2" t="inlineStr"/>
    </row>
    <row r="132" ht="15" customHeight="1">
      <c r="A132" t="inlineStr">
        <is>
          <t>A 24977-2022</t>
        </is>
      </c>
      <c r="B132" s="1" t="n">
        <v>44728.73465277778</v>
      </c>
      <c r="C132" s="1" t="n">
        <v>45930</v>
      </c>
      <c r="D132" t="inlineStr">
        <is>
          <t>STOCKHOLMS LÄN</t>
        </is>
      </c>
      <c r="E132" t="inlineStr">
        <is>
          <t>NORRTÄLJE</t>
        </is>
      </c>
      <c r="F132" t="inlineStr">
        <is>
          <t>Kyrkan</t>
        </is>
      </c>
      <c r="G132" t="n">
        <v>1</v>
      </c>
      <c r="H132" t="n">
        <v>0</v>
      </c>
      <c r="I132" t="n">
        <v>0</v>
      </c>
      <c r="J132" t="n">
        <v>0</v>
      </c>
      <c r="K132" t="n">
        <v>0</v>
      </c>
      <c r="L132" t="n">
        <v>0</v>
      </c>
      <c r="M132" t="n">
        <v>0</v>
      </c>
      <c r="N132" t="n">
        <v>0</v>
      </c>
      <c r="O132" t="n">
        <v>0</v>
      </c>
      <c r="P132" t="n">
        <v>0</v>
      </c>
      <c r="Q132" t="n">
        <v>0</v>
      </c>
      <c r="R132" s="2" t="inlineStr"/>
    </row>
    <row r="133" ht="15" customHeight="1">
      <c r="A133" t="inlineStr">
        <is>
          <t>A 31934-2022</t>
        </is>
      </c>
      <c r="B133" s="1" t="n">
        <v>44777</v>
      </c>
      <c r="C133" s="1" t="n">
        <v>45930</v>
      </c>
      <c r="D133" t="inlineStr">
        <is>
          <t>STOCKHOLMS LÄN</t>
        </is>
      </c>
      <c r="E133" t="inlineStr">
        <is>
          <t>NORRTÄLJE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37815-2022</t>
        </is>
      </c>
      <c r="B134" s="1" t="n">
        <v>44810.85092592592</v>
      </c>
      <c r="C134" s="1" t="n">
        <v>45930</v>
      </c>
      <c r="D134" t="inlineStr">
        <is>
          <t>STOCKHOLMS LÄN</t>
        </is>
      </c>
      <c r="E134" t="inlineStr">
        <is>
          <t>NORRTÄLJE</t>
        </is>
      </c>
      <c r="G134" t="n">
        <v>1.3</v>
      </c>
      <c r="H134" t="n">
        <v>0</v>
      </c>
      <c r="I134" t="n">
        <v>0</v>
      </c>
      <c r="J134" t="n">
        <v>0</v>
      </c>
      <c r="K134" t="n">
        <v>0</v>
      </c>
      <c r="L134" t="n">
        <v>0</v>
      </c>
      <c r="M134" t="n">
        <v>0</v>
      </c>
      <c r="N134" t="n">
        <v>0</v>
      </c>
      <c r="O134" t="n">
        <v>0</v>
      </c>
      <c r="P134" t="n">
        <v>0</v>
      </c>
      <c r="Q134" t="n">
        <v>0</v>
      </c>
      <c r="R134" s="2" t="inlineStr"/>
    </row>
    <row r="135" ht="15" customHeight="1">
      <c r="A135" t="inlineStr">
        <is>
          <t>A 73855-2021</t>
        </is>
      </c>
      <c r="B135" s="1" t="n">
        <v>44552</v>
      </c>
      <c r="C135" s="1" t="n">
        <v>45930</v>
      </c>
      <c r="D135" t="inlineStr">
        <is>
          <t>STOCKHOLMS LÄN</t>
        </is>
      </c>
      <c r="E135" t="inlineStr">
        <is>
          <t>NORRTÄLJE</t>
        </is>
      </c>
      <c r="F135" t="inlineStr">
        <is>
          <t>Övriga Aktiebolag</t>
        </is>
      </c>
      <c r="G135" t="n">
        <v>4</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45930</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45930</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74468-2021</t>
        </is>
      </c>
      <c r="B138" s="1" t="n">
        <v>44560</v>
      </c>
      <c r="C138" s="1" t="n">
        <v>45930</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54272-2021</t>
        </is>
      </c>
      <c r="B139" s="1" t="n">
        <v>44470.72148148148</v>
      </c>
      <c r="C139" s="1" t="n">
        <v>45930</v>
      </c>
      <c r="D139" t="inlineStr">
        <is>
          <t>STOCKHOLMS LÄN</t>
        </is>
      </c>
      <c r="E139" t="inlineStr">
        <is>
          <t>NORRTÄLJE</t>
        </is>
      </c>
      <c r="G139" t="n">
        <v>5.8</v>
      </c>
      <c r="H139" t="n">
        <v>0</v>
      </c>
      <c r="I139" t="n">
        <v>0</v>
      </c>
      <c r="J139" t="n">
        <v>0</v>
      </c>
      <c r="K139" t="n">
        <v>0</v>
      </c>
      <c r="L139" t="n">
        <v>0</v>
      </c>
      <c r="M139" t="n">
        <v>0</v>
      </c>
      <c r="N139" t="n">
        <v>0</v>
      </c>
      <c r="O139" t="n">
        <v>0</v>
      </c>
      <c r="P139" t="n">
        <v>0</v>
      </c>
      <c r="Q139" t="n">
        <v>0</v>
      </c>
      <c r="R139" s="2" t="inlineStr"/>
    </row>
    <row r="140" ht="15" customHeight="1">
      <c r="A140" t="inlineStr">
        <is>
          <t>A 31283-2022</t>
        </is>
      </c>
      <c r="B140" s="1" t="n">
        <v>44771</v>
      </c>
      <c r="C140" s="1" t="n">
        <v>45930</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50742-2020</t>
        </is>
      </c>
      <c r="B141" s="1" t="n">
        <v>44111.45320601852</v>
      </c>
      <c r="C141" s="1" t="n">
        <v>45930</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56225-2021</t>
        </is>
      </c>
      <c r="B142" s="1" t="n">
        <v>44477.94327546296</v>
      </c>
      <c r="C142" s="1" t="n">
        <v>45930</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34436-2021</t>
        </is>
      </c>
      <c r="B143" s="1" t="n">
        <v>44380</v>
      </c>
      <c r="C143" s="1" t="n">
        <v>45930</v>
      </c>
      <c r="D143" t="inlineStr">
        <is>
          <t>STOCKHOLMS LÄN</t>
        </is>
      </c>
      <c r="E143" t="inlineStr">
        <is>
          <t>NORRTÄLJE</t>
        </is>
      </c>
      <c r="G143" t="n">
        <v>0.9</v>
      </c>
      <c r="H143" t="n">
        <v>0</v>
      </c>
      <c r="I143" t="n">
        <v>0</v>
      </c>
      <c r="J143" t="n">
        <v>0</v>
      </c>
      <c r="K143" t="n">
        <v>0</v>
      </c>
      <c r="L143" t="n">
        <v>0</v>
      </c>
      <c r="M143" t="n">
        <v>0</v>
      </c>
      <c r="N143" t="n">
        <v>0</v>
      </c>
      <c r="O143" t="n">
        <v>0</v>
      </c>
      <c r="P143" t="n">
        <v>0</v>
      </c>
      <c r="Q143" t="n">
        <v>0</v>
      </c>
      <c r="R143" s="2" t="inlineStr"/>
    </row>
    <row r="144" ht="15" customHeight="1">
      <c r="A144" t="inlineStr">
        <is>
          <t>A 67525-2021</t>
        </is>
      </c>
      <c r="B144" s="1" t="n">
        <v>44524</v>
      </c>
      <c r="C144" s="1" t="n">
        <v>45930</v>
      </c>
      <c r="D144" t="inlineStr">
        <is>
          <t>STOCKHOLMS LÄN</t>
        </is>
      </c>
      <c r="E144" t="inlineStr">
        <is>
          <t>NORRTÄLJE</t>
        </is>
      </c>
      <c r="G144" t="n">
        <v>0.8</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45930</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65737-2021</t>
        </is>
      </c>
      <c r="B146" s="1" t="n">
        <v>44516.72827546296</v>
      </c>
      <c r="C146" s="1" t="n">
        <v>45930</v>
      </c>
      <c r="D146" t="inlineStr">
        <is>
          <t>STOCKHOLMS LÄN</t>
        </is>
      </c>
      <c r="E146" t="inlineStr">
        <is>
          <t>NORRTÄLJE</t>
        </is>
      </c>
      <c r="G146" t="n">
        <v>3</v>
      </c>
      <c r="H146" t="n">
        <v>0</v>
      </c>
      <c r="I146" t="n">
        <v>0</v>
      </c>
      <c r="J146" t="n">
        <v>0</v>
      </c>
      <c r="K146" t="n">
        <v>0</v>
      </c>
      <c r="L146" t="n">
        <v>0</v>
      </c>
      <c r="M146" t="n">
        <v>0</v>
      </c>
      <c r="N146" t="n">
        <v>0</v>
      </c>
      <c r="O146" t="n">
        <v>0</v>
      </c>
      <c r="P146" t="n">
        <v>0</v>
      </c>
      <c r="Q146" t="n">
        <v>0</v>
      </c>
      <c r="R146" s="2" t="inlineStr"/>
    </row>
    <row r="147" ht="15" customHeight="1">
      <c r="A147" t="inlineStr">
        <is>
          <t>A 48496-2020</t>
        </is>
      </c>
      <c r="B147" s="1" t="n">
        <v>44103</v>
      </c>
      <c r="C147" s="1" t="n">
        <v>45930</v>
      </c>
      <c r="D147" t="inlineStr">
        <is>
          <t>STOCKHOLMS LÄN</t>
        </is>
      </c>
      <c r="E147" t="inlineStr">
        <is>
          <t>NORRTÄLJE</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52133-2022</t>
        </is>
      </c>
      <c r="B148" s="1" t="n">
        <v>44868</v>
      </c>
      <c r="C148" s="1" t="n">
        <v>45930</v>
      </c>
      <c r="D148" t="inlineStr">
        <is>
          <t>STOCKHOLMS LÄN</t>
        </is>
      </c>
      <c r="E148" t="inlineStr">
        <is>
          <t>NORRTÄLJE</t>
        </is>
      </c>
      <c r="G148" t="n">
        <v>11.5</v>
      </c>
      <c r="H148" t="n">
        <v>0</v>
      </c>
      <c r="I148" t="n">
        <v>0</v>
      </c>
      <c r="J148" t="n">
        <v>0</v>
      </c>
      <c r="K148" t="n">
        <v>0</v>
      </c>
      <c r="L148" t="n">
        <v>0</v>
      </c>
      <c r="M148" t="n">
        <v>0</v>
      </c>
      <c r="N148" t="n">
        <v>0</v>
      </c>
      <c r="O148" t="n">
        <v>0</v>
      </c>
      <c r="P148" t="n">
        <v>0</v>
      </c>
      <c r="Q148" t="n">
        <v>0</v>
      </c>
      <c r="R148" s="2" t="inlineStr"/>
    </row>
    <row r="149" ht="15" customHeight="1">
      <c r="A149" t="inlineStr">
        <is>
          <t>A 19283-2021</t>
        </is>
      </c>
      <c r="B149" s="1" t="n">
        <v>44309.47061342592</v>
      </c>
      <c r="C149" s="1" t="n">
        <v>45930</v>
      </c>
      <c r="D149" t="inlineStr">
        <is>
          <t>STOCKHOLMS LÄN</t>
        </is>
      </c>
      <c r="E149" t="inlineStr">
        <is>
          <t>NORRTÄLJE</t>
        </is>
      </c>
      <c r="F149" t="inlineStr">
        <is>
          <t>Holmen skog AB</t>
        </is>
      </c>
      <c r="G149" t="n">
        <v>0.6</v>
      </c>
      <c r="H149" t="n">
        <v>0</v>
      </c>
      <c r="I149" t="n">
        <v>0</v>
      </c>
      <c r="J149" t="n">
        <v>0</v>
      </c>
      <c r="K149" t="n">
        <v>0</v>
      </c>
      <c r="L149" t="n">
        <v>0</v>
      </c>
      <c r="M149" t="n">
        <v>0</v>
      </c>
      <c r="N149" t="n">
        <v>0</v>
      </c>
      <c r="O149" t="n">
        <v>0</v>
      </c>
      <c r="P149" t="n">
        <v>0</v>
      </c>
      <c r="Q149" t="n">
        <v>0</v>
      </c>
      <c r="R149" s="2" t="inlineStr"/>
    </row>
    <row r="150" ht="15" customHeight="1">
      <c r="A150" t="inlineStr">
        <is>
          <t>A 43374-2022</t>
        </is>
      </c>
      <c r="B150" s="1" t="n">
        <v>44834</v>
      </c>
      <c r="C150" s="1" t="n">
        <v>45930</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37712-2021</t>
        </is>
      </c>
      <c r="B151" s="1" t="n">
        <v>44400</v>
      </c>
      <c r="C151" s="1" t="n">
        <v>45930</v>
      </c>
      <c r="D151" t="inlineStr">
        <is>
          <t>STOCKHOLMS LÄN</t>
        </is>
      </c>
      <c r="E151" t="inlineStr">
        <is>
          <t>NORRTÄLJE</t>
        </is>
      </c>
      <c r="G151" t="n">
        <v>22.9</v>
      </c>
      <c r="H151" t="n">
        <v>0</v>
      </c>
      <c r="I151" t="n">
        <v>0</v>
      </c>
      <c r="J151" t="n">
        <v>0</v>
      </c>
      <c r="K151" t="n">
        <v>0</v>
      </c>
      <c r="L151" t="n">
        <v>0</v>
      </c>
      <c r="M151" t="n">
        <v>0</v>
      </c>
      <c r="N151" t="n">
        <v>0</v>
      </c>
      <c r="O151" t="n">
        <v>0</v>
      </c>
      <c r="P151" t="n">
        <v>0</v>
      </c>
      <c r="Q151" t="n">
        <v>0</v>
      </c>
      <c r="R151" s="2" t="inlineStr"/>
    </row>
    <row r="152" ht="15" customHeight="1">
      <c r="A152" t="inlineStr">
        <is>
          <t>A 62854-2020</t>
        </is>
      </c>
      <c r="B152" s="1" t="n">
        <v>44161</v>
      </c>
      <c r="C152" s="1" t="n">
        <v>45930</v>
      </c>
      <c r="D152" t="inlineStr">
        <is>
          <t>STOCKHOLMS LÄN</t>
        </is>
      </c>
      <c r="E152" t="inlineStr">
        <is>
          <t>NORRTÄLJE</t>
        </is>
      </c>
      <c r="G152" t="n">
        <v>4.7</v>
      </c>
      <c r="H152" t="n">
        <v>0</v>
      </c>
      <c r="I152" t="n">
        <v>0</v>
      </c>
      <c r="J152" t="n">
        <v>0</v>
      </c>
      <c r="K152" t="n">
        <v>0</v>
      </c>
      <c r="L152" t="n">
        <v>0</v>
      </c>
      <c r="M152" t="n">
        <v>0</v>
      </c>
      <c r="N152" t="n">
        <v>0</v>
      </c>
      <c r="O152" t="n">
        <v>0</v>
      </c>
      <c r="P152" t="n">
        <v>0</v>
      </c>
      <c r="Q152" t="n">
        <v>0</v>
      </c>
      <c r="R152" s="2" t="inlineStr"/>
    </row>
    <row r="153" ht="15" customHeight="1">
      <c r="A153" t="inlineStr">
        <is>
          <t>A 9719-2021</t>
        </is>
      </c>
      <c r="B153" s="1" t="n">
        <v>44252</v>
      </c>
      <c r="C153" s="1" t="n">
        <v>45930</v>
      </c>
      <c r="D153" t="inlineStr">
        <is>
          <t>STOCKHOLMS LÄN</t>
        </is>
      </c>
      <c r="E153" t="inlineStr">
        <is>
          <t>NORRTÄLJE</t>
        </is>
      </c>
      <c r="F153" t="inlineStr">
        <is>
          <t>Holmen skog AB</t>
        </is>
      </c>
      <c r="G153" t="n">
        <v>2</v>
      </c>
      <c r="H153" t="n">
        <v>0</v>
      </c>
      <c r="I153" t="n">
        <v>0</v>
      </c>
      <c r="J153" t="n">
        <v>0</v>
      </c>
      <c r="K153" t="n">
        <v>0</v>
      </c>
      <c r="L153" t="n">
        <v>0</v>
      </c>
      <c r="M153" t="n">
        <v>0</v>
      </c>
      <c r="N153" t="n">
        <v>0</v>
      </c>
      <c r="O153" t="n">
        <v>0</v>
      </c>
      <c r="P153" t="n">
        <v>0</v>
      </c>
      <c r="Q153" t="n">
        <v>0</v>
      </c>
      <c r="R153" s="2" t="inlineStr"/>
    </row>
    <row r="154" ht="15" customHeight="1">
      <c r="A154" t="inlineStr">
        <is>
          <t>A 48384-2021</t>
        </is>
      </c>
      <c r="B154" s="1" t="n">
        <v>44451</v>
      </c>
      <c r="C154" s="1" t="n">
        <v>45930</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48492-2022</t>
        </is>
      </c>
      <c r="B155" s="1" t="n">
        <v>44858</v>
      </c>
      <c r="C155" s="1" t="n">
        <v>45930</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8338-2021</t>
        </is>
      </c>
      <c r="B156" s="1" t="n">
        <v>44244</v>
      </c>
      <c r="C156" s="1" t="n">
        <v>45930</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45930</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45930</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18905-2022</t>
        </is>
      </c>
      <c r="B159" s="1" t="n">
        <v>44690</v>
      </c>
      <c r="C159" s="1" t="n">
        <v>45930</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45930</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45930</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21723-2022</t>
        </is>
      </c>
      <c r="B162" s="1" t="n">
        <v>44708</v>
      </c>
      <c r="C162" s="1" t="n">
        <v>45930</v>
      </c>
      <c r="D162" t="inlineStr">
        <is>
          <t>STOCKHOLMS LÄN</t>
        </is>
      </c>
      <c r="E162" t="inlineStr">
        <is>
          <t>NORRTÄLJE</t>
        </is>
      </c>
      <c r="G162" t="n">
        <v>0.3</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45930</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48522-2020</t>
        </is>
      </c>
      <c r="B164" s="1" t="n">
        <v>44103</v>
      </c>
      <c r="C164" s="1" t="n">
        <v>45930</v>
      </c>
      <c r="D164" t="inlineStr">
        <is>
          <t>STOCKHOLMS LÄN</t>
        </is>
      </c>
      <c r="E164" t="inlineStr">
        <is>
          <t>NORRTÄLJE</t>
        </is>
      </c>
      <c r="F164" t="inlineStr">
        <is>
          <t>Holmen skog AB</t>
        </is>
      </c>
      <c r="G164" t="n">
        <v>1.3</v>
      </c>
      <c r="H164" t="n">
        <v>0</v>
      </c>
      <c r="I164" t="n">
        <v>0</v>
      </c>
      <c r="J164" t="n">
        <v>0</v>
      </c>
      <c r="K164" t="n">
        <v>0</v>
      </c>
      <c r="L164" t="n">
        <v>0</v>
      </c>
      <c r="M164" t="n">
        <v>0</v>
      </c>
      <c r="N164" t="n">
        <v>0</v>
      </c>
      <c r="O164" t="n">
        <v>0</v>
      </c>
      <c r="P164" t="n">
        <v>0</v>
      </c>
      <c r="Q164" t="n">
        <v>0</v>
      </c>
      <c r="R164" s="2" t="inlineStr"/>
    </row>
    <row r="165" ht="15" customHeight="1">
      <c r="A165" t="inlineStr">
        <is>
          <t>A 28209-2022</t>
        </is>
      </c>
      <c r="B165" s="1" t="n">
        <v>44746</v>
      </c>
      <c r="C165" s="1" t="n">
        <v>45930</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66907-2020</t>
        </is>
      </c>
      <c r="B166" s="1" t="n">
        <v>44176</v>
      </c>
      <c r="C166" s="1" t="n">
        <v>45930</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2447-2021</t>
        </is>
      </c>
      <c r="B167" s="1" t="n">
        <v>44214</v>
      </c>
      <c r="C167" s="1" t="n">
        <v>45930</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18609-2021</t>
        </is>
      </c>
      <c r="B168" s="1" t="n">
        <v>44306</v>
      </c>
      <c r="C168" s="1" t="n">
        <v>45930</v>
      </c>
      <c r="D168" t="inlineStr">
        <is>
          <t>STOCKHOLMS LÄN</t>
        </is>
      </c>
      <c r="E168" t="inlineStr">
        <is>
          <t>NORRTÄLJE</t>
        </is>
      </c>
      <c r="G168" t="n">
        <v>9.5</v>
      </c>
      <c r="H168" t="n">
        <v>0</v>
      </c>
      <c r="I168" t="n">
        <v>0</v>
      </c>
      <c r="J168" t="n">
        <v>0</v>
      </c>
      <c r="K168" t="n">
        <v>0</v>
      </c>
      <c r="L168" t="n">
        <v>0</v>
      </c>
      <c r="M168" t="n">
        <v>0</v>
      </c>
      <c r="N168" t="n">
        <v>0</v>
      </c>
      <c r="O168" t="n">
        <v>0</v>
      </c>
      <c r="P168" t="n">
        <v>0</v>
      </c>
      <c r="Q168" t="n">
        <v>0</v>
      </c>
      <c r="R168" s="2" t="inlineStr"/>
    </row>
    <row r="169" ht="15" customHeight="1">
      <c r="A169" t="inlineStr">
        <is>
          <t>A 24534-2022</t>
        </is>
      </c>
      <c r="B169" s="1" t="n">
        <v>44727</v>
      </c>
      <c r="C169" s="1" t="n">
        <v>45930</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71876-2021</t>
        </is>
      </c>
      <c r="B170" s="1" t="n">
        <v>44543</v>
      </c>
      <c r="C170" s="1" t="n">
        <v>45930</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71878-2021</t>
        </is>
      </c>
      <c r="B171" s="1" t="n">
        <v>44543</v>
      </c>
      <c r="C171" s="1" t="n">
        <v>45930</v>
      </c>
      <c r="D171" t="inlineStr">
        <is>
          <t>STOCKHOLMS LÄN</t>
        </is>
      </c>
      <c r="E171" t="inlineStr">
        <is>
          <t>NORRTÄLJE</t>
        </is>
      </c>
      <c r="G171" t="n">
        <v>1.2</v>
      </c>
      <c r="H171" t="n">
        <v>0</v>
      </c>
      <c r="I171" t="n">
        <v>0</v>
      </c>
      <c r="J171" t="n">
        <v>0</v>
      </c>
      <c r="K171" t="n">
        <v>0</v>
      </c>
      <c r="L171" t="n">
        <v>0</v>
      </c>
      <c r="M171" t="n">
        <v>0</v>
      </c>
      <c r="N171" t="n">
        <v>0</v>
      </c>
      <c r="O171" t="n">
        <v>0</v>
      </c>
      <c r="P171" t="n">
        <v>0</v>
      </c>
      <c r="Q171" t="n">
        <v>0</v>
      </c>
      <c r="R171" s="2" t="inlineStr"/>
    </row>
    <row r="172" ht="15" customHeight="1">
      <c r="A172" t="inlineStr">
        <is>
          <t>A 45539-2022</t>
        </is>
      </c>
      <c r="B172" s="1" t="n">
        <v>44845.47585648148</v>
      </c>
      <c r="C172" s="1" t="n">
        <v>45930</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60186-2021</t>
        </is>
      </c>
      <c r="B173" s="1" t="n">
        <v>44495</v>
      </c>
      <c r="C173" s="1" t="n">
        <v>45930</v>
      </c>
      <c r="D173" t="inlineStr">
        <is>
          <t>STOCKHOLMS LÄN</t>
        </is>
      </c>
      <c r="E173" t="inlineStr">
        <is>
          <t>NORRTÄLJE</t>
        </is>
      </c>
      <c r="G173" t="n">
        <v>1.7</v>
      </c>
      <c r="H173" t="n">
        <v>0</v>
      </c>
      <c r="I173" t="n">
        <v>0</v>
      </c>
      <c r="J173" t="n">
        <v>0</v>
      </c>
      <c r="K173" t="n">
        <v>0</v>
      </c>
      <c r="L173" t="n">
        <v>0</v>
      </c>
      <c r="M173" t="n">
        <v>0</v>
      </c>
      <c r="N173" t="n">
        <v>0</v>
      </c>
      <c r="O173" t="n">
        <v>0</v>
      </c>
      <c r="P173" t="n">
        <v>0</v>
      </c>
      <c r="Q173" t="n">
        <v>0</v>
      </c>
      <c r="R173" s="2" t="inlineStr"/>
    </row>
    <row r="174" ht="15" customHeight="1">
      <c r="A174" t="inlineStr">
        <is>
          <t>A 28959-2022</t>
        </is>
      </c>
      <c r="B174" s="1" t="n">
        <v>44749.61980324074</v>
      </c>
      <c r="C174" s="1" t="n">
        <v>45930</v>
      </c>
      <c r="D174" t="inlineStr">
        <is>
          <t>STOCKHOLMS LÄN</t>
        </is>
      </c>
      <c r="E174" t="inlineStr">
        <is>
          <t>NORRTÄLJE</t>
        </is>
      </c>
      <c r="G174" t="n">
        <v>5.2</v>
      </c>
      <c r="H174" t="n">
        <v>0</v>
      </c>
      <c r="I174" t="n">
        <v>0</v>
      </c>
      <c r="J174" t="n">
        <v>0</v>
      </c>
      <c r="K174" t="n">
        <v>0</v>
      </c>
      <c r="L174" t="n">
        <v>0</v>
      </c>
      <c r="M174" t="n">
        <v>0</v>
      </c>
      <c r="N174" t="n">
        <v>0</v>
      </c>
      <c r="O174" t="n">
        <v>0</v>
      </c>
      <c r="P174" t="n">
        <v>0</v>
      </c>
      <c r="Q174" t="n">
        <v>0</v>
      </c>
      <c r="R174" s="2" t="inlineStr"/>
    </row>
    <row r="175" ht="15" customHeight="1">
      <c r="A175" t="inlineStr">
        <is>
          <t>A 54340-2022</t>
        </is>
      </c>
      <c r="B175" s="1" t="n">
        <v>44882.44732638889</v>
      </c>
      <c r="C175" s="1" t="n">
        <v>45930</v>
      </c>
      <c r="D175" t="inlineStr">
        <is>
          <t>STOCKHOLMS LÄN</t>
        </is>
      </c>
      <c r="E175" t="inlineStr">
        <is>
          <t>NORRTÄLJE</t>
        </is>
      </c>
      <c r="G175" t="n">
        <v>6.7</v>
      </c>
      <c r="H175" t="n">
        <v>0</v>
      </c>
      <c r="I175" t="n">
        <v>0</v>
      </c>
      <c r="J175" t="n">
        <v>0</v>
      </c>
      <c r="K175" t="n">
        <v>0</v>
      </c>
      <c r="L175" t="n">
        <v>0</v>
      </c>
      <c r="M175" t="n">
        <v>0</v>
      </c>
      <c r="N175" t="n">
        <v>0</v>
      </c>
      <c r="O175" t="n">
        <v>0</v>
      </c>
      <c r="P175" t="n">
        <v>0</v>
      </c>
      <c r="Q175" t="n">
        <v>0</v>
      </c>
      <c r="R175" s="2" t="inlineStr"/>
    </row>
    <row r="176" ht="15" customHeight="1">
      <c r="A176" t="inlineStr">
        <is>
          <t>A 54355-2022</t>
        </is>
      </c>
      <c r="B176" s="1" t="n">
        <v>44882</v>
      </c>
      <c r="C176" s="1" t="n">
        <v>45930</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4634-2021</t>
        </is>
      </c>
      <c r="B177" s="1" t="n">
        <v>44224</v>
      </c>
      <c r="C177" s="1" t="n">
        <v>45930</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72308-2021</t>
        </is>
      </c>
      <c r="B178" s="1" t="n">
        <v>44545.4189699074</v>
      </c>
      <c r="C178" s="1" t="n">
        <v>45930</v>
      </c>
      <c r="D178" t="inlineStr">
        <is>
          <t>STOCKHOLMS LÄN</t>
        </is>
      </c>
      <c r="E178" t="inlineStr">
        <is>
          <t>NORRTÄLJE</t>
        </is>
      </c>
      <c r="G178" t="n">
        <v>1.1</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45930</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20073-2021</t>
        </is>
      </c>
      <c r="B180" s="1" t="n">
        <v>44314</v>
      </c>
      <c r="C180" s="1" t="n">
        <v>45930</v>
      </c>
      <c r="D180" t="inlineStr">
        <is>
          <t>STOCKHOLMS LÄN</t>
        </is>
      </c>
      <c r="E180" t="inlineStr">
        <is>
          <t>NORRTÄLJE</t>
        </is>
      </c>
      <c r="G180" t="n">
        <v>4.6</v>
      </c>
      <c r="H180" t="n">
        <v>0</v>
      </c>
      <c r="I180" t="n">
        <v>0</v>
      </c>
      <c r="J180" t="n">
        <v>0</v>
      </c>
      <c r="K180" t="n">
        <v>0</v>
      </c>
      <c r="L180" t="n">
        <v>0</v>
      </c>
      <c r="M180" t="n">
        <v>0</v>
      </c>
      <c r="N180" t="n">
        <v>0</v>
      </c>
      <c r="O180" t="n">
        <v>0</v>
      </c>
      <c r="P180" t="n">
        <v>0</v>
      </c>
      <c r="Q180" t="n">
        <v>0</v>
      </c>
      <c r="R180" s="2" t="inlineStr"/>
    </row>
    <row r="181" ht="15" customHeight="1">
      <c r="A181" t="inlineStr">
        <is>
          <t>A 17703-2021</t>
        </is>
      </c>
      <c r="B181" s="1" t="n">
        <v>44300</v>
      </c>
      <c r="C181" s="1" t="n">
        <v>45930</v>
      </c>
      <c r="D181" t="inlineStr">
        <is>
          <t>STOCKHOLMS LÄN</t>
        </is>
      </c>
      <c r="E181" t="inlineStr">
        <is>
          <t>NORRTÄLJE</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23770-2022</t>
        </is>
      </c>
      <c r="B182" s="1" t="n">
        <v>44722</v>
      </c>
      <c r="C182" s="1" t="n">
        <v>45930</v>
      </c>
      <c r="D182" t="inlineStr">
        <is>
          <t>STOCKHOLMS LÄN</t>
        </is>
      </c>
      <c r="E182" t="inlineStr">
        <is>
          <t>NORRTÄLJE</t>
        </is>
      </c>
      <c r="G182" t="n">
        <v>1.6</v>
      </c>
      <c r="H182" t="n">
        <v>0</v>
      </c>
      <c r="I182" t="n">
        <v>0</v>
      </c>
      <c r="J182" t="n">
        <v>0</v>
      </c>
      <c r="K182" t="n">
        <v>0</v>
      </c>
      <c r="L182" t="n">
        <v>0</v>
      </c>
      <c r="M182" t="n">
        <v>0</v>
      </c>
      <c r="N182" t="n">
        <v>0</v>
      </c>
      <c r="O182" t="n">
        <v>0</v>
      </c>
      <c r="P182" t="n">
        <v>0</v>
      </c>
      <c r="Q182" t="n">
        <v>0</v>
      </c>
      <c r="R182" s="2" t="inlineStr"/>
    </row>
    <row r="183" ht="15" customHeight="1">
      <c r="A183" t="inlineStr">
        <is>
          <t>A 27538-2022</t>
        </is>
      </c>
      <c r="B183" s="1" t="n">
        <v>44742</v>
      </c>
      <c r="C183" s="1" t="n">
        <v>45930</v>
      </c>
      <c r="D183" t="inlineStr">
        <is>
          <t>STOCKHOLMS LÄN</t>
        </is>
      </c>
      <c r="E183" t="inlineStr">
        <is>
          <t>NORRTÄLJE</t>
        </is>
      </c>
      <c r="G183" t="n">
        <v>2.2</v>
      </c>
      <c r="H183" t="n">
        <v>0</v>
      </c>
      <c r="I183" t="n">
        <v>0</v>
      </c>
      <c r="J183" t="n">
        <v>0</v>
      </c>
      <c r="K183" t="n">
        <v>0</v>
      </c>
      <c r="L183" t="n">
        <v>0</v>
      </c>
      <c r="M183" t="n">
        <v>0</v>
      </c>
      <c r="N183" t="n">
        <v>0</v>
      </c>
      <c r="O183" t="n">
        <v>0</v>
      </c>
      <c r="P183" t="n">
        <v>0</v>
      </c>
      <c r="Q183" t="n">
        <v>0</v>
      </c>
      <c r="R183" s="2" t="inlineStr"/>
    </row>
    <row r="184" ht="15" customHeight="1">
      <c r="A184" t="inlineStr">
        <is>
          <t>A 29868-2022</t>
        </is>
      </c>
      <c r="B184" s="1" t="n">
        <v>44756.40881944444</v>
      </c>
      <c r="C184" s="1" t="n">
        <v>45930</v>
      </c>
      <c r="D184" t="inlineStr">
        <is>
          <t>STOCKHOLMS LÄN</t>
        </is>
      </c>
      <c r="E184" t="inlineStr">
        <is>
          <t>NORRTÄLJE</t>
        </is>
      </c>
      <c r="G184" t="n">
        <v>1.8</v>
      </c>
      <c r="H184" t="n">
        <v>0</v>
      </c>
      <c r="I184" t="n">
        <v>0</v>
      </c>
      <c r="J184" t="n">
        <v>0</v>
      </c>
      <c r="K184" t="n">
        <v>0</v>
      </c>
      <c r="L184" t="n">
        <v>0</v>
      </c>
      <c r="M184" t="n">
        <v>0</v>
      </c>
      <c r="N184" t="n">
        <v>0</v>
      </c>
      <c r="O184" t="n">
        <v>0</v>
      </c>
      <c r="P184" t="n">
        <v>0</v>
      </c>
      <c r="Q184" t="n">
        <v>0</v>
      </c>
      <c r="R184" s="2" t="inlineStr"/>
    </row>
    <row r="185" ht="15" customHeight="1">
      <c r="A185" t="inlineStr">
        <is>
          <t>A 36975-2022</t>
        </is>
      </c>
      <c r="B185" s="1" t="n">
        <v>44806.34577546296</v>
      </c>
      <c r="C185" s="1" t="n">
        <v>45930</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16668-2021</t>
        </is>
      </c>
      <c r="B186" s="1" t="n">
        <v>44294</v>
      </c>
      <c r="C186" s="1" t="n">
        <v>45930</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53690-2020</t>
        </is>
      </c>
      <c r="B187" s="1" t="n">
        <v>44124</v>
      </c>
      <c r="C187" s="1" t="n">
        <v>45930</v>
      </c>
      <c r="D187" t="inlineStr">
        <is>
          <t>STOCKHOLMS LÄN</t>
        </is>
      </c>
      <c r="E187" t="inlineStr">
        <is>
          <t>NORRTÄLJE</t>
        </is>
      </c>
      <c r="G187" t="n">
        <v>0.5</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45930</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45930</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23123-2021</t>
        </is>
      </c>
      <c r="B190" s="1" t="n">
        <v>44330</v>
      </c>
      <c r="C190" s="1" t="n">
        <v>45930</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45930</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45930</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45930</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44274-2021</t>
        </is>
      </c>
      <c r="B194" s="1" t="n">
        <v>44435</v>
      </c>
      <c r="C194" s="1" t="n">
        <v>45930</v>
      </c>
      <c r="D194" t="inlineStr">
        <is>
          <t>STOCKHOLMS LÄN</t>
        </is>
      </c>
      <c r="E194" t="inlineStr">
        <is>
          <t>NORRTÄLJE</t>
        </is>
      </c>
      <c r="G194" t="n">
        <v>1</v>
      </c>
      <c r="H194" t="n">
        <v>0</v>
      </c>
      <c r="I194" t="n">
        <v>0</v>
      </c>
      <c r="J194" t="n">
        <v>0</v>
      </c>
      <c r="K194" t="n">
        <v>0</v>
      </c>
      <c r="L194" t="n">
        <v>0</v>
      </c>
      <c r="M194" t="n">
        <v>0</v>
      </c>
      <c r="N194" t="n">
        <v>0</v>
      </c>
      <c r="O194" t="n">
        <v>0</v>
      </c>
      <c r="P194" t="n">
        <v>0</v>
      </c>
      <c r="Q194" t="n">
        <v>0</v>
      </c>
      <c r="R194" s="2" t="inlineStr"/>
    </row>
    <row r="195" ht="15" customHeight="1">
      <c r="A195" t="inlineStr">
        <is>
          <t>A 50970-2022</t>
        </is>
      </c>
      <c r="B195" s="1" t="n">
        <v>44867</v>
      </c>
      <c r="C195" s="1" t="n">
        <v>45930</v>
      </c>
      <c r="D195" t="inlineStr">
        <is>
          <t>STOCKHOLMS LÄN</t>
        </is>
      </c>
      <c r="E195" t="inlineStr">
        <is>
          <t>NORRTÄLJE</t>
        </is>
      </c>
      <c r="G195" t="n">
        <v>9</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45930</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45930</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45930</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45930</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45930</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17803-2022</t>
        </is>
      </c>
      <c r="B201" s="1" t="n">
        <v>44683</v>
      </c>
      <c r="C201" s="1" t="n">
        <v>45930</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32561-2021</t>
        </is>
      </c>
      <c r="B202" s="1" t="n">
        <v>44375</v>
      </c>
      <c r="C202" s="1" t="n">
        <v>45930</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45930</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65611-2021</t>
        </is>
      </c>
      <c r="B204" s="1" t="n">
        <v>44516.5275462963</v>
      </c>
      <c r="C204" s="1" t="n">
        <v>45930</v>
      </c>
      <c r="D204" t="inlineStr">
        <is>
          <t>STOCKHOLMS LÄN</t>
        </is>
      </c>
      <c r="E204" t="inlineStr">
        <is>
          <t>NORRTÄLJE</t>
        </is>
      </c>
      <c r="G204" t="n">
        <v>2.5</v>
      </c>
      <c r="H204" t="n">
        <v>0</v>
      </c>
      <c r="I204" t="n">
        <v>0</v>
      </c>
      <c r="J204" t="n">
        <v>0</v>
      </c>
      <c r="K204" t="n">
        <v>0</v>
      </c>
      <c r="L204" t="n">
        <v>0</v>
      </c>
      <c r="M204" t="n">
        <v>0</v>
      </c>
      <c r="N204" t="n">
        <v>0</v>
      </c>
      <c r="O204" t="n">
        <v>0</v>
      </c>
      <c r="P204" t="n">
        <v>0</v>
      </c>
      <c r="Q204" t="n">
        <v>0</v>
      </c>
      <c r="R204" s="2" t="inlineStr"/>
    </row>
    <row r="205" ht="15" customHeight="1">
      <c r="A205" t="inlineStr">
        <is>
          <t>A 60813-2021</t>
        </is>
      </c>
      <c r="B205" s="1" t="n">
        <v>44496</v>
      </c>
      <c r="C205" s="1" t="n">
        <v>45930</v>
      </c>
      <c r="D205" t="inlineStr">
        <is>
          <t>STOCKHOLMS LÄN</t>
        </is>
      </c>
      <c r="E205" t="inlineStr">
        <is>
          <t>NORRTÄLJE</t>
        </is>
      </c>
      <c r="G205" t="n">
        <v>1.6</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45930</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17460-2021</t>
        </is>
      </c>
      <c r="B207" s="1" t="n">
        <v>44299</v>
      </c>
      <c r="C207" s="1" t="n">
        <v>45930</v>
      </c>
      <c r="D207" t="inlineStr">
        <is>
          <t>STOCKHOLMS LÄN</t>
        </is>
      </c>
      <c r="E207" t="inlineStr">
        <is>
          <t>NORRTÄLJE</t>
        </is>
      </c>
      <c r="G207" t="n">
        <v>3.2</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45930</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45930</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30129-2021</t>
        </is>
      </c>
      <c r="B210" s="1" t="n">
        <v>44363.5784375</v>
      </c>
      <c r="C210" s="1" t="n">
        <v>45930</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22316-2022</t>
        </is>
      </c>
      <c r="B211" s="1" t="n">
        <v>44712.83118055556</v>
      </c>
      <c r="C211" s="1" t="n">
        <v>45930</v>
      </c>
      <c r="D211" t="inlineStr">
        <is>
          <t>STOCKHOLMS LÄN</t>
        </is>
      </c>
      <c r="E211" t="inlineStr">
        <is>
          <t>NORRTÄLJE</t>
        </is>
      </c>
      <c r="G211" t="n">
        <v>6.3</v>
      </c>
      <c r="H211" t="n">
        <v>0</v>
      </c>
      <c r="I211" t="n">
        <v>0</v>
      </c>
      <c r="J211" t="n">
        <v>0</v>
      </c>
      <c r="K211" t="n">
        <v>0</v>
      </c>
      <c r="L211" t="n">
        <v>0</v>
      </c>
      <c r="M211" t="n">
        <v>0</v>
      </c>
      <c r="N211" t="n">
        <v>0</v>
      </c>
      <c r="O211" t="n">
        <v>0</v>
      </c>
      <c r="P211" t="n">
        <v>0</v>
      </c>
      <c r="Q211" t="n">
        <v>0</v>
      </c>
      <c r="R211" s="2" t="inlineStr"/>
    </row>
    <row r="212" ht="15" customHeight="1">
      <c r="A212" t="inlineStr">
        <is>
          <t>A 31092-2022</t>
        </is>
      </c>
      <c r="B212" s="1" t="n">
        <v>44769.62320601852</v>
      </c>
      <c r="C212" s="1" t="n">
        <v>45930</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9467-2021</t>
        </is>
      </c>
      <c r="B213" s="1" t="n">
        <v>44251.43971064815</v>
      </c>
      <c r="C213" s="1" t="n">
        <v>45930</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71871-2021</t>
        </is>
      </c>
      <c r="B214" s="1" t="n">
        <v>44543</v>
      </c>
      <c r="C214" s="1" t="n">
        <v>45930</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71873-2021</t>
        </is>
      </c>
      <c r="B215" s="1" t="n">
        <v>44543</v>
      </c>
      <c r="C215" s="1" t="n">
        <v>45930</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72355-2021</t>
        </is>
      </c>
      <c r="B216" s="1" t="n">
        <v>44545</v>
      </c>
      <c r="C216" s="1" t="n">
        <v>45930</v>
      </c>
      <c r="D216" t="inlineStr">
        <is>
          <t>STOCKHOLMS LÄN</t>
        </is>
      </c>
      <c r="E216" t="inlineStr">
        <is>
          <t>NORRTÄLJE</t>
        </is>
      </c>
      <c r="G216" t="n">
        <v>3.6</v>
      </c>
      <c r="H216" t="n">
        <v>0</v>
      </c>
      <c r="I216" t="n">
        <v>0</v>
      </c>
      <c r="J216" t="n">
        <v>0</v>
      </c>
      <c r="K216" t="n">
        <v>0</v>
      </c>
      <c r="L216" t="n">
        <v>0</v>
      </c>
      <c r="M216" t="n">
        <v>0</v>
      </c>
      <c r="N216" t="n">
        <v>0</v>
      </c>
      <c r="O216" t="n">
        <v>0</v>
      </c>
      <c r="P216" t="n">
        <v>0</v>
      </c>
      <c r="Q216" t="n">
        <v>0</v>
      </c>
      <c r="R216" s="2" t="inlineStr"/>
    </row>
    <row r="217" ht="15" customHeight="1">
      <c r="A217" t="inlineStr">
        <is>
          <t>A 72357-2021</t>
        </is>
      </c>
      <c r="B217" s="1" t="n">
        <v>44545</v>
      </c>
      <c r="C217" s="1" t="n">
        <v>45930</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24167-2022</t>
        </is>
      </c>
      <c r="B218" s="1" t="n">
        <v>44725.49491898148</v>
      </c>
      <c r="C218" s="1" t="n">
        <v>45930</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42396-2021</t>
        </is>
      </c>
      <c r="B219" s="1" t="n">
        <v>44427</v>
      </c>
      <c r="C219" s="1" t="n">
        <v>45930</v>
      </c>
      <c r="D219" t="inlineStr">
        <is>
          <t>STOCKHOLMS LÄN</t>
        </is>
      </c>
      <c r="E219" t="inlineStr">
        <is>
          <t>NORRTÄLJE</t>
        </is>
      </c>
      <c r="G219" t="n">
        <v>2</v>
      </c>
      <c r="H219" t="n">
        <v>0</v>
      </c>
      <c r="I219" t="n">
        <v>0</v>
      </c>
      <c r="J219" t="n">
        <v>0</v>
      </c>
      <c r="K219" t="n">
        <v>0</v>
      </c>
      <c r="L219" t="n">
        <v>0</v>
      </c>
      <c r="M219" t="n">
        <v>0</v>
      </c>
      <c r="N219" t="n">
        <v>0</v>
      </c>
      <c r="O219" t="n">
        <v>0</v>
      </c>
      <c r="P219" t="n">
        <v>0</v>
      </c>
      <c r="Q219" t="n">
        <v>0</v>
      </c>
      <c r="R219" s="2" t="inlineStr"/>
    </row>
    <row r="220" ht="15" customHeight="1">
      <c r="A220" t="inlineStr">
        <is>
          <t>A 52139-2022</t>
        </is>
      </c>
      <c r="B220" s="1" t="n">
        <v>44868</v>
      </c>
      <c r="C220" s="1" t="n">
        <v>45930</v>
      </c>
      <c r="D220" t="inlineStr">
        <is>
          <t>STOCKHOLMS LÄN</t>
        </is>
      </c>
      <c r="E220" t="inlineStr">
        <is>
          <t>NORRTÄLJE</t>
        </is>
      </c>
      <c r="G220" t="n">
        <v>3.2</v>
      </c>
      <c r="H220" t="n">
        <v>0</v>
      </c>
      <c r="I220" t="n">
        <v>0</v>
      </c>
      <c r="J220" t="n">
        <v>0</v>
      </c>
      <c r="K220" t="n">
        <v>0</v>
      </c>
      <c r="L220" t="n">
        <v>0</v>
      </c>
      <c r="M220" t="n">
        <v>0</v>
      </c>
      <c r="N220" t="n">
        <v>0</v>
      </c>
      <c r="O220" t="n">
        <v>0</v>
      </c>
      <c r="P220" t="n">
        <v>0</v>
      </c>
      <c r="Q220" t="n">
        <v>0</v>
      </c>
      <c r="R220" s="2" t="inlineStr"/>
    </row>
    <row r="221" ht="15" customHeight="1">
      <c r="A221" t="inlineStr">
        <is>
          <t>A 9446-2021</t>
        </is>
      </c>
      <c r="B221" s="1" t="n">
        <v>44251</v>
      </c>
      <c r="C221" s="1" t="n">
        <v>45930</v>
      </c>
      <c r="D221" t="inlineStr">
        <is>
          <t>STOCKHOLMS LÄN</t>
        </is>
      </c>
      <c r="E221" t="inlineStr">
        <is>
          <t>NORRTÄLJE</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45930</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45930</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15226-2022</t>
        </is>
      </c>
      <c r="B224" s="1" t="n">
        <v>44658</v>
      </c>
      <c r="C224" s="1" t="n">
        <v>45930</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row>
    <row r="225" ht="15" customHeight="1">
      <c r="A225" t="inlineStr">
        <is>
          <t>A 3300-2022</t>
        </is>
      </c>
      <c r="B225" s="1" t="n">
        <v>44584.91538194445</v>
      </c>
      <c r="C225" s="1" t="n">
        <v>45930</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17388-2022</t>
        </is>
      </c>
      <c r="B226" s="1" t="n">
        <v>44678</v>
      </c>
      <c r="C226" s="1" t="n">
        <v>45930</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17673-2021</t>
        </is>
      </c>
      <c r="B227" s="1" t="n">
        <v>44300</v>
      </c>
      <c r="C227" s="1" t="n">
        <v>45930</v>
      </c>
      <c r="D227" t="inlineStr">
        <is>
          <t>STOCKHOLMS LÄN</t>
        </is>
      </c>
      <c r="E227" t="inlineStr">
        <is>
          <t>NORRTÄLJE</t>
        </is>
      </c>
      <c r="G227" t="n">
        <v>1.1</v>
      </c>
      <c r="H227" t="n">
        <v>0</v>
      </c>
      <c r="I227" t="n">
        <v>0</v>
      </c>
      <c r="J227" t="n">
        <v>0</v>
      </c>
      <c r="K227" t="n">
        <v>0</v>
      </c>
      <c r="L227" t="n">
        <v>0</v>
      </c>
      <c r="M227" t="n">
        <v>0</v>
      </c>
      <c r="N227" t="n">
        <v>0</v>
      </c>
      <c r="O227" t="n">
        <v>0</v>
      </c>
      <c r="P227" t="n">
        <v>0</v>
      </c>
      <c r="Q227" t="n">
        <v>0</v>
      </c>
      <c r="R227" s="2" t="inlineStr"/>
      <c r="T227">
        <f>HYPERLINK("https://klasma.github.io/Logging_0188/kartor/A 17673-2021 karta.png", "A 17673-2021")</f>
        <v/>
      </c>
      <c r="V227">
        <f>HYPERLINK("https://klasma.github.io/Logging_0188/klagomål/A 17673-2021 FSC-klagomål.docx", "A 17673-2021")</f>
        <v/>
      </c>
      <c r="W227">
        <f>HYPERLINK("https://klasma.github.io/Logging_0188/klagomålsmail/A 17673-2021 FSC-klagomål mail.docx", "A 17673-2021")</f>
        <v/>
      </c>
      <c r="X227">
        <f>HYPERLINK("https://klasma.github.io/Logging_0188/tillsyn/A 17673-2021 tillsynsbegäran.docx", "A 17673-2021")</f>
        <v/>
      </c>
      <c r="Y227">
        <f>HYPERLINK("https://klasma.github.io/Logging_0188/tillsynsmail/A 17673-2021 tillsynsbegäran mail.docx", "A 17673-2021")</f>
        <v/>
      </c>
      <c r="Z227">
        <f>HYPERLINK("https://klasma.github.io/Logging_0188/fåglar/A 17673-2021 prioriterade fågelarter.docx", "A 17673-2021")</f>
        <v/>
      </c>
    </row>
    <row r="228" ht="15" customHeight="1">
      <c r="A228" t="inlineStr">
        <is>
          <t>A 38991-2022</t>
        </is>
      </c>
      <c r="B228" s="1" t="n">
        <v>44816.89569444444</v>
      </c>
      <c r="C228" s="1" t="n">
        <v>45930</v>
      </c>
      <c r="D228" t="inlineStr">
        <is>
          <t>STOCKHOLMS LÄN</t>
        </is>
      </c>
      <c r="E228" t="inlineStr">
        <is>
          <t>NORRTÄLJE</t>
        </is>
      </c>
      <c r="G228" t="n">
        <v>1.9</v>
      </c>
      <c r="H228" t="n">
        <v>0</v>
      </c>
      <c r="I228" t="n">
        <v>0</v>
      </c>
      <c r="J228" t="n">
        <v>0</v>
      </c>
      <c r="K228" t="n">
        <v>0</v>
      </c>
      <c r="L228" t="n">
        <v>0</v>
      </c>
      <c r="M228" t="n">
        <v>0</v>
      </c>
      <c r="N228" t="n">
        <v>0</v>
      </c>
      <c r="O228" t="n">
        <v>0</v>
      </c>
      <c r="P228" t="n">
        <v>0</v>
      </c>
      <c r="Q228" t="n">
        <v>0</v>
      </c>
      <c r="R228" s="2" t="inlineStr"/>
    </row>
    <row r="229" ht="15" customHeight="1">
      <c r="A229" t="inlineStr">
        <is>
          <t>A 2732-2022</t>
        </is>
      </c>
      <c r="B229" s="1" t="n">
        <v>44580</v>
      </c>
      <c r="C229" s="1" t="n">
        <v>45930</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17771-2022</t>
        </is>
      </c>
      <c r="B230" s="1" t="n">
        <v>44682.75924768519</v>
      </c>
      <c r="C230" s="1" t="n">
        <v>45930</v>
      </c>
      <c r="D230" t="inlineStr">
        <is>
          <t>STOCKHOLMS LÄN</t>
        </is>
      </c>
      <c r="E230" t="inlineStr">
        <is>
          <t>NORRTÄLJE</t>
        </is>
      </c>
      <c r="G230" t="n">
        <v>13.3</v>
      </c>
      <c r="H230" t="n">
        <v>0</v>
      </c>
      <c r="I230" t="n">
        <v>0</v>
      </c>
      <c r="J230" t="n">
        <v>0</v>
      </c>
      <c r="K230" t="n">
        <v>0</v>
      </c>
      <c r="L230" t="n">
        <v>0</v>
      </c>
      <c r="M230" t="n">
        <v>0</v>
      </c>
      <c r="N230" t="n">
        <v>0</v>
      </c>
      <c r="O230" t="n">
        <v>0</v>
      </c>
      <c r="P230" t="n">
        <v>0</v>
      </c>
      <c r="Q230" t="n">
        <v>0</v>
      </c>
      <c r="R230" s="2" t="inlineStr"/>
    </row>
    <row r="231" ht="15" customHeight="1">
      <c r="A231" t="inlineStr">
        <is>
          <t>A 17773-2022</t>
        </is>
      </c>
      <c r="B231" s="1" t="n">
        <v>44682.77616898148</v>
      </c>
      <c r="C231" s="1" t="n">
        <v>45930</v>
      </c>
      <c r="D231" t="inlineStr">
        <is>
          <t>STOCKHOLMS LÄN</t>
        </is>
      </c>
      <c r="E231" t="inlineStr">
        <is>
          <t>NORRTÄLJE</t>
        </is>
      </c>
      <c r="G231" t="n">
        <v>10.8</v>
      </c>
      <c r="H231" t="n">
        <v>0</v>
      </c>
      <c r="I231" t="n">
        <v>0</v>
      </c>
      <c r="J231" t="n">
        <v>0</v>
      </c>
      <c r="K231" t="n">
        <v>0</v>
      </c>
      <c r="L231" t="n">
        <v>0</v>
      </c>
      <c r="M231" t="n">
        <v>0</v>
      </c>
      <c r="N231" t="n">
        <v>0</v>
      </c>
      <c r="O231" t="n">
        <v>0</v>
      </c>
      <c r="P231" t="n">
        <v>0</v>
      </c>
      <c r="Q231" t="n">
        <v>0</v>
      </c>
      <c r="R231" s="2" t="inlineStr"/>
    </row>
    <row r="232" ht="15" customHeight="1">
      <c r="A232" t="inlineStr">
        <is>
          <t>A 10521-2022</t>
        </is>
      </c>
      <c r="B232" s="1" t="n">
        <v>44623</v>
      </c>
      <c r="C232" s="1" t="n">
        <v>45930</v>
      </c>
      <c r="D232" t="inlineStr">
        <is>
          <t>STOCKHOLMS LÄN</t>
        </is>
      </c>
      <c r="E232" t="inlineStr">
        <is>
          <t>NORRTÄLJE</t>
        </is>
      </c>
      <c r="G232" t="n">
        <v>2.9</v>
      </c>
      <c r="H232" t="n">
        <v>0</v>
      </c>
      <c r="I232" t="n">
        <v>0</v>
      </c>
      <c r="J232" t="n">
        <v>0</v>
      </c>
      <c r="K232" t="n">
        <v>0</v>
      </c>
      <c r="L232" t="n">
        <v>0</v>
      </c>
      <c r="M232" t="n">
        <v>0</v>
      </c>
      <c r="N232" t="n">
        <v>0</v>
      </c>
      <c r="O232" t="n">
        <v>0</v>
      </c>
      <c r="P232" t="n">
        <v>0</v>
      </c>
      <c r="Q232" t="n">
        <v>0</v>
      </c>
      <c r="R232" s="2" t="inlineStr"/>
    </row>
    <row r="233" ht="15" customHeight="1">
      <c r="A233" t="inlineStr">
        <is>
          <t>A 27217-2021</t>
        </is>
      </c>
      <c r="B233" s="1" t="n">
        <v>44350</v>
      </c>
      <c r="C233" s="1" t="n">
        <v>45930</v>
      </c>
      <c r="D233" t="inlineStr">
        <is>
          <t>STOCKHOLMS LÄN</t>
        </is>
      </c>
      <c r="E233" t="inlineStr">
        <is>
          <t>NORRTÄLJE</t>
        </is>
      </c>
      <c r="G233" t="n">
        <v>5.5</v>
      </c>
      <c r="H233" t="n">
        <v>0</v>
      </c>
      <c r="I233" t="n">
        <v>0</v>
      </c>
      <c r="J233" t="n">
        <v>0</v>
      </c>
      <c r="K233" t="n">
        <v>0</v>
      </c>
      <c r="L233" t="n">
        <v>0</v>
      </c>
      <c r="M233" t="n">
        <v>0</v>
      </c>
      <c r="N233" t="n">
        <v>0</v>
      </c>
      <c r="O233" t="n">
        <v>0</v>
      </c>
      <c r="P233" t="n">
        <v>0</v>
      </c>
      <c r="Q233" t="n">
        <v>0</v>
      </c>
      <c r="R233" s="2" t="inlineStr"/>
    </row>
    <row r="234" ht="15" customHeight="1">
      <c r="A234" t="inlineStr">
        <is>
          <t>A 57957-2020</t>
        </is>
      </c>
      <c r="B234" s="1" t="n">
        <v>44143</v>
      </c>
      <c r="C234" s="1" t="n">
        <v>45930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16119-2022</t>
        </is>
      </c>
      <c r="B235" s="1" t="n">
        <v>44665.66407407408</v>
      </c>
      <c r="C235" s="1" t="n">
        <v>45930</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45930</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49334-2020</t>
        </is>
      </c>
      <c r="B237" s="1" t="n">
        <v>44105</v>
      </c>
      <c r="C237" s="1" t="n">
        <v>45930</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62030-2021</t>
        </is>
      </c>
      <c r="B238" s="1" t="n">
        <v>44502</v>
      </c>
      <c r="C238" s="1" t="n">
        <v>45930</v>
      </c>
      <c r="D238" t="inlineStr">
        <is>
          <t>STOCKHOLMS LÄN</t>
        </is>
      </c>
      <c r="E238" t="inlineStr">
        <is>
          <t>NORRTÄLJE</t>
        </is>
      </c>
      <c r="G238" t="n">
        <v>4.7</v>
      </c>
      <c r="H238" t="n">
        <v>0</v>
      </c>
      <c r="I238" t="n">
        <v>0</v>
      </c>
      <c r="J238" t="n">
        <v>0</v>
      </c>
      <c r="K238" t="n">
        <v>0</v>
      </c>
      <c r="L238" t="n">
        <v>0</v>
      </c>
      <c r="M238" t="n">
        <v>0</v>
      </c>
      <c r="N238" t="n">
        <v>0</v>
      </c>
      <c r="O238" t="n">
        <v>0</v>
      </c>
      <c r="P238" t="n">
        <v>0</v>
      </c>
      <c r="Q238" t="n">
        <v>0</v>
      </c>
      <c r="R238" s="2" t="inlineStr"/>
    </row>
    <row r="239" ht="15" customHeight="1">
      <c r="A239" t="inlineStr">
        <is>
          <t>A 53884-2022</t>
        </is>
      </c>
      <c r="B239" s="1" t="n">
        <v>44880.68423611111</v>
      </c>
      <c r="C239" s="1" t="n">
        <v>45930</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12357-2022</t>
        </is>
      </c>
      <c r="B240" s="1" t="n">
        <v>44637</v>
      </c>
      <c r="C240" s="1" t="n">
        <v>45930</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45930</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45930</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16117-2022</t>
        </is>
      </c>
      <c r="B243" s="1" t="n">
        <v>44665.65474537037</v>
      </c>
      <c r="C243" s="1" t="n">
        <v>45930</v>
      </c>
      <c r="D243" t="inlineStr">
        <is>
          <t>STOCKHOLMS LÄN</t>
        </is>
      </c>
      <c r="E243" t="inlineStr">
        <is>
          <t>NORRTÄLJE</t>
        </is>
      </c>
      <c r="G243" t="n">
        <v>8.1</v>
      </c>
      <c r="H243" t="n">
        <v>0</v>
      </c>
      <c r="I243" t="n">
        <v>0</v>
      </c>
      <c r="J243" t="n">
        <v>0</v>
      </c>
      <c r="K243" t="n">
        <v>0</v>
      </c>
      <c r="L243" t="n">
        <v>0</v>
      </c>
      <c r="M243" t="n">
        <v>0</v>
      </c>
      <c r="N243" t="n">
        <v>0</v>
      </c>
      <c r="O243" t="n">
        <v>0</v>
      </c>
      <c r="P243" t="n">
        <v>0</v>
      </c>
      <c r="Q243" t="n">
        <v>0</v>
      </c>
      <c r="R243" s="2" t="inlineStr"/>
    </row>
    <row r="244" ht="15" customHeight="1">
      <c r="A244" t="inlineStr">
        <is>
          <t>A 16132-2022</t>
        </is>
      </c>
      <c r="B244" s="1" t="n">
        <v>44665.78351851852</v>
      </c>
      <c r="C244" s="1" t="n">
        <v>45930</v>
      </c>
      <c r="D244" t="inlineStr">
        <is>
          <t>STOCKHOLMS LÄN</t>
        </is>
      </c>
      <c r="E244" t="inlineStr">
        <is>
          <t>NORRTÄLJE</t>
        </is>
      </c>
      <c r="G244" t="n">
        <v>4.4</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45930</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45930</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45930</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60542-2020</t>
        </is>
      </c>
      <c r="B248" s="1" t="n">
        <v>44153</v>
      </c>
      <c r="C248" s="1" t="n">
        <v>45930</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30624-2022</t>
        </is>
      </c>
      <c r="B249" s="1" t="n">
        <v>44763.4182175926</v>
      </c>
      <c r="C249" s="1" t="n">
        <v>45930</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25463-2021</t>
        </is>
      </c>
      <c r="B250" s="1" t="n">
        <v>44342</v>
      </c>
      <c r="C250" s="1" t="n">
        <v>45930</v>
      </c>
      <c r="D250" t="inlineStr">
        <is>
          <t>STOCKHOLMS LÄN</t>
        </is>
      </c>
      <c r="E250" t="inlineStr">
        <is>
          <t>NORRTÄLJE</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21102-2022</t>
        </is>
      </c>
      <c r="B251" s="1" t="n">
        <v>44704</v>
      </c>
      <c r="C251" s="1" t="n">
        <v>45930</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71880-2021</t>
        </is>
      </c>
      <c r="B252" s="1" t="n">
        <v>44543</v>
      </c>
      <c r="C252" s="1" t="n">
        <v>45930</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17772-2022</t>
        </is>
      </c>
      <c r="B253" s="1" t="n">
        <v>44682.76528935185</v>
      </c>
      <c r="C253" s="1" t="n">
        <v>45930</v>
      </c>
      <c r="D253" t="inlineStr">
        <is>
          <t>STOCKHOLMS LÄN</t>
        </is>
      </c>
      <c r="E253" t="inlineStr">
        <is>
          <t>NORRTÄLJE</t>
        </is>
      </c>
      <c r="G253" t="n">
        <v>4</v>
      </c>
      <c r="H253" t="n">
        <v>0</v>
      </c>
      <c r="I253" t="n">
        <v>0</v>
      </c>
      <c r="J253" t="n">
        <v>0</v>
      </c>
      <c r="K253" t="n">
        <v>0</v>
      </c>
      <c r="L253" t="n">
        <v>0</v>
      </c>
      <c r="M253" t="n">
        <v>0</v>
      </c>
      <c r="N253" t="n">
        <v>0</v>
      </c>
      <c r="O253" t="n">
        <v>0</v>
      </c>
      <c r="P253" t="n">
        <v>0</v>
      </c>
      <c r="Q253" t="n">
        <v>0</v>
      </c>
      <c r="R253" s="2" t="inlineStr"/>
    </row>
    <row r="254" ht="15" customHeight="1">
      <c r="A254" t="inlineStr">
        <is>
          <t>A 55982-2020</t>
        </is>
      </c>
      <c r="B254" s="1" t="n">
        <v>44132</v>
      </c>
      <c r="C254" s="1" t="n">
        <v>45930</v>
      </c>
      <c r="D254" t="inlineStr">
        <is>
          <t>STOCKHOLMS LÄN</t>
        </is>
      </c>
      <c r="E254" t="inlineStr">
        <is>
          <t>NORRTÄLJE</t>
        </is>
      </c>
      <c r="G254" t="n">
        <v>11.3</v>
      </c>
      <c r="H254" t="n">
        <v>0</v>
      </c>
      <c r="I254" t="n">
        <v>0</v>
      </c>
      <c r="J254" t="n">
        <v>0</v>
      </c>
      <c r="K254" t="n">
        <v>0</v>
      </c>
      <c r="L254" t="n">
        <v>0</v>
      </c>
      <c r="M254" t="n">
        <v>0</v>
      </c>
      <c r="N254" t="n">
        <v>0</v>
      </c>
      <c r="O254" t="n">
        <v>0</v>
      </c>
      <c r="P254" t="n">
        <v>0</v>
      </c>
      <c r="Q254" t="n">
        <v>0</v>
      </c>
      <c r="R254" s="2" t="inlineStr"/>
    </row>
    <row r="255" ht="15" customHeight="1">
      <c r="A255" t="inlineStr">
        <is>
          <t>A 67285-2021</t>
        </is>
      </c>
      <c r="B255" s="1" t="n">
        <v>44523.61635416667</v>
      </c>
      <c r="C255" s="1" t="n">
        <v>45930</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5611-2022</t>
        </is>
      </c>
      <c r="B256" s="1" t="n">
        <v>44595</v>
      </c>
      <c r="C256" s="1" t="n">
        <v>45930</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32055-2021</t>
        </is>
      </c>
      <c r="B257" s="1" t="n">
        <v>44370.72197916666</v>
      </c>
      <c r="C257" s="1" t="n">
        <v>45930</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24101-2022</t>
        </is>
      </c>
      <c r="B258" s="1" t="n">
        <v>44725</v>
      </c>
      <c r="C258" s="1" t="n">
        <v>45930</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45930</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52449-2021</t>
        </is>
      </c>
      <c r="B260" s="1" t="n">
        <v>44466.37496527778</v>
      </c>
      <c r="C260" s="1" t="n">
        <v>45930</v>
      </c>
      <c r="D260" t="inlineStr">
        <is>
          <t>STOCKHOLMS LÄN</t>
        </is>
      </c>
      <c r="E260" t="inlineStr">
        <is>
          <t>NORRTÄLJE</t>
        </is>
      </c>
      <c r="F260" t="inlineStr">
        <is>
          <t>Holmen skog AB</t>
        </is>
      </c>
      <c r="G260" t="n">
        <v>1.8</v>
      </c>
      <c r="H260" t="n">
        <v>0</v>
      </c>
      <c r="I260" t="n">
        <v>0</v>
      </c>
      <c r="J260" t="n">
        <v>0</v>
      </c>
      <c r="K260" t="n">
        <v>0</v>
      </c>
      <c r="L260" t="n">
        <v>0</v>
      </c>
      <c r="M260" t="n">
        <v>0</v>
      </c>
      <c r="N260" t="n">
        <v>0</v>
      </c>
      <c r="O260" t="n">
        <v>0</v>
      </c>
      <c r="P260" t="n">
        <v>0</v>
      </c>
      <c r="Q260" t="n">
        <v>0</v>
      </c>
      <c r="R260" s="2" t="inlineStr"/>
    </row>
    <row r="261" ht="15" customHeight="1">
      <c r="A261" t="inlineStr">
        <is>
          <t>A 5513-2022</t>
        </is>
      </c>
      <c r="B261" s="1" t="n">
        <v>44595</v>
      </c>
      <c r="C261" s="1" t="n">
        <v>45930</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33046-2021</t>
        </is>
      </c>
      <c r="B262" s="1" t="n">
        <v>44376</v>
      </c>
      <c r="C262" s="1" t="n">
        <v>45930</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38721-2022</t>
        </is>
      </c>
      <c r="B263" s="1" t="n">
        <v>44815</v>
      </c>
      <c r="C263" s="1" t="n">
        <v>45930</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60184-2021</t>
        </is>
      </c>
      <c r="B264" s="1" t="n">
        <v>44495</v>
      </c>
      <c r="C264" s="1" t="n">
        <v>45930</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45930</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45930</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26328-2022</t>
        </is>
      </c>
      <c r="B267" s="1" t="n">
        <v>44735</v>
      </c>
      <c r="C267" s="1" t="n">
        <v>45930</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66372-2020</t>
        </is>
      </c>
      <c r="B268" s="1" t="n">
        <v>44176</v>
      </c>
      <c r="C268" s="1" t="n">
        <v>45930</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55012-2024</t>
        </is>
      </c>
      <c r="B269" s="1" t="n">
        <v>45621.34813657407</v>
      </c>
      <c r="C269" s="1" t="n">
        <v>45930</v>
      </c>
      <c r="D269" t="inlineStr">
        <is>
          <t>STOCKHOLMS LÄN</t>
        </is>
      </c>
      <c r="E269" t="inlineStr">
        <is>
          <t>NORRTÄLJE</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12348-2025</t>
        </is>
      </c>
      <c r="B270" s="1" t="n">
        <v>45730.35026620371</v>
      </c>
      <c r="C270" s="1" t="n">
        <v>45930</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13148-2021</t>
        </is>
      </c>
      <c r="B271" s="1" t="n">
        <v>44272</v>
      </c>
      <c r="C271" s="1" t="n">
        <v>45930</v>
      </c>
      <c r="D271" t="inlineStr">
        <is>
          <t>STOCKHOLMS LÄN</t>
        </is>
      </c>
      <c r="E271" t="inlineStr">
        <is>
          <t>NORRTÄLJE</t>
        </is>
      </c>
      <c r="G271" t="n">
        <v>12.4</v>
      </c>
      <c r="H271" t="n">
        <v>0</v>
      </c>
      <c r="I271" t="n">
        <v>0</v>
      </c>
      <c r="J271" t="n">
        <v>0</v>
      </c>
      <c r="K271" t="n">
        <v>0</v>
      </c>
      <c r="L271" t="n">
        <v>0</v>
      </c>
      <c r="M271" t="n">
        <v>0</v>
      </c>
      <c r="N271" t="n">
        <v>0</v>
      </c>
      <c r="O271" t="n">
        <v>0</v>
      </c>
      <c r="P271" t="n">
        <v>0</v>
      </c>
      <c r="Q271" t="n">
        <v>0</v>
      </c>
      <c r="R271" s="2" t="inlineStr"/>
    </row>
    <row r="272" ht="15" customHeight="1">
      <c r="A272" t="inlineStr">
        <is>
          <t>A 27715-2022</t>
        </is>
      </c>
      <c r="B272" s="1" t="n">
        <v>44743.47407407407</v>
      </c>
      <c r="C272" s="1" t="n">
        <v>45930</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12111-2021</t>
        </is>
      </c>
      <c r="B273" s="1" t="n">
        <v>44266</v>
      </c>
      <c r="C273" s="1" t="n">
        <v>45930</v>
      </c>
      <c r="D273" t="inlineStr">
        <is>
          <t>STOCKHOLMS LÄN</t>
        </is>
      </c>
      <c r="E273" t="inlineStr">
        <is>
          <t>NORRTÄLJE</t>
        </is>
      </c>
      <c r="G273" t="n">
        <v>5.5</v>
      </c>
      <c r="H273" t="n">
        <v>0</v>
      </c>
      <c r="I273" t="n">
        <v>0</v>
      </c>
      <c r="J273" t="n">
        <v>0</v>
      </c>
      <c r="K273" t="n">
        <v>0</v>
      </c>
      <c r="L273" t="n">
        <v>0</v>
      </c>
      <c r="M273" t="n">
        <v>0</v>
      </c>
      <c r="N273" t="n">
        <v>0</v>
      </c>
      <c r="O273" t="n">
        <v>0</v>
      </c>
      <c r="P273" t="n">
        <v>0</v>
      </c>
      <c r="Q273" t="n">
        <v>0</v>
      </c>
      <c r="R273" s="2" t="inlineStr"/>
    </row>
    <row r="274" ht="15" customHeight="1">
      <c r="A274" t="inlineStr">
        <is>
          <t>A 33053-2021</t>
        </is>
      </c>
      <c r="B274" s="1" t="n">
        <v>44376</v>
      </c>
      <c r="C274" s="1" t="n">
        <v>45930</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20013-2025</t>
        </is>
      </c>
      <c r="B275" s="1" t="n">
        <v>45772.30436342592</v>
      </c>
      <c r="C275" s="1" t="n">
        <v>45930</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45930</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45930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45930</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63161-2023</t>
        </is>
      </c>
      <c r="B279" s="1" t="n">
        <v>45273</v>
      </c>
      <c r="C279" s="1" t="n">
        <v>45930</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23271-2023</t>
        </is>
      </c>
      <c r="B280" s="1" t="n">
        <v>45075.91362268518</v>
      </c>
      <c r="C280" s="1" t="n">
        <v>45930</v>
      </c>
      <c r="D280" t="inlineStr">
        <is>
          <t>STOCKHOLMS LÄN</t>
        </is>
      </c>
      <c r="E280" t="inlineStr">
        <is>
          <t>NORRTÄLJE</t>
        </is>
      </c>
      <c r="G280" t="n">
        <v>5.1</v>
      </c>
      <c r="H280" t="n">
        <v>0</v>
      </c>
      <c r="I280" t="n">
        <v>0</v>
      </c>
      <c r="J280" t="n">
        <v>0</v>
      </c>
      <c r="K280" t="n">
        <v>0</v>
      </c>
      <c r="L280" t="n">
        <v>0</v>
      </c>
      <c r="M280" t="n">
        <v>0</v>
      </c>
      <c r="N280" t="n">
        <v>0</v>
      </c>
      <c r="O280" t="n">
        <v>0</v>
      </c>
      <c r="P280" t="n">
        <v>0</v>
      </c>
      <c r="Q280" t="n">
        <v>0</v>
      </c>
      <c r="R280" s="2" t="inlineStr"/>
    </row>
    <row r="281" ht="15" customHeight="1">
      <c r="A281" t="inlineStr">
        <is>
          <t>A 23273-2023</t>
        </is>
      </c>
      <c r="B281" s="1" t="n">
        <v>45075.91971064815</v>
      </c>
      <c r="C281" s="1" t="n">
        <v>45930</v>
      </c>
      <c r="D281" t="inlineStr">
        <is>
          <t>STOCKHOLMS LÄN</t>
        </is>
      </c>
      <c r="E281" t="inlineStr">
        <is>
          <t>NORRTÄLJE</t>
        </is>
      </c>
      <c r="G281" t="n">
        <v>7.5</v>
      </c>
      <c r="H281" t="n">
        <v>0</v>
      </c>
      <c r="I281" t="n">
        <v>0</v>
      </c>
      <c r="J281" t="n">
        <v>0</v>
      </c>
      <c r="K281" t="n">
        <v>0</v>
      </c>
      <c r="L281" t="n">
        <v>0</v>
      </c>
      <c r="M281" t="n">
        <v>0</v>
      </c>
      <c r="N281" t="n">
        <v>0</v>
      </c>
      <c r="O281" t="n">
        <v>0</v>
      </c>
      <c r="P281" t="n">
        <v>0</v>
      </c>
      <c r="Q281" t="n">
        <v>0</v>
      </c>
      <c r="R281" s="2" t="inlineStr"/>
    </row>
    <row r="282" ht="15" customHeight="1">
      <c r="A282" t="inlineStr">
        <is>
          <t>A 30802-2022</t>
        </is>
      </c>
      <c r="B282" s="1" t="n">
        <v>44764</v>
      </c>
      <c r="C282" s="1" t="n">
        <v>45930</v>
      </c>
      <c r="D282" t="inlineStr">
        <is>
          <t>STOCKHOLMS LÄN</t>
        </is>
      </c>
      <c r="E282" t="inlineStr">
        <is>
          <t>NORRTÄLJE</t>
        </is>
      </c>
      <c r="G282" t="n">
        <v>1.7</v>
      </c>
      <c r="H282" t="n">
        <v>0</v>
      </c>
      <c r="I282" t="n">
        <v>0</v>
      </c>
      <c r="J282" t="n">
        <v>0</v>
      </c>
      <c r="K282" t="n">
        <v>0</v>
      </c>
      <c r="L282" t="n">
        <v>0</v>
      </c>
      <c r="M282" t="n">
        <v>0</v>
      </c>
      <c r="N282" t="n">
        <v>0</v>
      </c>
      <c r="O282" t="n">
        <v>0</v>
      </c>
      <c r="P282" t="n">
        <v>0</v>
      </c>
      <c r="Q282" t="n">
        <v>0</v>
      </c>
      <c r="R282" s="2" t="inlineStr"/>
    </row>
    <row r="283" ht="15" customHeight="1">
      <c r="A283" t="inlineStr">
        <is>
          <t>A 19706-2023</t>
        </is>
      </c>
      <c r="B283" s="1" t="n">
        <v>45051.455</v>
      </c>
      <c r="C283" s="1" t="n">
        <v>45930</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28042-2022</t>
        </is>
      </c>
      <c r="B284" s="1" t="n">
        <v>44744</v>
      </c>
      <c r="C284" s="1" t="n">
        <v>45930</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16008-2025</t>
        </is>
      </c>
      <c r="B285" s="1" t="n">
        <v>45749</v>
      </c>
      <c r="C285" s="1" t="n">
        <v>45930</v>
      </c>
      <c r="D285" t="inlineStr">
        <is>
          <t>STOCKHOLMS LÄN</t>
        </is>
      </c>
      <c r="E285" t="inlineStr">
        <is>
          <t>NORRTÄLJE</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9765-2024</t>
        </is>
      </c>
      <c r="B286" s="1" t="n">
        <v>45362.62811342593</v>
      </c>
      <c r="C286" s="1" t="n">
        <v>45930</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15441-2021</t>
        </is>
      </c>
      <c r="B287" s="1" t="n">
        <v>44284</v>
      </c>
      <c r="C287" s="1" t="n">
        <v>45930</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47694-2023</t>
        </is>
      </c>
      <c r="B288" s="1" t="n">
        <v>45203.63303240741</v>
      </c>
      <c r="C288" s="1" t="n">
        <v>45930</v>
      </c>
      <c r="D288" t="inlineStr">
        <is>
          <t>STOCKHOLMS LÄN</t>
        </is>
      </c>
      <c r="E288" t="inlineStr">
        <is>
          <t>NORRTÄLJE</t>
        </is>
      </c>
      <c r="G288" t="n">
        <v>5.2</v>
      </c>
      <c r="H288" t="n">
        <v>0</v>
      </c>
      <c r="I288" t="n">
        <v>0</v>
      </c>
      <c r="J288" t="n">
        <v>0</v>
      </c>
      <c r="K288" t="n">
        <v>0</v>
      </c>
      <c r="L288" t="n">
        <v>0</v>
      </c>
      <c r="M288" t="n">
        <v>0</v>
      </c>
      <c r="N288" t="n">
        <v>0</v>
      </c>
      <c r="O288" t="n">
        <v>0</v>
      </c>
      <c r="P288" t="n">
        <v>0</v>
      </c>
      <c r="Q288" t="n">
        <v>0</v>
      </c>
      <c r="R288" s="2" t="inlineStr"/>
    </row>
    <row r="289" ht="15" customHeight="1">
      <c r="A289" t="inlineStr">
        <is>
          <t>A 67598-2021</t>
        </is>
      </c>
      <c r="B289" s="1" t="n">
        <v>44524</v>
      </c>
      <c r="C289" s="1" t="n">
        <v>45930</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40656-2022</t>
        </is>
      </c>
      <c r="B290" s="1" t="n">
        <v>44824.36069444445</v>
      </c>
      <c r="C290" s="1" t="n">
        <v>45930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45930</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20295-2022</t>
        </is>
      </c>
      <c r="B292" s="1" t="n">
        <v>44698</v>
      </c>
      <c r="C292" s="1" t="n">
        <v>45930</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45930</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45930</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37415-2021</t>
        </is>
      </c>
      <c r="B295" s="1" t="n">
        <v>44397</v>
      </c>
      <c r="C295" s="1" t="n">
        <v>45930</v>
      </c>
      <c r="D295" t="inlineStr">
        <is>
          <t>STOCKHOLMS LÄN</t>
        </is>
      </c>
      <c r="E295" t="inlineStr">
        <is>
          <t>NORRTÄLJE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45930</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45930</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41398-2022</t>
        </is>
      </c>
      <c r="B298" s="1" t="n">
        <v>44826</v>
      </c>
      <c r="C298" s="1" t="n">
        <v>45930</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22369-2021</t>
        </is>
      </c>
      <c r="B299" s="1" t="n">
        <v>44326</v>
      </c>
      <c r="C299" s="1" t="n">
        <v>45930</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53600-2022</t>
        </is>
      </c>
      <c r="B300" s="1" t="n">
        <v>44879.70518518519</v>
      </c>
      <c r="C300" s="1" t="n">
        <v>45930</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42955-2022</t>
        </is>
      </c>
      <c r="B301" s="1" t="n">
        <v>44833.40876157407</v>
      </c>
      <c r="C301" s="1" t="n">
        <v>45930</v>
      </c>
      <c r="D301" t="inlineStr">
        <is>
          <t>STOCKHOLMS LÄN</t>
        </is>
      </c>
      <c r="E301" t="inlineStr">
        <is>
          <t>NORRTÄLJE</t>
        </is>
      </c>
      <c r="G301" t="n">
        <v>13.1</v>
      </c>
      <c r="H301" t="n">
        <v>0</v>
      </c>
      <c r="I301" t="n">
        <v>0</v>
      </c>
      <c r="J301" t="n">
        <v>0</v>
      </c>
      <c r="K301" t="n">
        <v>0</v>
      </c>
      <c r="L301" t="n">
        <v>0</v>
      </c>
      <c r="M301" t="n">
        <v>0</v>
      </c>
      <c r="N301" t="n">
        <v>0</v>
      </c>
      <c r="O301" t="n">
        <v>0</v>
      </c>
      <c r="P301" t="n">
        <v>0</v>
      </c>
      <c r="Q301" t="n">
        <v>0</v>
      </c>
      <c r="R301" s="2" t="inlineStr"/>
    </row>
    <row r="302" ht="15" customHeight="1">
      <c r="A302" t="inlineStr">
        <is>
          <t>A 30286-2022</t>
        </is>
      </c>
      <c r="B302" s="1" t="n">
        <v>44760</v>
      </c>
      <c r="C302" s="1" t="n">
        <v>45930</v>
      </c>
      <c r="D302" t="inlineStr">
        <is>
          <t>STOCKHOLMS LÄN</t>
        </is>
      </c>
      <c r="E302" t="inlineStr">
        <is>
          <t>NORRTÄLJE</t>
        </is>
      </c>
      <c r="G302" t="n">
        <v>0.3</v>
      </c>
      <c r="H302" t="n">
        <v>0</v>
      </c>
      <c r="I302" t="n">
        <v>0</v>
      </c>
      <c r="J302" t="n">
        <v>0</v>
      </c>
      <c r="K302" t="n">
        <v>0</v>
      </c>
      <c r="L302" t="n">
        <v>0</v>
      </c>
      <c r="M302" t="n">
        <v>0</v>
      </c>
      <c r="N302" t="n">
        <v>0</v>
      </c>
      <c r="O302" t="n">
        <v>0</v>
      </c>
      <c r="P302" t="n">
        <v>0</v>
      </c>
      <c r="Q302" t="n">
        <v>0</v>
      </c>
      <c r="R302" s="2" t="inlineStr"/>
    </row>
    <row r="303" ht="15" customHeight="1">
      <c r="A303" t="inlineStr">
        <is>
          <t>A 8160-2022</t>
        </is>
      </c>
      <c r="B303" s="1" t="n">
        <v>44609</v>
      </c>
      <c r="C303" s="1" t="n">
        <v>45930</v>
      </c>
      <c r="D303" t="inlineStr">
        <is>
          <t>STOCKHOLMS LÄN</t>
        </is>
      </c>
      <c r="E303" t="inlineStr">
        <is>
          <t>NORRTÄLJE</t>
        </is>
      </c>
      <c r="G303" t="n">
        <v>3.9</v>
      </c>
      <c r="H303" t="n">
        <v>0</v>
      </c>
      <c r="I303" t="n">
        <v>0</v>
      </c>
      <c r="J303" t="n">
        <v>0</v>
      </c>
      <c r="K303" t="n">
        <v>0</v>
      </c>
      <c r="L303" t="n">
        <v>0</v>
      </c>
      <c r="M303" t="n">
        <v>0</v>
      </c>
      <c r="N303" t="n">
        <v>0</v>
      </c>
      <c r="O303" t="n">
        <v>0</v>
      </c>
      <c r="P303" t="n">
        <v>0</v>
      </c>
      <c r="Q303" t="n">
        <v>0</v>
      </c>
      <c r="R303" s="2" t="inlineStr"/>
    </row>
    <row r="304" ht="15" customHeight="1">
      <c r="A304" t="inlineStr">
        <is>
          <t>A 20136-2025</t>
        </is>
      </c>
      <c r="B304" s="1" t="n">
        <v>45772.51127314815</v>
      </c>
      <c r="C304" s="1" t="n">
        <v>45930</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15978-2024</t>
        </is>
      </c>
      <c r="B305" s="1" t="n">
        <v>45405.57927083333</v>
      </c>
      <c r="C305" s="1" t="n">
        <v>45930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20473-2021</t>
        </is>
      </c>
      <c r="B306" s="1" t="n">
        <v>44315</v>
      </c>
      <c r="C306" s="1" t="n">
        <v>45930</v>
      </c>
      <c r="D306" t="inlineStr">
        <is>
          <t>STOCKHOLMS LÄN</t>
        </is>
      </c>
      <c r="E306" t="inlineStr">
        <is>
          <t>NORRTÄLJE</t>
        </is>
      </c>
      <c r="F306" t="inlineStr">
        <is>
          <t>Övriga Aktiebolag</t>
        </is>
      </c>
      <c r="G306" t="n">
        <v>3.6</v>
      </c>
      <c r="H306" t="n">
        <v>0</v>
      </c>
      <c r="I306" t="n">
        <v>0</v>
      </c>
      <c r="J306" t="n">
        <v>0</v>
      </c>
      <c r="K306" t="n">
        <v>0</v>
      </c>
      <c r="L306" t="n">
        <v>0</v>
      </c>
      <c r="M306" t="n">
        <v>0</v>
      </c>
      <c r="N306" t="n">
        <v>0</v>
      </c>
      <c r="O306" t="n">
        <v>0</v>
      </c>
      <c r="P306" t="n">
        <v>0</v>
      </c>
      <c r="Q306" t="n">
        <v>0</v>
      </c>
      <c r="R306" s="2" t="inlineStr"/>
    </row>
    <row r="307" ht="15" customHeight="1">
      <c r="A307" t="inlineStr">
        <is>
          <t>A 39319-2022</t>
        </is>
      </c>
      <c r="B307" s="1" t="n">
        <v>44817.70516203704</v>
      </c>
      <c r="C307" s="1" t="n">
        <v>45930</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7603-2025</t>
        </is>
      </c>
      <c r="B308" s="1" t="n">
        <v>45705.66126157407</v>
      </c>
      <c r="C308" s="1" t="n">
        <v>45930</v>
      </c>
      <c r="D308" t="inlineStr">
        <is>
          <t>STOCKHOLMS LÄN</t>
        </is>
      </c>
      <c r="E308" t="inlineStr">
        <is>
          <t>NORRTÄLJE</t>
        </is>
      </c>
      <c r="F308" t="inlineStr">
        <is>
          <t>Holmen skog AB</t>
        </is>
      </c>
      <c r="G308" t="n">
        <v>2.4</v>
      </c>
      <c r="H308" t="n">
        <v>0</v>
      </c>
      <c r="I308" t="n">
        <v>0</v>
      </c>
      <c r="J308" t="n">
        <v>0</v>
      </c>
      <c r="K308" t="n">
        <v>0</v>
      </c>
      <c r="L308" t="n">
        <v>0</v>
      </c>
      <c r="M308" t="n">
        <v>0</v>
      </c>
      <c r="N308" t="n">
        <v>0</v>
      </c>
      <c r="O308" t="n">
        <v>0</v>
      </c>
      <c r="P308" t="n">
        <v>0</v>
      </c>
      <c r="Q308" t="n">
        <v>0</v>
      </c>
      <c r="R308" s="2" t="inlineStr"/>
    </row>
    <row r="309" ht="15" customHeight="1">
      <c r="A309" t="inlineStr">
        <is>
          <t>A 1968-2022</t>
        </is>
      </c>
      <c r="B309" s="1" t="n">
        <v>44575.52831018518</v>
      </c>
      <c r="C309" s="1" t="n">
        <v>45930</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5158-2024</t>
        </is>
      </c>
      <c r="B310" s="1" t="n">
        <v>45330.50098379629</v>
      </c>
      <c r="C310" s="1" t="n">
        <v>45930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19398-2021</t>
        </is>
      </c>
      <c r="B311" s="1" t="n">
        <v>44309</v>
      </c>
      <c r="C311" s="1" t="n">
        <v>45930</v>
      </c>
      <c r="D311" t="inlineStr">
        <is>
          <t>STOCKHOLMS LÄN</t>
        </is>
      </c>
      <c r="E311" t="inlineStr">
        <is>
          <t>NORRTÄLJE</t>
        </is>
      </c>
      <c r="F311" t="inlineStr">
        <is>
          <t>Kommuner</t>
        </is>
      </c>
      <c r="G311" t="n">
        <v>2.1</v>
      </c>
      <c r="H311" t="n">
        <v>0</v>
      </c>
      <c r="I311" t="n">
        <v>0</v>
      </c>
      <c r="J311" t="n">
        <v>0</v>
      </c>
      <c r="K311" t="n">
        <v>0</v>
      </c>
      <c r="L311" t="n">
        <v>0</v>
      </c>
      <c r="M311" t="n">
        <v>0</v>
      </c>
      <c r="N311" t="n">
        <v>0</v>
      </c>
      <c r="O311" t="n">
        <v>0</v>
      </c>
      <c r="P311" t="n">
        <v>0</v>
      </c>
      <c r="Q311" t="n">
        <v>0</v>
      </c>
      <c r="R311" s="2" t="inlineStr"/>
    </row>
    <row r="312" ht="15" customHeight="1">
      <c r="A312" t="inlineStr">
        <is>
          <t>A 56219-2021</t>
        </is>
      </c>
      <c r="B312" s="1" t="n">
        <v>44477</v>
      </c>
      <c r="C312" s="1" t="n">
        <v>45930</v>
      </c>
      <c r="D312" t="inlineStr">
        <is>
          <t>STOCKHOLMS LÄN</t>
        </is>
      </c>
      <c r="E312" t="inlineStr">
        <is>
          <t>NORRTÄLJE</t>
        </is>
      </c>
      <c r="F312" t="inlineStr">
        <is>
          <t>Kommuner</t>
        </is>
      </c>
      <c r="G312" t="n">
        <v>2.3</v>
      </c>
      <c r="H312" t="n">
        <v>0</v>
      </c>
      <c r="I312" t="n">
        <v>0</v>
      </c>
      <c r="J312" t="n">
        <v>0</v>
      </c>
      <c r="K312" t="n">
        <v>0</v>
      </c>
      <c r="L312" t="n">
        <v>0</v>
      </c>
      <c r="M312" t="n">
        <v>0</v>
      </c>
      <c r="N312" t="n">
        <v>0</v>
      </c>
      <c r="O312" t="n">
        <v>0</v>
      </c>
      <c r="P312" t="n">
        <v>0</v>
      </c>
      <c r="Q312" t="n">
        <v>0</v>
      </c>
      <c r="R312" s="2" t="inlineStr"/>
    </row>
    <row r="313" ht="15" customHeight="1">
      <c r="A313" t="inlineStr">
        <is>
          <t>A 51046-2023</t>
        </is>
      </c>
      <c r="B313" s="1" t="n">
        <v>45218</v>
      </c>
      <c r="C313" s="1" t="n">
        <v>45930</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45930</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15552-2021</t>
        </is>
      </c>
      <c r="B315" s="1" t="n">
        <v>44285</v>
      </c>
      <c r="C315" s="1" t="n">
        <v>45930</v>
      </c>
      <c r="D315" t="inlineStr">
        <is>
          <t>STOCKHOLMS LÄN</t>
        </is>
      </c>
      <c r="E315" t="inlineStr">
        <is>
          <t>NORRTÄLJE</t>
        </is>
      </c>
      <c r="G315" t="n">
        <v>10</v>
      </c>
      <c r="H315" t="n">
        <v>0</v>
      </c>
      <c r="I315" t="n">
        <v>0</v>
      </c>
      <c r="J315" t="n">
        <v>0</v>
      </c>
      <c r="K315" t="n">
        <v>0</v>
      </c>
      <c r="L315" t="n">
        <v>0</v>
      </c>
      <c r="M315" t="n">
        <v>0</v>
      </c>
      <c r="N315" t="n">
        <v>0</v>
      </c>
      <c r="O315" t="n">
        <v>0</v>
      </c>
      <c r="P315" t="n">
        <v>0</v>
      </c>
      <c r="Q315" t="n">
        <v>0</v>
      </c>
      <c r="R315" s="2" t="inlineStr"/>
    </row>
    <row r="316" ht="15" customHeight="1">
      <c r="A316" t="inlineStr">
        <is>
          <t>A 45541-2022</t>
        </is>
      </c>
      <c r="B316" s="1" t="n">
        <v>44845.47672453704</v>
      </c>
      <c r="C316" s="1" t="n">
        <v>45930</v>
      </c>
      <c r="D316" t="inlineStr">
        <is>
          <t>STOCKHOLMS LÄN</t>
        </is>
      </c>
      <c r="E316" t="inlineStr">
        <is>
          <t>NORRTÄLJE</t>
        </is>
      </c>
      <c r="G316" t="n">
        <v>0.4</v>
      </c>
      <c r="H316" t="n">
        <v>0</v>
      </c>
      <c r="I316" t="n">
        <v>0</v>
      </c>
      <c r="J316" t="n">
        <v>0</v>
      </c>
      <c r="K316" t="n">
        <v>0</v>
      </c>
      <c r="L316" t="n">
        <v>0</v>
      </c>
      <c r="M316" t="n">
        <v>0</v>
      </c>
      <c r="N316" t="n">
        <v>0</v>
      </c>
      <c r="O316" t="n">
        <v>0</v>
      </c>
      <c r="P316" t="n">
        <v>0</v>
      </c>
      <c r="Q316" t="n">
        <v>0</v>
      </c>
      <c r="R316" s="2" t="inlineStr"/>
    </row>
    <row r="317" ht="15" customHeight="1">
      <c r="A317" t="inlineStr">
        <is>
          <t>A 11229-2022</t>
        </is>
      </c>
      <c r="B317" s="1" t="n">
        <v>44629</v>
      </c>
      <c r="C317" s="1" t="n">
        <v>45930</v>
      </c>
      <c r="D317" t="inlineStr">
        <is>
          <t>STOCKHOLMS LÄN</t>
        </is>
      </c>
      <c r="E317" t="inlineStr">
        <is>
          <t>NORRTÄLJE</t>
        </is>
      </c>
      <c r="F317" t="inlineStr">
        <is>
          <t>Övriga Aktiebolag</t>
        </is>
      </c>
      <c r="G317" t="n">
        <v>4.1</v>
      </c>
      <c r="H317" t="n">
        <v>0</v>
      </c>
      <c r="I317" t="n">
        <v>0</v>
      </c>
      <c r="J317" t="n">
        <v>0</v>
      </c>
      <c r="K317" t="n">
        <v>0</v>
      </c>
      <c r="L317" t="n">
        <v>0</v>
      </c>
      <c r="M317" t="n">
        <v>0</v>
      </c>
      <c r="N317" t="n">
        <v>0</v>
      </c>
      <c r="O317" t="n">
        <v>0</v>
      </c>
      <c r="P317" t="n">
        <v>0</v>
      </c>
      <c r="Q317" t="n">
        <v>0</v>
      </c>
      <c r="R317" s="2" t="inlineStr"/>
    </row>
    <row r="318" ht="15" customHeight="1">
      <c r="A318" t="inlineStr">
        <is>
          <t>A 12779-2021</t>
        </is>
      </c>
      <c r="B318" s="1" t="n">
        <v>44270</v>
      </c>
      <c r="C318" s="1" t="n">
        <v>45930</v>
      </c>
      <c r="D318" t="inlineStr">
        <is>
          <t>STOCKHOLMS LÄN</t>
        </is>
      </c>
      <c r="E318" t="inlineStr">
        <is>
          <t>NORRTÄLJE</t>
        </is>
      </c>
      <c r="G318" t="n">
        <v>10.8</v>
      </c>
      <c r="H318" t="n">
        <v>0</v>
      </c>
      <c r="I318" t="n">
        <v>0</v>
      </c>
      <c r="J318" t="n">
        <v>0</v>
      </c>
      <c r="K318" t="n">
        <v>0</v>
      </c>
      <c r="L318" t="n">
        <v>0</v>
      </c>
      <c r="M318" t="n">
        <v>0</v>
      </c>
      <c r="N318" t="n">
        <v>0</v>
      </c>
      <c r="O318" t="n">
        <v>0</v>
      </c>
      <c r="P318" t="n">
        <v>0</v>
      </c>
      <c r="Q318" t="n">
        <v>0</v>
      </c>
      <c r="R318" s="2" t="inlineStr"/>
    </row>
    <row r="319" ht="15" customHeight="1">
      <c r="A319" t="inlineStr">
        <is>
          <t>A 12782-2021</t>
        </is>
      </c>
      <c r="B319" s="1" t="n">
        <v>44270</v>
      </c>
      <c r="C319" s="1" t="n">
        <v>45930</v>
      </c>
      <c r="D319" t="inlineStr">
        <is>
          <t>STOCKHOLMS LÄN</t>
        </is>
      </c>
      <c r="E319" t="inlineStr">
        <is>
          <t>NORRTÄLJE</t>
        </is>
      </c>
      <c r="G319" t="n">
        <v>3.8</v>
      </c>
      <c r="H319" t="n">
        <v>0</v>
      </c>
      <c r="I319" t="n">
        <v>0</v>
      </c>
      <c r="J319" t="n">
        <v>0</v>
      </c>
      <c r="K319" t="n">
        <v>0</v>
      </c>
      <c r="L319" t="n">
        <v>0</v>
      </c>
      <c r="M319" t="n">
        <v>0</v>
      </c>
      <c r="N319" t="n">
        <v>0</v>
      </c>
      <c r="O319" t="n">
        <v>0</v>
      </c>
      <c r="P319" t="n">
        <v>0</v>
      </c>
      <c r="Q319" t="n">
        <v>0</v>
      </c>
      <c r="R319" s="2" t="inlineStr"/>
    </row>
    <row r="320" ht="15" customHeight="1">
      <c r="A320" t="inlineStr">
        <is>
          <t>A 1229-2022</t>
        </is>
      </c>
      <c r="B320" s="1" t="n">
        <v>44572</v>
      </c>
      <c r="C320" s="1" t="n">
        <v>45930</v>
      </c>
      <c r="D320" t="inlineStr">
        <is>
          <t>STOCKHOLMS LÄN</t>
        </is>
      </c>
      <c r="E320" t="inlineStr">
        <is>
          <t>NORRTÄLJE</t>
        </is>
      </c>
      <c r="G320" t="n">
        <v>11.5</v>
      </c>
      <c r="H320" t="n">
        <v>0</v>
      </c>
      <c r="I320" t="n">
        <v>0</v>
      </c>
      <c r="J320" t="n">
        <v>0</v>
      </c>
      <c r="K320" t="n">
        <v>0</v>
      </c>
      <c r="L320" t="n">
        <v>0</v>
      </c>
      <c r="M320" t="n">
        <v>0</v>
      </c>
      <c r="N320" t="n">
        <v>0</v>
      </c>
      <c r="O320" t="n">
        <v>0</v>
      </c>
      <c r="P320" t="n">
        <v>0</v>
      </c>
      <c r="Q320" t="n">
        <v>0</v>
      </c>
      <c r="R320" s="2" t="inlineStr"/>
    </row>
    <row r="321" ht="15" customHeight="1">
      <c r="A321" t="inlineStr">
        <is>
          <t>A 9654-2022</t>
        </is>
      </c>
      <c r="B321" s="1" t="n">
        <v>44617</v>
      </c>
      <c r="C321" s="1" t="n">
        <v>45930</v>
      </c>
      <c r="D321" t="inlineStr">
        <is>
          <t>STOCKHOLMS LÄN</t>
        </is>
      </c>
      <c r="E321" t="inlineStr">
        <is>
          <t>NORRTÄLJE</t>
        </is>
      </c>
      <c r="G321" t="n">
        <v>6.4</v>
      </c>
      <c r="H321" t="n">
        <v>0</v>
      </c>
      <c r="I321" t="n">
        <v>0</v>
      </c>
      <c r="J321" t="n">
        <v>0</v>
      </c>
      <c r="K321" t="n">
        <v>0</v>
      </c>
      <c r="L321" t="n">
        <v>0</v>
      </c>
      <c r="M321" t="n">
        <v>0</v>
      </c>
      <c r="N321" t="n">
        <v>0</v>
      </c>
      <c r="O321" t="n">
        <v>0</v>
      </c>
      <c r="P321" t="n">
        <v>0</v>
      </c>
      <c r="Q321" t="n">
        <v>0</v>
      </c>
      <c r="R321" s="2" t="inlineStr"/>
    </row>
    <row r="322" ht="15" customHeight="1">
      <c r="A322" t="inlineStr">
        <is>
          <t>A 5389-2025</t>
        </is>
      </c>
      <c r="B322" s="1" t="n">
        <v>45692</v>
      </c>
      <c r="C322" s="1" t="n">
        <v>45930</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14051-2022</t>
        </is>
      </c>
      <c r="B323" s="1" t="n">
        <v>44650.92714120371</v>
      </c>
      <c r="C323" s="1" t="n">
        <v>45930</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68273-2021</t>
        </is>
      </c>
      <c r="B324" s="1" t="n">
        <v>44526</v>
      </c>
      <c r="C324" s="1" t="n">
        <v>45930</v>
      </c>
      <c r="D324" t="inlineStr">
        <is>
          <t>STOCKHOLMS LÄN</t>
        </is>
      </c>
      <c r="E324" t="inlineStr">
        <is>
          <t>NORRTÄLJE</t>
        </is>
      </c>
      <c r="G324" t="n">
        <v>5.3</v>
      </c>
      <c r="H324" t="n">
        <v>0</v>
      </c>
      <c r="I324" t="n">
        <v>0</v>
      </c>
      <c r="J324" t="n">
        <v>0</v>
      </c>
      <c r="K324" t="n">
        <v>0</v>
      </c>
      <c r="L324" t="n">
        <v>0</v>
      </c>
      <c r="M324" t="n">
        <v>0</v>
      </c>
      <c r="N324" t="n">
        <v>0</v>
      </c>
      <c r="O324" t="n">
        <v>0</v>
      </c>
      <c r="P324" t="n">
        <v>0</v>
      </c>
      <c r="Q324" t="n">
        <v>0</v>
      </c>
      <c r="R324" s="2" t="inlineStr"/>
    </row>
    <row r="325" ht="15" customHeight="1">
      <c r="A325" t="inlineStr">
        <is>
          <t>A 37147-2023</t>
        </is>
      </c>
      <c r="B325" s="1" t="n">
        <v>45155</v>
      </c>
      <c r="C325" s="1" t="n">
        <v>45930</v>
      </c>
      <c r="D325" t="inlineStr">
        <is>
          <t>STOCKHOLMS LÄN</t>
        </is>
      </c>
      <c r="E325" t="inlineStr">
        <is>
          <t>NORRTÄLJE</t>
        </is>
      </c>
      <c r="G325" t="n">
        <v>8</v>
      </c>
      <c r="H325" t="n">
        <v>0</v>
      </c>
      <c r="I325" t="n">
        <v>0</v>
      </c>
      <c r="J325" t="n">
        <v>0</v>
      </c>
      <c r="K325" t="n">
        <v>0</v>
      </c>
      <c r="L325" t="n">
        <v>0</v>
      </c>
      <c r="M325" t="n">
        <v>0</v>
      </c>
      <c r="N325" t="n">
        <v>0</v>
      </c>
      <c r="O325" t="n">
        <v>0</v>
      </c>
      <c r="P325" t="n">
        <v>0</v>
      </c>
      <c r="Q325" t="n">
        <v>0</v>
      </c>
      <c r="R325" s="2" t="inlineStr"/>
    </row>
    <row r="326" ht="15" customHeight="1">
      <c r="A326" t="inlineStr">
        <is>
          <t>A 45255-2022</t>
        </is>
      </c>
      <c r="B326" s="1" t="n">
        <v>44840</v>
      </c>
      <c r="C326" s="1" t="n">
        <v>45930</v>
      </c>
      <c r="D326" t="inlineStr">
        <is>
          <t>STOCKHOLMS LÄN</t>
        </is>
      </c>
      <c r="E326" t="inlineStr">
        <is>
          <t>NORRTÄLJE</t>
        </is>
      </c>
      <c r="G326" t="n">
        <v>4.1</v>
      </c>
      <c r="H326" t="n">
        <v>0</v>
      </c>
      <c r="I326" t="n">
        <v>0</v>
      </c>
      <c r="J326" t="n">
        <v>0</v>
      </c>
      <c r="K326" t="n">
        <v>0</v>
      </c>
      <c r="L326" t="n">
        <v>0</v>
      </c>
      <c r="M326" t="n">
        <v>0</v>
      </c>
      <c r="N326" t="n">
        <v>0</v>
      </c>
      <c r="O326" t="n">
        <v>0</v>
      </c>
      <c r="P326" t="n">
        <v>0</v>
      </c>
      <c r="Q326" t="n">
        <v>0</v>
      </c>
      <c r="R326" s="2" t="inlineStr"/>
    </row>
    <row r="327" ht="15" customHeight="1">
      <c r="A327" t="inlineStr">
        <is>
          <t>A 19915-2024</t>
        </is>
      </c>
      <c r="B327" s="1" t="n">
        <v>45433.58431712963</v>
      </c>
      <c r="C327" s="1" t="n">
        <v>45930</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5562-2021</t>
        </is>
      </c>
      <c r="B328" s="1" t="n">
        <v>44230</v>
      </c>
      <c r="C328" s="1" t="n">
        <v>45930</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5566-2021</t>
        </is>
      </c>
      <c r="B329" s="1" t="n">
        <v>44230</v>
      </c>
      <c r="C329" s="1" t="n">
        <v>45930</v>
      </c>
      <c r="D329" t="inlineStr">
        <is>
          <t>STOCKHOLMS LÄN</t>
        </is>
      </c>
      <c r="E329" t="inlineStr">
        <is>
          <t>NORRTÄLJE</t>
        </is>
      </c>
      <c r="G329" t="n">
        <v>3.1</v>
      </c>
      <c r="H329" t="n">
        <v>0</v>
      </c>
      <c r="I329" t="n">
        <v>0</v>
      </c>
      <c r="J329" t="n">
        <v>0</v>
      </c>
      <c r="K329" t="n">
        <v>0</v>
      </c>
      <c r="L329" t="n">
        <v>0</v>
      </c>
      <c r="M329" t="n">
        <v>0</v>
      </c>
      <c r="N329" t="n">
        <v>0</v>
      </c>
      <c r="O329" t="n">
        <v>0</v>
      </c>
      <c r="P329" t="n">
        <v>0</v>
      </c>
      <c r="Q329" t="n">
        <v>0</v>
      </c>
      <c r="R329" s="2" t="inlineStr"/>
    </row>
    <row r="330" ht="15" customHeight="1">
      <c r="A330" t="inlineStr">
        <is>
          <t>A 12629-2024</t>
        </is>
      </c>
      <c r="B330" s="1" t="n">
        <v>45383</v>
      </c>
      <c r="C330" s="1" t="n">
        <v>45930</v>
      </c>
      <c r="D330" t="inlineStr">
        <is>
          <t>STOCKHOLMS LÄN</t>
        </is>
      </c>
      <c r="E330" t="inlineStr">
        <is>
          <t>NORRTÄLJE</t>
        </is>
      </c>
      <c r="G330" t="n">
        <v>2.6</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45930</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57037-2022</t>
        </is>
      </c>
      <c r="B332" s="1" t="n">
        <v>44895</v>
      </c>
      <c r="C332" s="1" t="n">
        <v>45930</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48716-2023</t>
        </is>
      </c>
      <c r="B333" s="1" t="n">
        <v>45208.69671296296</v>
      </c>
      <c r="C333" s="1" t="n">
        <v>45930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55369-2023</t>
        </is>
      </c>
      <c r="B334" s="1" t="n">
        <v>45238</v>
      </c>
      <c r="C334" s="1" t="n">
        <v>45930</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14762-2024</t>
        </is>
      </c>
      <c r="B335" s="1" t="n">
        <v>45397</v>
      </c>
      <c r="C335" s="1" t="n">
        <v>45930</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20121-2022</t>
        </is>
      </c>
      <c r="B336" s="1" t="n">
        <v>44698</v>
      </c>
      <c r="C336" s="1" t="n">
        <v>45930</v>
      </c>
      <c r="D336" t="inlineStr">
        <is>
          <t>STOCKHOLMS LÄN</t>
        </is>
      </c>
      <c r="E336" t="inlineStr">
        <is>
          <t>NORRTÄLJE</t>
        </is>
      </c>
      <c r="G336" t="n">
        <v>4.2</v>
      </c>
      <c r="H336" t="n">
        <v>0</v>
      </c>
      <c r="I336" t="n">
        <v>0</v>
      </c>
      <c r="J336" t="n">
        <v>0</v>
      </c>
      <c r="K336" t="n">
        <v>0</v>
      </c>
      <c r="L336" t="n">
        <v>0</v>
      </c>
      <c r="M336" t="n">
        <v>0</v>
      </c>
      <c r="N336" t="n">
        <v>0</v>
      </c>
      <c r="O336" t="n">
        <v>0</v>
      </c>
      <c r="P336" t="n">
        <v>0</v>
      </c>
      <c r="Q336" t="n">
        <v>0</v>
      </c>
      <c r="R336" s="2" t="inlineStr"/>
    </row>
    <row r="337" ht="15" customHeight="1">
      <c r="A337" t="inlineStr">
        <is>
          <t>A 26407-2024</t>
        </is>
      </c>
      <c r="B337" s="1" t="n">
        <v>45469</v>
      </c>
      <c r="C337" s="1" t="n">
        <v>45930</v>
      </c>
      <c r="D337" t="inlineStr">
        <is>
          <t>STOCKHOLMS LÄN</t>
        </is>
      </c>
      <c r="E337" t="inlineStr">
        <is>
          <t>NORRTÄLJE</t>
        </is>
      </c>
      <c r="G337" t="n">
        <v>3.5</v>
      </c>
      <c r="H337" t="n">
        <v>0</v>
      </c>
      <c r="I337" t="n">
        <v>0</v>
      </c>
      <c r="J337" t="n">
        <v>0</v>
      </c>
      <c r="K337" t="n">
        <v>0</v>
      </c>
      <c r="L337" t="n">
        <v>0</v>
      </c>
      <c r="M337" t="n">
        <v>0</v>
      </c>
      <c r="N337" t="n">
        <v>0</v>
      </c>
      <c r="O337" t="n">
        <v>0</v>
      </c>
      <c r="P337" t="n">
        <v>0</v>
      </c>
      <c r="Q337" t="n">
        <v>0</v>
      </c>
      <c r="R337" s="2" t="inlineStr"/>
    </row>
    <row r="338" ht="15" customHeight="1">
      <c r="A338" t="inlineStr">
        <is>
          <t>A 58888-2020</t>
        </is>
      </c>
      <c r="B338" s="1" t="n">
        <v>44146</v>
      </c>
      <c r="C338" s="1" t="n">
        <v>45930</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10098-2022</t>
        </is>
      </c>
      <c r="B339" s="1" t="n">
        <v>44621</v>
      </c>
      <c r="C339" s="1" t="n">
        <v>45930</v>
      </c>
      <c r="D339" t="inlineStr">
        <is>
          <t>STOCKHOLMS LÄN</t>
        </is>
      </c>
      <c r="E339" t="inlineStr">
        <is>
          <t>NORRTÄLJE</t>
        </is>
      </c>
      <c r="G339" t="n">
        <v>2.2</v>
      </c>
      <c r="H339" t="n">
        <v>0</v>
      </c>
      <c r="I339" t="n">
        <v>0</v>
      </c>
      <c r="J339" t="n">
        <v>0</v>
      </c>
      <c r="K339" t="n">
        <v>0</v>
      </c>
      <c r="L339" t="n">
        <v>0</v>
      </c>
      <c r="M339" t="n">
        <v>0</v>
      </c>
      <c r="N339" t="n">
        <v>0</v>
      </c>
      <c r="O339" t="n">
        <v>0</v>
      </c>
      <c r="P339" t="n">
        <v>0</v>
      </c>
      <c r="Q339" t="n">
        <v>0</v>
      </c>
      <c r="R339" s="2" t="inlineStr"/>
    </row>
    <row r="340" ht="15" customHeight="1">
      <c r="A340" t="inlineStr">
        <is>
          <t>A 35110-2025</t>
        </is>
      </c>
      <c r="B340" s="1" t="n">
        <v>45852.58030092593</v>
      </c>
      <c r="C340" s="1" t="n">
        <v>45930</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45930</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45930</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16913-2025</t>
        </is>
      </c>
      <c r="B343" s="1" t="n">
        <v>45755.36583333334</v>
      </c>
      <c r="C343" s="1" t="n">
        <v>45930</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40228-2025</t>
        </is>
      </c>
      <c r="B344" s="1" t="n">
        <v>45894.70854166667</v>
      </c>
      <c r="C344" s="1" t="n">
        <v>45930</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51978-2023</t>
        </is>
      </c>
      <c r="B345" s="1" t="n">
        <v>45223</v>
      </c>
      <c r="C345" s="1" t="n">
        <v>45930</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13051-2021</t>
        </is>
      </c>
      <c r="B346" s="1" t="n">
        <v>44272</v>
      </c>
      <c r="C346" s="1" t="n">
        <v>45930</v>
      </c>
      <c r="D346" t="inlineStr">
        <is>
          <t>STOCKHOLMS LÄN</t>
        </is>
      </c>
      <c r="E346" t="inlineStr">
        <is>
          <t>NORRTÄLJE</t>
        </is>
      </c>
      <c r="G346" t="n">
        <v>9.1</v>
      </c>
      <c r="H346" t="n">
        <v>0</v>
      </c>
      <c r="I346" t="n">
        <v>0</v>
      </c>
      <c r="J346" t="n">
        <v>0</v>
      </c>
      <c r="K346" t="n">
        <v>0</v>
      </c>
      <c r="L346" t="n">
        <v>0</v>
      </c>
      <c r="M346" t="n">
        <v>0</v>
      </c>
      <c r="N346" t="n">
        <v>0</v>
      </c>
      <c r="O346" t="n">
        <v>0</v>
      </c>
      <c r="P346" t="n">
        <v>0</v>
      </c>
      <c r="Q346" t="n">
        <v>0</v>
      </c>
      <c r="R346" s="2" t="inlineStr"/>
    </row>
    <row r="347" ht="15" customHeight="1">
      <c r="A347" t="inlineStr">
        <is>
          <t>A 55755-2023</t>
        </is>
      </c>
      <c r="B347" s="1" t="n">
        <v>45239</v>
      </c>
      <c r="C347" s="1" t="n">
        <v>45930</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40230-2025</t>
        </is>
      </c>
      <c r="B348" s="1" t="n">
        <v>45894.71101851852</v>
      </c>
      <c r="C348" s="1" t="n">
        <v>45930</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45549-2022</t>
        </is>
      </c>
      <c r="B349" s="1" t="n">
        <v>44845.48064814815</v>
      </c>
      <c r="C349" s="1" t="n">
        <v>45930</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40292-2025</t>
        </is>
      </c>
      <c r="B350" s="1" t="n">
        <v>45895.3867824074</v>
      </c>
      <c r="C350" s="1" t="n">
        <v>45930</v>
      </c>
      <c r="D350" t="inlineStr">
        <is>
          <t>STOCKHOLMS LÄN</t>
        </is>
      </c>
      <c r="E350" t="inlineStr">
        <is>
          <t>NORRTÄLJE</t>
        </is>
      </c>
      <c r="G350" t="n">
        <v>3.5</v>
      </c>
      <c r="H350" t="n">
        <v>0</v>
      </c>
      <c r="I350" t="n">
        <v>0</v>
      </c>
      <c r="J350" t="n">
        <v>0</v>
      </c>
      <c r="K350" t="n">
        <v>0</v>
      </c>
      <c r="L350" t="n">
        <v>0</v>
      </c>
      <c r="M350" t="n">
        <v>0</v>
      </c>
      <c r="N350" t="n">
        <v>0</v>
      </c>
      <c r="O350" t="n">
        <v>0</v>
      </c>
      <c r="P350" t="n">
        <v>0</v>
      </c>
      <c r="Q350" t="n">
        <v>0</v>
      </c>
      <c r="R350" s="2" t="inlineStr"/>
    </row>
    <row r="351" ht="15" customHeight="1">
      <c r="A351" t="inlineStr">
        <is>
          <t>A 59499-2023</t>
        </is>
      </c>
      <c r="B351" s="1" t="n">
        <v>45254</v>
      </c>
      <c r="C351" s="1" t="n">
        <v>45930</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40761-2024</t>
        </is>
      </c>
      <c r="B352" s="1" t="n">
        <v>45558.46283564815</v>
      </c>
      <c r="C352" s="1" t="n">
        <v>45930</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60654-2023</t>
        </is>
      </c>
      <c r="B353" s="1" t="n">
        <v>45260.43225694444</v>
      </c>
      <c r="C353" s="1" t="n">
        <v>45930</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60656-2023</t>
        </is>
      </c>
      <c r="B354" s="1" t="n">
        <v>45260.4333449074</v>
      </c>
      <c r="C354" s="1" t="n">
        <v>45930</v>
      </c>
      <c r="D354" t="inlineStr">
        <is>
          <t>STOCKHOLMS LÄN</t>
        </is>
      </c>
      <c r="E354" t="inlineStr">
        <is>
          <t>NORRTÄLJE</t>
        </is>
      </c>
      <c r="G354" t="n">
        <v>4.8</v>
      </c>
      <c r="H354" t="n">
        <v>0</v>
      </c>
      <c r="I354" t="n">
        <v>0</v>
      </c>
      <c r="J354" t="n">
        <v>0</v>
      </c>
      <c r="K354" t="n">
        <v>0</v>
      </c>
      <c r="L354" t="n">
        <v>0</v>
      </c>
      <c r="M354" t="n">
        <v>0</v>
      </c>
      <c r="N354" t="n">
        <v>0</v>
      </c>
      <c r="O354" t="n">
        <v>0</v>
      </c>
      <c r="P354" t="n">
        <v>0</v>
      </c>
      <c r="Q354" t="n">
        <v>0</v>
      </c>
      <c r="R354" s="2" t="inlineStr"/>
    </row>
    <row r="355" ht="15" customHeight="1">
      <c r="A355" t="inlineStr">
        <is>
          <t>A 22697-2022</t>
        </is>
      </c>
      <c r="B355" s="1" t="n">
        <v>44714.56040509259</v>
      </c>
      <c r="C355" s="1" t="n">
        <v>45930</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49700-2023</t>
        </is>
      </c>
      <c r="B356" s="1" t="n">
        <v>45212</v>
      </c>
      <c r="C356" s="1" t="n">
        <v>45930</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23692-2024</t>
        </is>
      </c>
      <c r="B357" s="1" t="n">
        <v>45454.65774305556</v>
      </c>
      <c r="C357" s="1" t="n">
        <v>45930</v>
      </c>
      <c r="D357" t="inlineStr">
        <is>
          <t>STOCKHOLMS LÄN</t>
        </is>
      </c>
      <c r="E357" t="inlineStr">
        <is>
          <t>NORRTÄLJE</t>
        </is>
      </c>
      <c r="G357" t="n">
        <v>3.7</v>
      </c>
      <c r="H357" t="n">
        <v>0</v>
      </c>
      <c r="I357" t="n">
        <v>0</v>
      </c>
      <c r="J357" t="n">
        <v>0</v>
      </c>
      <c r="K357" t="n">
        <v>0</v>
      </c>
      <c r="L357" t="n">
        <v>0</v>
      </c>
      <c r="M357" t="n">
        <v>0</v>
      </c>
      <c r="N357" t="n">
        <v>0</v>
      </c>
      <c r="O357" t="n">
        <v>0</v>
      </c>
      <c r="P357" t="n">
        <v>0</v>
      </c>
      <c r="Q357" t="n">
        <v>0</v>
      </c>
      <c r="R357" s="2" t="inlineStr"/>
    </row>
    <row r="358" ht="15" customHeight="1">
      <c r="A358" t="inlineStr">
        <is>
          <t>A 35256-2025</t>
        </is>
      </c>
      <c r="B358" s="1" t="n">
        <v>45853</v>
      </c>
      <c r="C358" s="1" t="n">
        <v>45930</v>
      </c>
      <c r="D358" t="inlineStr">
        <is>
          <t>STOCKHOLMS LÄN</t>
        </is>
      </c>
      <c r="E358" t="inlineStr">
        <is>
          <t>NORRTÄLJE</t>
        </is>
      </c>
      <c r="G358" t="n">
        <v>6.4</v>
      </c>
      <c r="H358" t="n">
        <v>0</v>
      </c>
      <c r="I358" t="n">
        <v>0</v>
      </c>
      <c r="J358" t="n">
        <v>0</v>
      </c>
      <c r="K358" t="n">
        <v>0</v>
      </c>
      <c r="L358" t="n">
        <v>0</v>
      </c>
      <c r="M358" t="n">
        <v>0</v>
      </c>
      <c r="N358" t="n">
        <v>0</v>
      </c>
      <c r="O358" t="n">
        <v>0</v>
      </c>
      <c r="P358" t="n">
        <v>0</v>
      </c>
      <c r="Q358" t="n">
        <v>0</v>
      </c>
      <c r="R358" s="2" t="inlineStr"/>
    </row>
    <row r="359" ht="15" customHeight="1">
      <c r="A359" t="inlineStr">
        <is>
          <t>A 40294-2025</t>
        </is>
      </c>
      <c r="B359" s="1" t="n">
        <v>45895.38778935185</v>
      </c>
      <c r="C359" s="1" t="n">
        <v>45930</v>
      </c>
      <c r="D359" t="inlineStr">
        <is>
          <t>STOCKHOLMS LÄN</t>
        </is>
      </c>
      <c r="E359" t="inlineStr">
        <is>
          <t>NORRTÄLJE</t>
        </is>
      </c>
      <c r="G359" t="n">
        <v>0.9</v>
      </c>
      <c r="H359" t="n">
        <v>0</v>
      </c>
      <c r="I359" t="n">
        <v>0</v>
      </c>
      <c r="J359" t="n">
        <v>0</v>
      </c>
      <c r="K359" t="n">
        <v>0</v>
      </c>
      <c r="L359" t="n">
        <v>0</v>
      </c>
      <c r="M359" t="n">
        <v>0</v>
      </c>
      <c r="N359" t="n">
        <v>0</v>
      </c>
      <c r="O359" t="n">
        <v>0</v>
      </c>
      <c r="P359" t="n">
        <v>0</v>
      </c>
      <c r="Q359" t="n">
        <v>0</v>
      </c>
      <c r="R359" s="2" t="inlineStr"/>
    </row>
    <row r="360" ht="15" customHeight="1">
      <c r="A360" t="inlineStr">
        <is>
          <t>A 59875-2024</t>
        </is>
      </c>
      <c r="B360" s="1" t="n">
        <v>45640.58716435185</v>
      </c>
      <c r="C360" s="1" t="n">
        <v>45930</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35254-2025</t>
        </is>
      </c>
      <c r="B361" s="1" t="n">
        <v>45853</v>
      </c>
      <c r="C361" s="1" t="n">
        <v>45930</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45220-2024</t>
        </is>
      </c>
      <c r="B362" s="1" t="n">
        <v>45575</v>
      </c>
      <c r="C362" s="1" t="n">
        <v>45930</v>
      </c>
      <c r="D362" t="inlineStr">
        <is>
          <t>STOCKHOLMS LÄN</t>
        </is>
      </c>
      <c r="E362" t="inlineStr">
        <is>
          <t>NORRTÄLJE</t>
        </is>
      </c>
      <c r="G362" t="n">
        <v>4.3</v>
      </c>
      <c r="H362" t="n">
        <v>0</v>
      </c>
      <c r="I362" t="n">
        <v>0</v>
      </c>
      <c r="J362" t="n">
        <v>0</v>
      </c>
      <c r="K362" t="n">
        <v>0</v>
      </c>
      <c r="L362" t="n">
        <v>0</v>
      </c>
      <c r="M362" t="n">
        <v>0</v>
      </c>
      <c r="N362" t="n">
        <v>0</v>
      </c>
      <c r="O362" t="n">
        <v>0</v>
      </c>
      <c r="P362" t="n">
        <v>0</v>
      </c>
      <c r="Q362" t="n">
        <v>0</v>
      </c>
      <c r="R362" s="2" t="inlineStr"/>
    </row>
    <row r="363" ht="15" customHeight="1">
      <c r="A363" t="inlineStr">
        <is>
          <t>A 40529-2025</t>
        </is>
      </c>
      <c r="B363" s="1" t="n">
        <v>45896.38466435186</v>
      </c>
      <c r="C363" s="1" t="n">
        <v>45930</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40829-2025</t>
        </is>
      </c>
      <c r="B364" s="1" t="n">
        <v>45897.50802083333</v>
      </c>
      <c r="C364" s="1" t="n">
        <v>45930</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4658-2024</t>
        </is>
      </c>
      <c r="B365" s="1" t="n">
        <v>45328.46336805556</v>
      </c>
      <c r="C365" s="1" t="n">
        <v>45930</v>
      </c>
      <c r="D365" t="inlineStr">
        <is>
          <t>STOCKHOLMS LÄN</t>
        </is>
      </c>
      <c r="E365" t="inlineStr">
        <is>
          <t>NORRTÄLJE</t>
        </is>
      </c>
      <c r="G365" t="n">
        <v>2.8</v>
      </c>
      <c r="H365" t="n">
        <v>0</v>
      </c>
      <c r="I365" t="n">
        <v>0</v>
      </c>
      <c r="J365" t="n">
        <v>0</v>
      </c>
      <c r="K365" t="n">
        <v>0</v>
      </c>
      <c r="L365" t="n">
        <v>0</v>
      </c>
      <c r="M365" t="n">
        <v>0</v>
      </c>
      <c r="N365" t="n">
        <v>0</v>
      </c>
      <c r="O365" t="n">
        <v>0</v>
      </c>
      <c r="P365" t="n">
        <v>0</v>
      </c>
      <c r="Q365" t="n">
        <v>0</v>
      </c>
      <c r="R365" s="2" t="inlineStr"/>
    </row>
    <row r="366" ht="15" customHeight="1">
      <c r="A366" t="inlineStr">
        <is>
          <t>A 48145-2024</t>
        </is>
      </c>
      <c r="B366" s="1" t="n">
        <v>45589.6756712963</v>
      </c>
      <c r="C366" s="1" t="n">
        <v>45930</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37550-2022</t>
        </is>
      </c>
      <c r="B367" s="1" t="n">
        <v>44809</v>
      </c>
      <c r="C367" s="1" t="n">
        <v>45930</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40831-2025</t>
        </is>
      </c>
      <c r="B368" s="1" t="n">
        <v>45897.51077546296</v>
      </c>
      <c r="C368" s="1" t="n">
        <v>45930</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40837-2025</t>
        </is>
      </c>
      <c r="B369" s="1" t="n">
        <v>45897.51328703704</v>
      </c>
      <c r="C369" s="1" t="n">
        <v>45930</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35479-2025</t>
        </is>
      </c>
      <c r="B370" s="1" t="n">
        <v>45855.69387731481</v>
      </c>
      <c r="C370" s="1" t="n">
        <v>45930</v>
      </c>
      <c r="D370" t="inlineStr">
        <is>
          <t>STOCKHOLMS LÄN</t>
        </is>
      </c>
      <c r="E370" t="inlineStr">
        <is>
          <t>NORRTÄLJE</t>
        </is>
      </c>
      <c r="F370" t="inlineStr">
        <is>
          <t>Holmen skog AB</t>
        </is>
      </c>
      <c r="G370" t="n">
        <v>1.8</v>
      </c>
      <c r="H370" t="n">
        <v>0</v>
      </c>
      <c r="I370" t="n">
        <v>0</v>
      </c>
      <c r="J370" t="n">
        <v>0</v>
      </c>
      <c r="K370" t="n">
        <v>0</v>
      </c>
      <c r="L370" t="n">
        <v>0</v>
      </c>
      <c r="M370" t="n">
        <v>0</v>
      </c>
      <c r="N370" t="n">
        <v>0</v>
      </c>
      <c r="O370" t="n">
        <v>0</v>
      </c>
      <c r="P370" t="n">
        <v>0</v>
      </c>
      <c r="Q370" t="n">
        <v>0</v>
      </c>
      <c r="R370" s="2" t="inlineStr"/>
    </row>
    <row r="371" ht="15" customHeight="1">
      <c r="A371" t="inlineStr">
        <is>
          <t>A 48180-2023</t>
        </is>
      </c>
      <c r="B371" s="1" t="n">
        <v>45205</v>
      </c>
      <c r="C371" s="1" t="n">
        <v>45930</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41174-2025</t>
        </is>
      </c>
      <c r="B372" s="1" t="n">
        <v>45898.54921296296</v>
      </c>
      <c r="C372" s="1" t="n">
        <v>45930</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57353-2024</t>
        </is>
      </c>
      <c r="B373" s="1" t="n">
        <v>45629.65143518519</v>
      </c>
      <c r="C373" s="1" t="n">
        <v>45930</v>
      </c>
      <c r="D373" t="inlineStr">
        <is>
          <t>STOCKHOLMS LÄN</t>
        </is>
      </c>
      <c r="E373" t="inlineStr">
        <is>
          <t>NORRTÄLJE</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47431-2023</t>
        </is>
      </c>
      <c r="B374" s="1" t="n">
        <v>45202</v>
      </c>
      <c r="C374" s="1" t="n">
        <v>45930</v>
      </c>
      <c r="D374" t="inlineStr">
        <is>
          <t>STOCKHOLMS LÄN</t>
        </is>
      </c>
      <c r="E374" t="inlineStr">
        <is>
          <t>NORRTÄLJE</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41259-2025</t>
        </is>
      </c>
      <c r="B375" s="1" t="n">
        <v>45898.61054398148</v>
      </c>
      <c r="C375" s="1" t="n">
        <v>45930</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41275-2025</t>
        </is>
      </c>
      <c r="B376" s="1" t="n">
        <v>45898.62625</v>
      </c>
      <c r="C376" s="1" t="n">
        <v>45930</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41036-2025</t>
        </is>
      </c>
      <c r="B377" s="1" t="n">
        <v>45898.38552083333</v>
      </c>
      <c r="C377" s="1" t="n">
        <v>45930</v>
      </c>
      <c r="D377" t="inlineStr">
        <is>
          <t>STOCKHOLMS LÄN</t>
        </is>
      </c>
      <c r="E377" t="inlineStr">
        <is>
          <t>NORRTÄLJE</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41053-2025</t>
        </is>
      </c>
      <c r="B378" s="1" t="n">
        <v>45898.40480324074</v>
      </c>
      <c r="C378" s="1" t="n">
        <v>45930</v>
      </c>
      <c r="D378" t="inlineStr">
        <is>
          <t>STOCKHOLMS LÄN</t>
        </is>
      </c>
      <c r="E378" t="inlineStr">
        <is>
          <t>NORRTÄLJE</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10642-2025</t>
        </is>
      </c>
      <c r="B379" s="1" t="n">
        <v>45721.65858796296</v>
      </c>
      <c r="C379" s="1" t="n">
        <v>45930</v>
      </c>
      <c r="D379" t="inlineStr">
        <is>
          <t>STOCKHOLMS LÄN</t>
        </is>
      </c>
      <c r="E379" t="inlineStr">
        <is>
          <t>NORRTÄLJE</t>
        </is>
      </c>
      <c r="G379" t="n">
        <v>2.6</v>
      </c>
      <c r="H379" t="n">
        <v>0</v>
      </c>
      <c r="I379" t="n">
        <v>0</v>
      </c>
      <c r="J379" t="n">
        <v>0</v>
      </c>
      <c r="K379" t="n">
        <v>0</v>
      </c>
      <c r="L379" t="n">
        <v>0</v>
      </c>
      <c r="M379" t="n">
        <v>0</v>
      </c>
      <c r="N379" t="n">
        <v>0</v>
      </c>
      <c r="O379" t="n">
        <v>0</v>
      </c>
      <c r="P379" t="n">
        <v>0</v>
      </c>
      <c r="Q379" t="n">
        <v>0</v>
      </c>
      <c r="R379" s="2" t="inlineStr"/>
    </row>
    <row r="380" ht="15" customHeight="1">
      <c r="A380" t="inlineStr">
        <is>
          <t>A 41106-2025</t>
        </is>
      </c>
      <c r="B380" s="1" t="n">
        <v>45898.45636574074</v>
      </c>
      <c r="C380" s="1" t="n">
        <v>45930</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35451-2025</t>
        </is>
      </c>
      <c r="B381" s="1" t="n">
        <v>45855.57033564815</v>
      </c>
      <c r="C381" s="1" t="n">
        <v>45930</v>
      </c>
      <c r="D381" t="inlineStr">
        <is>
          <t>STOCKHOLMS LÄN</t>
        </is>
      </c>
      <c r="E381" t="inlineStr">
        <is>
          <t>NORRTÄLJE</t>
        </is>
      </c>
      <c r="F381" t="inlineStr">
        <is>
          <t>Holmen skog AB</t>
        </is>
      </c>
      <c r="G381" t="n">
        <v>7.4</v>
      </c>
      <c r="H381" t="n">
        <v>0</v>
      </c>
      <c r="I381" t="n">
        <v>0</v>
      </c>
      <c r="J381" t="n">
        <v>0</v>
      </c>
      <c r="K381" t="n">
        <v>0</v>
      </c>
      <c r="L381" t="n">
        <v>0</v>
      </c>
      <c r="M381" t="n">
        <v>0</v>
      </c>
      <c r="N381" t="n">
        <v>0</v>
      </c>
      <c r="O381" t="n">
        <v>0</v>
      </c>
      <c r="P381" t="n">
        <v>0</v>
      </c>
      <c r="Q381" t="n">
        <v>0</v>
      </c>
      <c r="R381" s="2" t="inlineStr"/>
    </row>
    <row r="382" ht="15" customHeight="1">
      <c r="A382" t="inlineStr">
        <is>
          <t>A 35478-2025</t>
        </is>
      </c>
      <c r="B382" s="1" t="n">
        <v>45855.68413194444</v>
      </c>
      <c r="C382" s="1" t="n">
        <v>45930</v>
      </c>
      <c r="D382" t="inlineStr">
        <is>
          <t>STOCKHOLMS LÄN</t>
        </is>
      </c>
      <c r="E382" t="inlineStr">
        <is>
          <t>NORRTÄLJE</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24024-2024</t>
        </is>
      </c>
      <c r="B383" s="1" t="n">
        <v>45456</v>
      </c>
      <c r="C383" s="1" t="n">
        <v>45930</v>
      </c>
      <c r="D383" t="inlineStr">
        <is>
          <t>STOCKHOLMS LÄN</t>
        </is>
      </c>
      <c r="E383" t="inlineStr">
        <is>
          <t>NORRTÄLJE</t>
        </is>
      </c>
      <c r="G383" t="n">
        <v>1.9</v>
      </c>
      <c r="H383" t="n">
        <v>0</v>
      </c>
      <c r="I383" t="n">
        <v>0</v>
      </c>
      <c r="J383" t="n">
        <v>0</v>
      </c>
      <c r="K383" t="n">
        <v>0</v>
      </c>
      <c r="L383" t="n">
        <v>0</v>
      </c>
      <c r="M383" t="n">
        <v>0</v>
      </c>
      <c r="N383" t="n">
        <v>0</v>
      </c>
      <c r="O383" t="n">
        <v>0</v>
      </c>
      <c r="P383" t="n">
        <v>0</v>
      </c>
      <c r="Q383" t="n">
        <v>0</v>
      </c>
      <c r="R383" s="2" t="inlineStr"/>
    </row>
    <row r="384" ht="15" customHeight="1">
      <c r="A384" t="inlineStr">
        <is>
          <t>A 23262-2023</t>
        </is>
      </c>
      <c r="B384" s="1" t="n">
        <v>45075.90270833333</v>
      </c>
      <c r="C384" s="1" t="n">
        <v>45930</v>
      </c>
      <c r="D384" t="inlineStr">
        <is>
          <t>STOCKHOLMS LÄN</t>
        </is>
      </c>
      <c r="E384" t="inlineStr">
        <is>
          <t>NORRTÄLJE</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23268-2023</t>
        </is>
      </c>
      <c r="B385" s="1" t="n">
        <v>45075.91042824074</v>
      </c>
      <c r="C385" s="1" t="n">
        <v>45930</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23270-2023</t>
        </is>
      </c>
      <c r="B386" s="1" t="n">
        <v>45075.91265046296</v>
      </c>
      <c r="C386" s="1" t="n">
        <v>45930</v>
      </c>
      <c r="D386" t="inlineStr">
        <is>
          <t>STOCKHOLMS LÄN</t>
        </is>
      </c>
      <c r="E386" t="inlineStr">
        <is>
          <t>NORRTÄLJE</t>
        </is>
      </c>
      <c r="G386" t="n">
        <v>12.3</v>
      </c>
      <c r="H386" t="n">
        <v>0</v>
      </c>
      <c r="I386" t="n">
        <v>0</v>
      </c>
      <c r="J386" t="n">
        <v>0</v>
      </c>
      <c r="K386" t="n">
        <v>0</v>
      </c>
      <c r="L386" t="n">
        <v>0</v>
      </c>
      <c r="M386" t="n">
        <v>0</v>
      </c>
      <c r="N386" t="n">
        <v>0</v>
      </c>
      <c r="O386" t="n">
        <v>0</v>
      </c>
      <c r="P386" t="n">
        <v>0</v>
      </c>
      <c r="Q386" t="n">
        <v>0</v>
      </c>
      <c r="R386" s="2" t="inlineStr"/>
    </row>
    <row r="387" ht="15" customHeight="1">
      <c r="A387" t="inlineStr">
        <is>
          <t>A 23274-2023</t>
        </is>
      </c>
      <c r="B387" s="1" t="n">
        <v>45075.92153935185</v>
      </c>
      <c r="C387" s="1" t="n">
        <v>45930</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55696-2022</t>
        </is>
      </c>
      <c r="B388" s="1" t="n">
        <v>44888</v>
      </c>
      <c r="C388" s="1" t="n">
        <v>45930</v>
      </c>
      <c r="D388" t="inlineStr">
        <is>
          <t>STOCKHOLMS LÄN</t>
        </is>
      </c>
      <c r="E388" t="inlineStr">
        <is>
          <t>NORRTÄLJE</t>
        </is>
      </c>
      <c r="G388" t="n">
        <v>2.2</v>
      </c>
      <c r="H388" t="n">
        <v>0</v>
      </c>
      <c r="I388" t="n">
        <v>0</v>
      </c>
      <c r="J388" t="n">
        <v>0</v>
      </c>
      <c r="K388" t="n">
        <v>0</v>
      </c>
      <c r="L388" t="n">
        <v>0</v>
      </c>
      <c r="M388" t="n">
        <v>0</v>
      </c>
      <c r="N388" t="n">
        <v>0</v>
      </c>
      <c r="O388" t="n">
        <v>0</v>
      </c>
      <c r="P388" t="n">
        <v>0</v>
      </c>
      <c r="Q388" t="n">
        <v>0</v>
      </c>
      <c r="R388" s="2" t="inlineStr"/>
    </row>
    <row r="389" ht="15" customHeight="1">
      <c r="A389" t="inlineStr">
        <is>
          <t>A 50907-2022</t>
        </is>
      </c>
      <c r="B389" s="1" t="n">
        <v>44867.62090277778</v>
      </c>
      <c r="C389" s="1" t="n">
        <v>45930</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41301-2025</t>
        </is>
      </c>
      <c r="B390" s="1" t="n">
        <v>45898.68826388889</v>
      </c>
      <c r="C390" s="1" t="n">
        <v>45930</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6919-2025</t>
        </is>
      </c>
      <c r="B391" s="1" t="n">
        <v>45701.44372685185</v>
      </c>
      <c r="C391" s="1" t="n">
        <v>45930</v>
      </c>
      <c r="D391" t="inlineStr">
        <is>
          <t>STOCKHOLMS LÄN</t>
        </is>
      </c>
      <c r="E391" t="inlineStr">
        <is>
          <t>NORRTÄLJE</t>
        </is>
      </c>
      <c r="G391" t="n">
        <v>3.5</v>
      </c>
      <c r="H391" t="n">
        <v>0</v>
      </c>
      <c r="I391" t="n">
        <v>0</v>
      </c>
      <c r="J391" t="n">
        <v>0</v>
      </c>
      <c r="K391" t="n">
        <v>0</v>
      </c>
      <c r="L391" t="n">
        <v>0</v>
      </c>
      <c r="M391" t="n">
        <v>0</v>
      </c>
      <c r="N391" t="n">
        <v>0</v>
      </c>
      <c r="O391" t="n">
        <v>0</v>
      </c>
      <c r="P391" t="n">
        <v>0</v>
      </c>
      <c r="Q391" t="n">
        <v>0</v>
      </c>
      <c r="R391" s="2" t="inlineStr"/>
    </row>
    <row r="392" ht="15" customHeight="1">
      <c r="A392" t="inlineStr">
        <is>
          <t>A 53362-2023</t>
        </is>
      </c>
      <c r="B392" s="1" t="n">
        <v>45223</v>
      </c>
      <c r="C392" s="1" t="n">
        <v>45930</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5732-2023</t>
        </is>
      </c>
      <c r="B393" s="1" t="n">
        <v>44962</v>
      </c>
      <c r="C393" s="1" t="n">
        <v>45930</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25609-2023</t>
        </is>
      </c>
      <c r="B394" s="1" t="n">
        <v>45089</v>
      </c>
      <c r="C394" s="1" t="n">
        <v>45930</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41110-2025</t>
        </is>
      </c>
      <c r="B395" s="1" t="n">
        <v>45898.45976851852</v>
      </c>
      <c r="C395" s="1" t="n">
        <v>45930</v>
      </c>
      <c r="D395" t="inlineStr">
        <is>
          <t>STOCKHOLMS LÄN</t>
        </is>
      </c>
      <c r="E395" t="inlineStr">
        <is>
          <t>NORRTÄLJE</t>
        </is>
      </c>
      <c r="F395" t="inlineStr">
        <is>
          <t>Holmen skog AB</t>
        </is>
      </c>
      <c r="G395" t="n">
        <v>6.7</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45930</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41030-2025</t>
        </is>
      </c>
      <c r="B397" s="1" t="n">
        <v>45898.37636574074</v>
      </c>
      <c r="C397" s="1" t="n">
        <v>45930</v>
      </c>
      <c r="D397" t="inlineStr">
        <is>
          <t>STOCKHOLMS LÄN</t>
        </is>
      </c>
      <c r="E397" t="inlineStr">
        <is>
          <t>NORRTÄLJE</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50569-2022</t>
        </is>
      </c>
      <c r="B398" s="1" t="n">
        <v>44866.63775462963</v>
      </c>
      <c r="C398" s="1" t="n">
        <v>45930</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41158-2025</t>
        </is>
      </c>
      <c r="B399" s="1" t="n">
        <v>45898.5315625</v>
      </c>
      <c r="C399" s="1" t="n">
        <v>45930</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41272-2025</t>
        </is>
      </c>
      <c r="B400" s="1" t="n">
        <v>45898.62373842593</v>
      </c>
      <c r="C400" s="1" t="n">
        <v>45930</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60321-2020</t>
        </is>
      </c>
      <c r="B401" s="1" t="n">
        <v>44152</v>
      </c>
      <c r="C401" s="1" t="n">
        <v>45930</v>
      </c>
      <c r="D401" t="inlineStr">
        <is>
          <t>STOCKHOLMS LÄN</t>
        </is>
      </c>
      <c r="E401" t="inlineStr">
        <is>
          <t>NORRTÄLJE</t>
        </is>
      </c>
      <c r="F401" t="inlineStr">
        <is>
          <t>Holmen skog AB</t>
        </is>
      </c>
      <c r="G401" t="n">
        <v>3.4</v>
      </c>
      <c r="H401" t="n">
        <v>0</v>
      </c>
      <c r="I401" t="n">
        <v>0</v>
      </c>
      <c r="J401" t="n">
        <v>0</v>
      </c>
      <c r="K401" t="n">
        <v>0</v>
      </c>
      <c r="L401" t="n">
        <v>0</v>
      </c>
      <c r="M401" t="n">
        <v>0</v>
      </c>
      <c r="N401" t="n">
        <v>0</v>
      </c>
      <c r="O401" t="n">
        <v>0</v>
      </c>
      <c r="P401" t="n">
        <v>0</v>
      </c>
      <c r="Q401" t="n">
        <v>0</v>
      </c>
      <c r="R401" s="2" t="inlineStr"/>
    </row>
    <row r="402" ht="15" customHeight="1">
      <c r="A402" t="inlineStr">
        <is>
          <t>A 22833-2024</t>
        </is>
      </c>
      <c r="B402" s="1" t="n">
        <v>45448.56746527777</v>
      </c>
      <c r="C402" s="1" t="n">
        <v>45930</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60224-2023</t>
        </is>
      </c>
      <c r="B403" s="1" t="n">
        <v>45257</v>
      </c>
      <c r="C403" s="1" t="n">
        <v>45930</v>
      </c>
      <c r="D403" t="inlineStr">
        <is>
          <t>STOCKHOLMS LÄN</t>
        </is>
      </c>
      <c r="E403" t="inlineStr">
        <is>
          <t>NORRTÄLJE</t>
        </is>
      </c>
      <c r="G403" t="n">
        <v>8.1</v>
      </c>
      <c r="H403" t="n">
        <v>0</v>
      </c>
      <c r="I403" t="n">
        <v>0</v>
      </c>
      <c r="J403" t="n">
        <v>0</v>
      </c>
      <c r="K403" t="n">
        <v>0</v>
      </c>
      <c r="L403" t="n">
        <v>0</v>
      </c>
      <c r="M403" t="n">
        <v>0</v>
      </c>
      <c r="N403" t="n">
        <v>0</v>
      </c>
      <c r="O403" t="n">
        <v>0</v>
      </c>
      <c r="P403" t="n">
        <v>0</v>
      </c>
      <c r="Q403" t="n">
        <v>0</v>
      </c>
      <c r="R403" s="2" t="inlineStr"/>
    </row>
    <row r="404" ht="15" customHeight="1">
      <c r="A404" t="inlineStr">
        <is>
          <t>A 35532-2024</t>
        </is>
      </c>
      <c r="B404" s="1" t="n">
        <v>45531</v>
      </c>
      <c r="C404" s="1" t="n">
        <v>45930</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17785-2024</t>
        </is>
      </c>
      <c r="B405" s="1" t="n">
        <v>45418.6968287037</v>
      </c>
      <c r="C405" s="1" t="n">
        <v>45930</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38720-2025</t>
        </is>
      </c>
      <c r="B406" s="1" t="n">
        <v>45886</v>
      </c>
      <c r="C406" s="1" t="n">
        <v>45930</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8433-2022</t>
        </is>
      </c>
      <c r="B407" s="1" t="n">
        <v>44611</v>
      </c>
      <c r="C407" s="1" t="n">
        <v>45930</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21291-2021</t>
        </is>
      </c>
      <c r="B408" s="1" t="n">
        <v>44319</v>
      </c>
      <c r="C408" s="1" t="n">
        <v>45930</v>
      </c>
      <c r="D408" t="inlineStr">
        <is>
          <t>STOCKHOLMS LÄN</t>
        </is>
      </c>
      <c r="E408" t="inlineStr">
        <is>
          <t>NORRTÄLJE</t>
        </is>
      </c>
      <c r="G408" t="n">
        <v>12.7</v>
      </c>
      <c r="H408" t="n">
        <v>0</v>
      </c>
      <c r="I408" t="n">
        <v>0</v>
      </c>
      <c r="J408" t="n">
        <v>0</v>
      </c>
      <c r="K408" t="n">
        <v>0</v>
      </c>
      <c r="L408" t="n">
        <v>0</v>
      </c>
      <c r="M408" t="n">
        <v>0</v>
      </c>
      <c r="N408" t="n">
        <v>0</v>
      </c>
      <c r="O408" t="n">
        <v>0</v>
      </c>
      <c r="P408" t="n">
        <v>0</v>
      </c>
      <c r="Q408" t="n">
        <v>0</v>
      </c>
      <c r="R408" s="2" t="inlineStr"/>
    </row>
    <row r="409" ht="15" customHeight="1">
      <c r="A409" t="inlineStr">
        <is>
          <t>A 19118-2022</t>
        </is>
      </c>
      <c r="B409" s="1" t="n">
        <v>44691.5652662037</v>
      </c>
      <c r="C409" s="1" t="n">
        <v>45930</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10215-2023</t>
        </is>
      </c>
      <c r="B410" s="1" t="n">
        <v>44986.5887962963</v>
      </c>
      <c r="C410" s="1" t="n">
        <v>45930</v>
      </c>
      <c r="D410" t="inlineStr">
        <is>
          <t>STOCKHOLMS LÄN</t>
        </is>
      </c>
      <c r="E410" t="inlineStr">
        <is>
          <t>NORRTÄLJE</t>
        </is>
      </c>
      <c r="G410" t="n">
        <v>6.5</v>
      </c>
      <c r="H410" t="n">
        <v>0</v>
      </c>
      <c r="I410" t="n">
        <v>0</v>
      </c>
      <c r="J410" t="n">
        <v>0</v>
      </c>
      <c r="K410" t="n">
        <v>0</v>
      </c>
      <c r="L410" t="n">
        <v>0</v>
      </c>
      <c r="M410" t="n">
        <v>0</v>
      </c>
      <c r="N410" t="n">
        <v>0</v>
      </c>
      <c r="O410" t="n">
        <v>0</v>
      </c>
      <c r="P410" t="n">
        <v>0</v>
      </c>
      <c r="Q410" t="n">
        <v>0</v>
      </c>
      <c r="R410" s="2" t="inlineStr"/>
    </row>
    <row r="411" ht="15" customHeight="1">
      <c r="A411" t="inlineStr">
        <is>
          <t>A 22421-2021</t>
        </is>
      </c>
      <c r="B411" s="1" t="n">
        <v>44326</v>
      </c>
      <c r="C411" s="1" t="n">
        <v>45930</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19058-2023</t>
        </is>
      </c>
      <c r="B412" s="1" t="n">
        <v>45048</v>
      </c>
      <c r="C412" s="1" t="n">
        <v>45930</v>
      </c>
      <c r="D412" t="inlineStr">
        <is>
          <t>STOCKHOLMS LÄN</t>
        </is>
      </c>
      <c r="E412" t="inlineStr">
        <is>
          <t>NORRTÄLJE</t>
        </is>
      </c>
      <c r="G412" t="n">
        <v>3.7</v>
      </c>
      <c r="H412" t="n">
        <v>0</v>
      </c>
      <c r="I412" t="n">
        <v>0</v>
      </c>
      <c r="J412" t="n">
        <v>0</v>
      </c>
      <c r="K412" t="n">
        <v>0</v>
      </c>
      <c r="L412" t="n">
        <v>0</v>
      </c>
      <c r="M412" t="n">
        <v>0</v>
      </c>
      <c r="N412" t="n">
        <v>0</v>
      </c>
      <c r="O412" t="n">
        <v>0</v>
      </c>
      <c r="P412" t="n">
        <v>0</v>
      </c>
      <c r="Q412" t="n">
        <v>0</v>
      </c>
      <c r="R412" s="2" t="inlineStr"/>
    </row>
    <row r="413" ht="15" customHeight="1">
      <c r="A413" t="inlineStr">
        <is>
          <t>A 59893-2022</t>
        </is>
      </c>
      <c r="B413" s="1" t="n">
        <v>44908.77368055555</v>
      </c>
      <c r="C413" s="1" t="n">
        <v>45930</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29684-2021</t>
        </is>
      </c>
      <c r="B414" s="1" t="n">
        <v>44362.37172453704</v>
      </c>
      <c r="C414" s="1" t="n">
        <v>45930</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21386-2023</t>
        </is>
      </c>
      <c r="B415" s="1" t="n">
        <v>45063.35880787037</v>
      </c>
      <c r="C415" s="1" t="n">
        <v>45930</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4593-2023</t>
        </is>
      </c>
      <c r="B416" s="1" t="n">
        <v>44956</v>
      </c>
      <c r="C416" s="1" t="n">
        <v>45930</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9469-2021</t>
        </is>
      </c>
      <c r="B417" s="1" t="n">
        <v>44251</v>
      </c>
      <c r="C417" s="1" t="n">
        <v>45930</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41964-2025</t>
        </is>
      </c>
      <c r="B418" s="1" t="n">
        <v>45903.47270833333</v>
      </c>
      <c r="C418" s="1" t="n">
        <v>45930</v>
      </c>
      <c r="D418" t="inlineStr">
        <is>
          <t>STOCKHOLMS LÄN</t>
        </is>
      </c>
      <c r="E418" t="inlineStr">
        <is>
          <t>NORRTÄLJE</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54396-2021</t>
        </is>
      </c>
      <c r="B419" s="1" t="n">
        <v>44472</v>
      </c>
      <c r="C419" s="1" t="n">
        <v>45930</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33226-2024</t>
        </is>
      </c>
      <c r="B420" s="1" t="n">
        <v>45518</v>
      </c>
      <c r="C420" s="1" t="n">
        <v>45930</v>
      </c>
      <c r="D420" t="inlineStr">
        <is>
          <t>STOCKHOLMS LÄN</t>
        </is>
      </c>
      <c r="E420" t="inlineStr">
        <is>
          <t>NORRTÄLJE</t>
        </is>
      </c>
      <c r="G420" t="n">
        <v>13.8</v>
      </c>
      <c r="H420" t="n">
        <v>0</v>
      </c>
      <c r="I420" t="n">
        <v>0</v>
      </c>
      <c r="J420" t="n">
        <v>0</v>
      </c>
      <c r="K420" t="n">
        <v>0</v>
      </c>
      <c r="L420" t="n">
        <v>0</v>
      </c>
      <c r="M420" t="n">
        <v>0</v>
      </c>
      <c r="N420" t="n">
        <v>0</v>
      </c>
      <c r="O420" t="n">
        <v>0</v>
      </c>
      <c r="P420" t="n">
        <v>0</v>
      </c>
      <c r="Q420" t="n">
        <v>0</v>
      </c>
      <c r="R420" s="2" t="inlineStr"/>
    </row>
    <row r="421" ht="15" customHeight="1">
      <c r="A421" t="inlineStr">
        <is>
          <t>A 14127-2025</t>
        </is>
      </c>
      <c r="B421" s="1" t="n">
        <v>45740.47055555556</v>
      </c>
      <c r="C421" s="1" t="n">
        <v>45930</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42038-2025</t>
        </is>
      </c>
      <c r="B422" s="1" t="n">
        <v>45903.61431712963</v>
      </c>
      <c r="C422" s="1" t="n">
        <v>45930</v>
      </c>
      <c r="D422" t="inlineStr">
        <is>
          <t>STOCKHOLMS LÄN</t>
        </is>
      </c>
      <c r="E422" t="inlineStr">
        <is>
          <t>NORRTÄLJE</t>
        </is>
      </c>
      <c r="F422" t="inlineStr">
        <is>
          <t>Sveaskog</t>
        </is>
      </c>
      <c r="G422" t="n">
        <v>6.4</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45930</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32071-2023</t>
        </is>
      </c>
      <c r="B424" s="1" t="n">
        <v>45119.57728009259</v>
      </c>
      <c r="C424" s="1" t="n">
        <v>45930</v>
      </c>
      <c r="D424" t="inlineStr">
        <is>
          <t>STOCKHOLMS LÄN</t>
        </is>
      </c>
      <c r="E424" t="inlineStr">
        <is>
          <t>NORRTÄLJE</t>
        </is>
      </c>
      <c r="G424" t="n">
        <v>6.5</v>
      </c>
      <c r="H424" t="n">
        <v>0</v>
      </c>
      <c r="I424" t="n">
        <v>0</v>
      </c>
      <c r="J424" t="n">
        <v>0</v>
      </c>
      <c r="K424" t="n">
        <v>0</v>
      </c>
      <c r="L424" t="n">
        <v>0</v>
      </c>
      <c r="M424" t="n">
        <v>0</v>
      </c>
      <c r="N424" t="n">
        <v>0</v>
      </c>
      <c r="O424" t="n">
        <v>0</v>
      </c>
      <c r="P424" t="n">
        <v>0</v>
      </c>
      <c r="Q424" t="n">
        <v>0</v>
      </c>
      <c r="R424" s="2" t="inlineStr"/>
    </row>
    <row r="425" ht="15" customHeight="1">
      <c r="A425" t="inlineStr">
        <is>
          <t>A 52001-2023</t>
        </is>
      </c>
      <c r="B425" s="1" t="n">
        <v>45223</v>
      </c>
      <c r="C425" s="1" t="n">
        <v>45930</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41966-2025</t>
        </is>
      </c>
      <c r="B426" s="1" t="n">
        <v>45903.47456018518</v>
      </c>
      <c r="C426" s="1" t="n">
        <v>45930</v>
      </c>
      <c r="D426" t="inlineStr">
        <is>
          <t>STOCKHOLMS LÄN</t>
        </is>
      </c>
      <c r="E426" t="inlineStr">
        <is>
          <t>NORRTÄLJE</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25681-2024</t>
        </is>
      </c>
      <c r="B427" s="1" t="n">
        <v>45463.80486111111</v>
      </c>
      <c r="C427" s="1" t="n">
        <v>45930</v>
      </c>
      <c r="D427" t="inlineStr">
        <is>
          <t>STOCKHOLMS LÄN</t>
        </is>
      </c>
      <c r="E427" t="inlineStr">
        <is>
          <t>NORRTÄLJE</t>
        </is>
      </c>
      <c r="G427" t="n">
        <v>2.7</v>
      </c>
      <c r="H427" t="n">
        <v>0</v>
      </c>
      <c r="I427" t="n">
        <v>0</v>
      </c>
      <c r="J427" t="n">
        <v>0</v>
      </c>
      <c r="K427" t="n">
        <v>0</v>
      </c>
      <c r="L427" t="n">
        <v>0</v>
      </c>
      <c r="M427" t="n">
        <v>0</v>
      </c>
      <c r="N427" t="n">
        <v>0</v>
      </c>
      <c r="O427" t="n">
        <v>0</v>
      </c>
      <c r="P427" t="n">
        <v>0</v>
      </c>
      <c r="Q427" t="n">
        <v>0</v>
      </c>
      <c r="R427" s="2" t="inlineStr"/>
    </row>
    <row r="428" ht="15" customHeight="1">
      <c r="A428" t="inlineStr">
        <is>
          <t>A 16980-2023</t>
        </is>
      </c>
      <c r="B428" s="1" t="n">
        <v>45033</v>
      </c>
      <c r="C428" s="1" t="n">
        <v>45930</v>
      </c>
      <c r="D428" t="inlineStr">
        <is>
          <t>STOCKHOLMS LÄN</t>
        </is>
      </c>
      <c r="E428" t="inlineStr">
        <is>
          <t>NORRTÄLJE</t>
        </is>
      </c>
      <c r="G428" t="n">
        <v>2.3</v>
      </c>
      <c r="H428" t="n">
        <v>0</v>
      </c>
      <c r="I428" t="n">
        <v>0</v>
      </c>
      <c r="J428" t="n">
        <v>0</v>
      </c>
      <c r="K428" t="n">
        <v>0</v>
      </c>
      <c r="L428" t="n">
        <v>0</v>
      </c>
      <c r="M428" t="n">
        <v>0</v>
      </c>
      <c r="N428" t="n">
        <v>0</v>
      </c>
      <c r="O428" t="n">
        <v>0</v>
      </c>
      <c r="P428" t="n">
        <v>0</v>
      </c>
      <c r="Q428" t="n">
        <v>0</v>
      </c>
      <c r="R428" s="2" t="inlineStr"/>
    </row>
    <row r="429" ht="15" customHeight="1">
      <c r="A429" t="inlineStr">
        <is>
          <t>A 24245-2024</t>
        </is>
      </c>
      <c r="B429" s="1" t="n">
        <v>45457</v>
      </c>
      <c r="C429" s="1" t="n">
        <v>45930</v>
      </c>
      <c r="D429" t="inlineStr">
        <is>
          <t>STOCKHOLMS LÄN</t>
        </is>
      </c>
      <c r="E429" t="inlineStr">
        <is>
          <t>NORRTÄLJE</t>
        </is>
      </c>
      <c r="F429" t="inlineStr">
        <is>
          <t>Holmen skog AB</t>
        </is>
      </c>
      <c r="G429" t="n">
        <v>3.4</v>
      </c>
      <c r="H429" t="n">
        <v>0</v>
      </c>
      <c r="I429" t="n">
        <v>0</v>
      </c>
      <c r="J429" t="n">
        <v>0</v>
      </c>
      <c r="K429" t="n">
        <v>0</v>
      </c>
      <c r="L429" t="n">
        <v>0</v>
      </c>
      <c r="M429" t="n">
        <v>0</v>
      </c>
      <c r="N429" t="n">
        <v>0</v>
      </c>
      <c r="O429" t="n">
        <v>0</v>
      </c>
      <c r="P429" t="n">
        <v>0</v>
      </c>
      <c r="Q429" t="n">
        <v>0</v>
      </c>
      <c r="R429" s="2" t="inlineStr"/>
    </row>
    <row r="430" ht="15" customHeight="1">
      <c r="A430" t="inlineStr">
        <is>
          <t>A 26115-2024</t>
        </is>
      </c>
      <c r="B430" s="1" t="n">
        <v>45468.45628472222</v>
      </c>
      <c r="C430" s="1" t="n">
        <v>45930</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31107-2022</t>
        </is>
      </c>
      <c r="B431" s="1" t="n">
        <v>44769.66864583334</v>
      </c>
      <c r="C431" s="1" t="n">
        <v>45930</v>
      </c>
      <c r="D431" t="inlineStr">
        <is>
          <t>STOCKHOLMS LÄN</t>
        </is>
      </c>
      <c r="E431" t="inlineStr">
        <is>
          <t>NORRTÄLJE</t>
        </is>
      </c>
      <c r="G431" t="n">
        <v>3.8</v>
      </c>
      <c r="H431" t="n">
        <v>0</v>
      </c>
      <c r="I431" t="n">
        <v>0</v>
      </c>
      <c r="J431" t="n">
        <v>0</v>
      </c>
      <c r="K431" t="n">
        <v>0</v>
      </c>
      <c r="L431" t="n">
        <v>0</v>
      </c>
      <c r="M431" t="n">
        <v>0</v>
      </c>
      <c r="N431" t="n">
        <v>0</v>
      </c>
      <c r="O431" t="n">
        <v>0</v>
      </c>
      <c r="P431" t="n">
        <v>0</v>
      </c>
      <c r="Q431" t="n">
        <v>0</v>
      </c>
      <c r="R431" s="2" t="inlineStr"/>
    </row>
    <row r="432" ht="15" customHeight="1">
      <c r="A432" t="inlineStr">
        <is>
          <t>A 22456-2023</t>
        </is>
      </c>
      <c r="B432" s="1" t="n">
        <v>45070</v>
      </c>
      <c r="C432" s="1" t="n">
        <v>45930</v>
      </c>
      <c r="D432" t="inlineStr">
        <is>
          <t>STOCKHOLMS LÄN</t>
        </is>
      </c>
      <c r="E432" t="inlineStr">
        <is>
          <t>NORRTÄLJE</t>
        </is>
      </c>
      <c r="G432" t="n">
        <v>3.1</v>
      </c>
      <c r="H432" t="n">
        <v>0</v>
      </c>
      <c r="I432" t="n">
        <v>0</v>
      </c>
      <c r="J432" t="n">
        <v>0</v>
      </c>
      <c r="K432" t="n">
        <v>0</v>
      </c>
      <c r="L432" t="n">
        <v>0</v>
      </c>
      <c r="M432" t="n">
        <v>0</v>
      </c>
      <c r="N432" t="n">
        <v>0</v>
      </c>
      <c r="O432" t="n">
        <v>0</v>
      </c>
      <c r="P432" t="n">
        <v>0</v>
      </c>
      <c r="Q432" t="n">
        <v>0</v>
      </c>
      <c r="R432" s="2" t="inlineStr"/>
    </row>
    <row r="433" ht="15" customHeight="1">
      <c r="A433" t="inlineStr">
        <is>
          <t>A 18539-2021</t>
        </is>
      </c>
      <c r="B433" s="1" t="n">
        <v>44306</v>
      </c>
      <c r="C433" s="1" t="n">
        <v>45930</v>
      </c>
      <c r="D433" t="inlineStr">
        <is>
          <t>STOCKHOLMS LÄN</t>
        </is>
      </c>
      <c r="E433" t="inlineStr">
        <is>
          <t>NORRTÄLJE</t>
        </is>
      </c>
      <c r="F433" t="inlineStr">
        <is>
          <t>Holmen skog AB</t>
        </is>
      </c>
      <c r="G433" t="n">
        <v>5.5</v>
      </c>
      <c r="H433" t="n">
        <v>0</v>
      </c>
      <c r="I433" t="n">
        <v>0</v>
      </c>
      <c r="J433" t="n">
        <v>0</v>
      </c>
      <c r="K433" t="n">
        <v>0</v>
      </c>
      <c r="L433" t="n">
        <v>0</v>
      </c>
      <c r="M433" t="n">
        <v>0</v>
      </c>
      <c r="N433" t="n">
        <v>0</v>
      </c>
      <c r="O433" t="n">
        <v>0</v>
      </c>
      <c r="P433" t="n">
        <v>0</v>
      </c>
      <c r="Q433" t="n">
        <v>0</v>
      </c>
      <c r="R433" s="2" t="inlineStr"/>
    </row>
    <row r="434" ht="15" customHeight="1">
      <c r="A434" t="inlineStr">
        <is>
          <t>A 43170-2023</t>
        </is>
      </c>
      <c r="B434" s="1" t="n">
        <v>45183</v>
      </c>
      <c r="C434" s="1" t="n">
        <v>45930</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54273-2021</t>
        </is>
      </c>
      <c r="B435" s="1" t="n">
        <v>44470.72987268519</v>
      </c>
      <c r="C435" s="1" t="n">
        <v>45930</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43212-2022</t>
        </is>
      </c>
      <c r="B436" s="1" t="n">
        <v>44834.38636574074</v>
      </c>
      <c r="C436" s="1" t="n">
        <v>45930</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51720-2020</t>
        </is>
      </c>
      <c r="B437" s="1" t="n">
        <v>44113</v>
      </c>
      <c r="C437" s="1" t="n">
        <v>45930</v>
      </c>
      <c r="D437" t="inlineStr">
        <is>
          <t>STOCKHOLMS LÄN</t>
        </is>
      </c>
      <c r="E437" t="inlineStr">
        <is>
          <t>NORRTÄLJE</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19580-2022</t>
        </is>
      </c>
      <c r="B438" s="1" t="n">
        <v>44693</v>
      </c>
      <c r="C438" s="1" t="n">
        <v>45930</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47626-2022</t>
        </is>
      </c>
      <c r="B439" s="1" t="n">
        <v>44854</v>
      </c>
      <c r="C439" s="1" t="n">
        <v>45930</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32101-2022</t>
        </is>
      </c>
      <c r="B440" s="1" t="n">
        <v>44778.69210648148</v>
      </c>
      <c r="C440" s="1" t="n">
        <v>45930</v>
      </c>
      <c r="D440" t="inlineStr">
        <is>
          <t>STOCKHOLMS LÄN</t>
        </is>
      </c>
      <c r="E440" t="inlineStr">
        <is>
          <t>NORRTÄLJE</t>
        </is>
      </c>
      <c r="G440" t="n">
        <v>4.4</v>
      </c>
      <c r="H440" t="n">
        <v>0</v>
      </c>
      <c r="I440" t="n">
        <v>0</v>
      </c>
      <c r="J440" t="n">
        <v>0</v>
      </c>
      <c r="K440" t="n">
        <v>0</v>
      </c>
      <c r="L440" t="n">
        <v>0</v>
      </c>
      <c r="M440" t="n">
        <v>0</v>
      </c>
      <c r="N440" t="n">
        <v>0</v>
      </c>
      <c r="O440" t="n">
        <v>0</v>
      </c>
      <c r="P440" t="n">
        <v>0</v>
      </c>
      <c r="Q440" t="n">
        <v>0</v>
      </c>
      <c r="R440" s="2" t="inlineStr"/>
    </row>
    <row r="441" ht="15" customHeight="1">
      <c r="A441" t="inlineStr">
        <is>
          <t>A 28365-2022</t>
        </is>
      </c>
      <c r="B441" s="1" t="n">
        <v>44747</v>
      </c>
      <c r="C441" s="1" t="n">
        <v>45930</v>
      </c>
      <c r="D441" t="inlineStr">
        <is>
          <t>STOCKHOLMS LÄN</t>
        </is>
      </c>
      <c r="E441" t="inlineStr">
        <is>
          <t>NORRTÄLJE</t>
        </is>
      </c>
      <c r="G441" t="n">
        <v>5.1</v>
      </c>
      <c r="H441" t="n">
        <v>0</v>
      </c>
      <c r="I441" t="n">
        <v>0</v>
      </c>
      <c r="J441" t="n">
        <v>0</v>
      </c>
      <c r="K441" t="n">
        <v>0</v>
      </c>
      <c r="L441" t="n">
        <v>0</v>
      </c>
      <c r="M441" t="n">
        <v>0</v>
      </c>
      <c r="N441" t="n">
        <v>0</v>
      </c>
      <c r="O441" t="n">
        <v>0</v>
      </c>
      <c r="P441" t="n">
        <v>0</v>
      </c>
      <c r="Q441" t="n">
        <v>0</v>
      </c>
      <c r="R441" s="2" t="inlineStr"/>
    </row>
    <row r="442" ht="15" customHeight="1">
      <c r="A442" t="inlineStr">
        <is>
          <t>A 5823-2023</t>
        </is>
      </c>
      <c r="B442" s="1" t="n">
        <v>44963</v>
      </c>
      <c r="C442" s="1" t="n">
        <v>45930</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30731-2023</t>
        </is>
      </c>
      <c r="B443" s="1" t="n">
        <v>45112</v>
      </c>
      <c r="C443" s="1" t="n">
        <v>45930</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39152-2025</t>
        </is>
      </c>
      <c r="B444" s="1" t="n">
        <v>45888</v>
      </c>
      <c r="C444" s="1" t="n">
        <v>45930</v>
      </c>
      <c r="D444" t="inlineStr">
        <is>
          <t>STOCKHOLMS LÄN</t>
        </is>
      </c>
      <c r="E444" t="inlineStr">
        <is>
          <t>NORRTÄLJE</t>
        </is>
      </c>
      <c r="G444" t="n">
        <v>4.6</v>
      </c>
      <c r="H444" t="n">
        <v>0</v>
      </c>
      <c r="I444" t="n">
        <v>0</v>
      </c>
      <c r="J444" t="n">
        <v>0</v>
      </c>
      <c r="K444" t="n">
        <v>0</v>
      </c>
      <c r="L444" t="n">
        <v>0</v>
      </c>
      <c r="M444" t="n">
        <v>0</v>
      </c>
      <c r="N444" t="n">
        <v>0</v>
      </c>
      <c r="O444" t="n">
        <v>0</v>
      </c>
      <c r="P444" t="n">
        <v>0</v>
      </c>
      <c r="Q444" t="n">
        <v>0</v>
      </c>
      <c r="R444" s="2" t="inlineStr"/>
    </row>
    <row r="445" ht="15" customHeight="1">
      <c r="A445" t="inlineStr">
        <is>
          <t>A 20698-2025</t>
        </is>
      </c>
      <c r="B445" s="1" t="n">
        <v>45776.47122685185</v>
      </c>
      <c r="C445" s="1" t="n">
        <v>45930</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42867-2022</t>
        </is>
      </c>
      <c r="B446" s="1" t="n">
        <v>44832</v>
      </c>
      <c r="C446" s="1" t="n">
        <v>45930</v>
      </c>
      <c r="D446" t="inlineStr">
        <is>
          <t>STOCKHOLMS LÄN</t>
        </is>
      </c>
      <c r="E446" t="inlineStr">
        <is>
          <t>NORRTÄLJE</t>
        </is>
      </c>
      <c r="G446" t="n">
        <v>6.4</v>
      </c>
      <c r="H446" t="n">
        <v>0</v>
      </c>
      <c r="I446" t="n">
        <v>0</v>
      </c>
      <c r="J446" t="n">
        <v>0</v>
      </c>
      <c r="K446" t="n">
        <v>0</v>
      </c>
      <c r="L446" t="n">
        <v>0</v>
      </c>
      <c r="M446" t="n">
        <v>0</v>
      </c>
      <c r="N446" t="n">
        <v>0</v>
      </c>
      <c r="O446" t="n">
        <v>0</v>
      </c>
      <c r="P446" t="n">
        <v>0</v>
      </c>
      <c r="Q446" t="n">
        <v>0</v>
      </c>
      <c r="R446" s="2" t="inlineStr"/>
    </row>
    <row r="447" ht="15" customHeight="1">
      <c r="A447" t="inlineStr">
        <is>
          <t>A 11988-2021</t>
        </is>
      </c>
      <c r="B447" s="1" t="n">
        <v>44266</v>
      </c>
      <c r="C447" s="1" t="n">
        <v>45930</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12132-2021</t>
        </is>
      </c>
      <c r="B448" s="1" t="n">
        <v>44266</v>
      </c>
      <c r="C448" s="1" t="n">
        <v>45930</v>
      </c>
      <c r="D448" t="inlineStr">
        <is>
          <t>STOCKHOLMS LÄN</t>
        </is>
      </c>
      <c r="E448" t="inlineStr">
        <is>
          <t>NORRTÄLJE</t>
        </is>
      </c>
      <c r="G448" t="n">
        <v>4</v>
      </c>
      <c r="H448" t="n">
        <v>0</v>
      </c>
      <c r="I448" t="n">
        <v>0</v>
      </c>
      <c r="J448" t="n">
        <v>0</v>
      </c>
      <c r="K448" t="n">
        <v>0</v>
      </c>
      <c r="L448" t="n">
        <v>0</v>
      </c>
      <c r="M448" t="n">
        <v>0</v>
      </c>
      <c r="N448" t="n">
        <v>0</v>
      </c>
      <c r="O448" t="n">
        <v>0</v>
      </c>
      <c r="P448" t="n">
        <v>0</v>
      </c>
      <c r="Q448" t="n">
        <v>0</v>
      </c>
      <c r="R448" s="2" t="inlineStr"/>
    </row>
    <row r="449" ht="15" customHeight="1">
      <c r="A449" t="inlineStr">
        <is>
          <t>A 5645-2023</t>
        </is>
      </c>
      <c r="B449" s="1" t="n">
        <v>44960.60469907407</v>
      </c>
      <c r="C449" s="1" t="n">
        <v>45930</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51653-2022</t>
        </is>
      </c>
      <c r="B450" s="1" t="n">
        <v>44867</v>
      </c>
      <c r="C450" s="1" t="n">
        <v>45930</v>
      </c>
      <c r="D450" t="inlineStr">
        <is>
          <t>STOCKHOLMS LÄN</t>
        </is>
      </c>
      <c r="E450" t="inlineStr">
        <is>
          <t>NORRTÄLJE</t>
        </is>
      </c>
      <c r="G450" t="n">
        <v>6.6</v>
      </c>
      <c r="H450" t="n">
        <v>0</v>
      </c>
      <c r="I450" t="n">
        <v>0</v>
      </c>
      <c r="J450" t="n">
        <v>0</v>
      </c>
      <c r="K450" t="n">
        <v>0</v>
      </c>
      <c r="L450" t="n">
        <v>0</v>
      </c>
      <c r="M450" t="n">
        <v>0</v>
      </c>
      <c r="N450" t="n">
        <v>0</v>
      </c>
      <c r="O450" t="n">
        <v>0</v>
      </c>
      <c r="P450" t="n">
        <v>0</v>
      </c>
      <c r="Q450" t="n">
        <v>0</v>
      </c>
      <c r="R450" s="2" t="inlineStr"/>
    </row>
    <row r="451" ht="15" customHeight="1">
      <c r="A451" t="inlineStr">
        <is>
          <t>A 36396-2025</t>
        </is>
      </c>
      <c r="B451" s="1" t="n">
        <v>45868.62267361111</v>
      </c>
      <c r="C451" s="1" t="n">
        <v>45930</v>
      </c>
      <c r="D451" t="inlineStr">
        <is>
          <t>STOCKHOLMS LÄN</t>
        </is>
      </c>
      <c r="E451" t="inlineStr">
        <is>
          <t>NORRTÄLJE</t>
        </is>
      </c>
      <c r="G451" t="n">
        <v>4.1</v>
      </c>
      <c r="H451" t="n">
        <v>0</v>
      </c>
      <c r="I451" t="n">
        <v>0</v>
      </c>
      <c r="J451" t="n">
        <v>0</v>
      </c>
      <c r="K451" t="n">
        <v>0</v>
      </c>
      <c r="L451" t="n">
        <v>0</v>
      </c>
      <c r="M451" t="n">
        <v>0</v>
      </c>
      <c r="N451" t="n">
        <v>0</v>
      </c>
      <c r="O451" t="n">
        <v>0</v>
      </c>
      <c r="P451" t="n">
        <v>0</v>
      </c>
      <c r="Q451" t="n">
        <v>0</v>
      </c>
      <c r="R451" s="2" t="inlineStr"/>
    </row>
    <row r="452" ht="15" customHeight="1">
      <c r="A452" t="inlineStr">
        <is>
          <t>A 32103-2022</t>
        </is>
      </c>
      <c r="B452" s="1" t="n">
        <v>44778</v>
      </c>
      <c r="C452" s="1" t="n">
        <v>45930</v>
      </c>
      <c r="D452" t="inlineStr">
        <is>
          <t>STOCKHOLMS LÄN</t>
        </is>
      </c>
      <c r="E452" t="inlineStr">
        <is>
          <t>NORRTÄLJE</t>
        </is>
      </c>
      <c r="G452" t="n">
        <v>3.4</v>
      </c>
      <c r="H452" t="n">
        <v>0</v>
      </c>
      <c r="I452" t="n">
        <v>0</v>
      </c>
      <c r="J452" t="n">
        <v>0</v>
      </c>
      <c r="K452" t="n">
        <v>0</v>
      </c>
      <c r="L452" t="n">
        <v>0</v>
      </c>
      <c r="M452" t="n">
        <v>0</v>
      </c>
      <c r="N452" t="n">
        <v>0</v>
      </c>
      <c r="O452" t="n">
        <v>0</v>
      </c>
      <c r="P452" t="n">
        <v>0</v>
      </c>
      <c r="Q452" t="n">
        <v>0</v>
      </c>
      <c r="R452" s="2" t="inlineStr"/>
    </row>
    <row r="453" ht="15" customHeight="1">
      <c r="A453" t="inlineStr">
        <is>
          <t>A 55952-2024</t>
        </is>
      </c>
      <c r="B453" s="1" t="n">
        <v>45623.62563657408</v>
      </c>
      <c r="C453" s="1" t="n">
        <v>45930</v>
      </c>
      <c r="D453" t="inlineStr">
        <is>
          <t>STOCKHOLMS LÄN</t>
        </is>
      </c>
      <c r="E453" t="inlineStr">
        <is>
          <t>NORRTÄLJE</t>
        </is>
      </c>
      <c r="F453" t="inlineStr">
        <is>
          <t>Holmen skog AB</t>
        </is>
      </c>
      <c r="G453" t="n">
        <v>2.8</v>
      </c>
      <c r="H453" t="n">
        <v>0</v>
      </c>
      <c r="I453" t="n">
        <v>0</v>
      </c>
      <c r="J453" t="n">
        <v>0</v>
      </c>
      <c r="K453" t="n">
        <v>0</v>
      </c>
      <c r="L453" t="n">
        <v>0</v>
      </c>
      <c r="M453" t="n">
        <v>0</v>
      </c>
      <c r="N453" t="n">
        <v>0</v>
      </c>
      <c r="O453" t="n">
        <v>0</v>
      </c>
      <c r="P453" t="n">
        <v>0</v>
      </c>
      <c r="Q453" t="n">
        <v>0</v>
      </c>
      <c r="R453" s="2" t="inlineStr"/>
    </row>
    <row r="454" ht="15" customHeight="1">
      <c r="A454" t="inlineStr">
        <is>
          <t>A 34295-2024</t>
        </is>
      </c>
      <c r="B454" s="1" t="n">
        <v>45524</v>
      </c>
      <c r="C454" s="1" t="n">
        <v>45930</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23070-2023</t>
        </is>
      </c>
      <c r="B455" s="1" t="n">
        <v>45075</v>
      </c>
      <c r="C455" s="1" t="n">
        <v>45930</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43269-2025</t>
        </is>
      </c>
      <c r="B456" s="1" t="n">
        <v>45910.5819212963</v>
      </c>
      <c r="C456" s="1" t="n">
        <v>45930</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22232-2024</t>
        </is>
      </c>
      <c r="B457" s="1" t="n">
        <v>45446.4287962963</v>
      </c>
      <c r="C457" s="1" t="n">
        <v>45930</v>
      </c>
      <c r="D457" t="inlineStr">
        <is>
          <t>STOCKHOLMS LÄN</t>
        </is>
      </c>
      <c r="E457" t="inlineStr">
        <is>
          <t>NORRTÄLJE</t>
        </is>
      </c>
      <c r="G457" t="n">
        <v>12.8</v>
      </c>
      <c r="H457" t="n">
        <v>0</v>
      </c>
      <c r="I457" t="n">
        <v>0</v>
      </c>
      <c r="J457" t="n">
        <v>0</v>
      </c>
      <c r="K457" t="n">
        <v>0</v>
      </c>
      <c r="L457" t="n">
        <v>0</v>
      </c>
      <c r="M457" t="n">
        <v>0</v>
      </c>
      <c r="N457" t="n">
        <v>0</v>
      </c>
      <c r="O457" t="n">
        <v>0</v>
      </c>
      <c r="P457" t="n">
        <v>0</v>
      </c>
      <c r="Q457" t="n">
        <v>0</v>
      </c>
      <c r="R457" s="2" t="inlineStr"/>
    </row>
    <row r="458" ht="15" customHeight="1">
      <c r="A458" t="inlineStr">
        <is>
          <t>A 34444-2024</t>
        </is>
      </c>
      <c r="B458" s="1" t="n">
        <v>45525</v>
      </c>
      <c r="C458" s="1" t="n">
        <v>45930</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42856-2025</t>
        </is>
      </c>
      <c r="B459" s="1" t="n">
        <v>45908</v>
      </c>
      <c r="C459" s="1" t="n">
        <v>45930</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17775-2022</t>
        </is>
      </c>
      <c r="B460" s="1" t="n">
        <v>44682.78430555556</v>
      </c>
      <c r="C460" s="1" t="n">
        <v>45930</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43169-2025</t>
        </is>
      </c>
      <c r="B461" s="1" t="n">
        <v>45910</v>
      </c>
      <c r="C461" s="1" t="n">
        <v>45930</v>
      </c>
      <c r="D461" t="inlineStr">
        <is>
          <t>STOCKHOLMS LÄN</t>
        </is>
      </c>
      <c r="E461" t="inlineStr">
        <is>
          <t>NORRTÄLJE</t>
        </is>
      </c>
      <c r="G461" t="n">
        <v>6.9</v>
      </c>
      <c r="H461" t="n">
        <v>0</v>
      </c>
      <c r="I461" t="n">
        <v>0</v>
      </c>
      <c r="J461" t="n">
        <v>0</v>
      </c>
      <c r="K461" t="n">
        <v>0</v>
      </c>
      <c r="L461" t="n">
        <v>0</v>
      </c>
      <c r="M461" t="n">
        <v>0</v>
      </c>
      <c r="N461" t="n">
        <v>0</v>
      </c>
      <c r="O461" t="n">
        <v>0</v>
      </c>
      <c r="P461" t="n">
        <v>0</v>
      </c>
      <c r="Q461" t="n">
        <v>0</v>
      </c>
      <c r="R461" s="2" t="inlineStr"/>
    </row>
    <row r="462" ht="15" customHeight="1">
      <c r="A462" t="inlineStr">
        <is>
          <t>A 6537-2024</t>
        </is>
      </c>
      <c r="B462" s="1" t="n">
        <v>45341.39853009259</v>
      </c>
      <c r="C462" s="1" t="n">
        <v>45930</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9703-2021</t>
        </is>
      </c>
      <c r="B463" s="1" t="n">
        <v>44252</v>
      </c>
      <c r="C463" s="1" t="n">
        <v>45930</v>
      </c>
      <c r="D463" t="inlineStr">
        <is>
          <t>STOCKHOLMS LÄN</t>
        </is>
      </c>
      <c r="E463" t="inlineStr">
        <is>
          <t>NORRTÄLJE</t>
        </is>
      </c>
      <c r="G463" t="n">
        <v>3.4</v>
      </c>
      <c r="H463" t="n">
        <v>0</v>
      </c>
      <c r="I463" t="n">
        <v>0</v>
      </c>
      <c r="J463" t="n">
        <v>0</v>
      </c>
      <c r="K463" t="n">
        <v>0</v>
      </c>
      <c r="L463" t="n">
        <v>0</v>
      </c>
      <c r="M463" t="n">
        <v>0</v>
      </c>
      <c r="N463" t="n">
        <v>0</v>
      </c>
      <c r="O463" t="n">
        <v>0</v>
      </c>
      <c r="P463" t="n">
        <v>0</v>
      </c>
      <c r="Q463" t="n">
        <v>0</v>
      </c>
      <c r="R463" s="2" t="inlineStr"/>
    </row>
    <row r="464" ht="15" customHeight="1">
      <c r="A464" t="inlineStr">
        <is>
          <t>A 47481-2024</t>
        </is>
      </c>
      <c r="B464" s="1" t="n">
        <v>45587</v>
      </c>
      <c r="C464" s="1" t="n">
        <v>45930</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8792-2025</t>
        </is>
      </c>
      <c r="B465" s="1" t="n">
        <v>45712</v>
      </c>
      <c r="C465" s="1" t="n">
        <v>45930</v>
      </c>
      <c r="D465" t="inlineStr">
        <is>
          <t>STOCKHOLMS LÄN</t>
        </is>
      </c>
      <c r="E465" t="inlineStr">
        <is>
          <t>NORRTÄLJE</t>
        </is>
      </c>
      <c r="F465" t="inlineStr">
        <is>
          <t>Övriga Aktiebolag</t>
        </is>
      </c>
      <c r="G465" t="n">
        <v>6.6</v>
      </c>
      <c r="H465" t="n">
        <v>0</v>
      </c>
      <c r="I465" t="n">
        <v>0</v>
      </c>
      <c r="J465" t="n">
        <v>0</v>
      </c>
      <c r="K465" t="n">
        <v>0</v>
      </c>
      <c r="L465" t="n">
        <v>0</v>
      </c>
      <c r="M465" t="n">
        <v>0</v>
      </c>
      <c r="N465" t="n">
        <v>0</v>
      </c>
      <c r="O465" t="n">
        <v>0</v>
      </c>
      <c r="P465" t="n">
        <v>0</v>
      </c>
      <c r="Q465" t="n">
        <v>0</v>
      </c>
      <c r="R465" s="2" t="inlineStr"/>
    </row>
    <row r="466" ht="15" customHeight="1">
      <c r="A466" t="inlineStr">
        <is>
          <t>A 7571-2024</t>
        </is>
      </c>
      <c r="B466" s="1" t="n">
        <v>45348.46300925926</v>
      </c>
      <c r="C466" s="1" t="n">
        <v>45930</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24933-2023</t>
        </is>
      </c>
      <c r="B467" s="1" t="n">
        <v>45085.5309375</v>
      </c>
      <c r="C467" s="1" t="n">
        <v>45930</v>
      </c>
      <c r="D467" t="inlineStr">
        <is>
          <t>STOCKHOLMS LÄN</t>
        </is>
      </c>
      <c r="E467" t="inlineStr">
        <is>
          <t>NORRTÄLJE</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52260-2022</t>
        </is>
      </c>
      <c r="B468" s="1" t="n">
        <v>44869</v>
      </c>
      <c r="C468" s="1" t="n">
        <v>45930</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11062-2024</t>
        </is>
      </c>
      <c r="B469" s="1" t="n">
        <v>45370</v>
      </c>
      <c r="C469" s="1" t="n">
        <v>45930</v>
      </c>
      <c r="D469" t="inlineStr">
        <is>
          <t>STOCKHOLMS LÄN</t>
        </is>
      </c>
      <c r="E469" t="inlineStr">
        <is>
          <t>NORRTÄLJE</t>
        </is>
      </c>
      <c r="G469" t="n">
        <v>3.2</v>
      </c>
      <c r="H469" t="n">
        <v>0</v>
      </c>
      <c r="I469" t="n">
        <v>0</v>
      </c>
      <c r="J469" t="n">
        <v>0</v>
      </c>
      <c r="K469" t="n">
        <v>0</v>
      </c>
      <c r="L469" t="n">
        <v>0</v>
      </c>
      <c r="M469" t="n">
        <v>0</v>
      </c>
      <c r="N469" t="n">
        <v>0</v>
      </c>
      <c r="O469" t="n">
        <v>0</v>
      </c>
      <c r="P469" t="n">
        <v>0</v>
      </c>
      <c r="Q469" t="n">
        <v>0</v>
      </c>
      <c r="R469" s="2" t="inlineStr"/>
    </row>
    <row r="470" ht="15" customHeight="1">
      <c r="A470" t="inlineStr">
        <is>
          <t>A 55058-2021</t>
        </is>
      </c>
      <c r="B470" s="1" t="n">
        <v>44474.62141203704</v>
      </c>
      <c r="C470" s="1" t="n">
        <v>45930</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40192-2023</t>
        </is>
      </c>
      <c r="B471" s="1" t="n">
        <v>45169</v>
      </c>
      <c r="C471" s="1" t="n">
        <v>45930</v>
      </c>
      <c r="D471" t="inlineStr">
        <is>
          <t>STOCKHOLMS LÄN</t>
        </is>
      </c>
      <c r="E471" t="inlineStr">
        <is>
          <t>NORRTÄLJE</t>
        </is>
      </c>
      <c r="F471" t="inlineStr">
        <is>
          <t>Kyrkan</t>
        </is>
      </c>
      <c r="G471" t="n">
        <v>0.7</v>
      </c>
      <c r="H471" t="n">
        <v>0</v>
      </c>
      <c r="I471" t="n">
        <v>0</v>
      </c>
      <c r="J471" t="n">
        <v>0</v>
      </c>
      <c r="K471" t="n">
        <v>0</v>
      </c>
      <c r="L471" t="n">
        <v>0</v>
      </c>
      <c r="M471" t="n">
        <v>0</v>
      </c>
      <c r="N471" t="n">
        <v>0</v>
      </c>
      <c r="O471" t="n">
        <v>0</v>
      </c>
      <c r="P471" t="n">
        <v>0</v>
      </c>
      <c r="Q471" t="n">
        <v>0</v>
      </c>
      <c r="R471" s="2" t="inlineStr"/>
    </row>
    <row r="472" ht="15" customHeight="1">
      <c r="A472" t="inlineStr">
        <is>
          <t>A 576-2023</t>
        </is>
      </c>
      <c r="B472" s="1" t="n">
        <v>44925</v>
      </c>
      <c r="C472" s="1" t="n">
        <v>45930</v>
      </c>
      <c r="D472" t="inlineStr">
        <is>
          <t>STOCKHOLMS LÄN</t>
        </is>
      </c>
      <c r="E472" t="inlineStr">
        <is>
          <t>NORRTÄLJE</t>
        </is>
      </c>
      <c r="G472" t="n">
        <v>7.2</v>
      </c>
      <c r="H472" t="n">
        <v>0</v>
      </c>
      <c r="I472" t="n">
        <v>0</v>
      </c>
      <c r="J472" t="n">
        <v>0</v>
      </c>
      <c r="K472" t="n">
        <v>0</v>
      </c>
      <c r="L472" t="n">
        <v>0</v>
      </c>
      <c r="M472" t="n">
        <v>0</v>
      </c>
      <c r="N472" t="n">
        <v>0</v>
      </c>
      <c r="O472" t="n">
        <v>0</v>
      </c>
      <c r="P472" t="n">
        <v>0</v>
      </c>
      <c r="Q472" t="n">
        <v>0</v>
      </c>
      <c r="R472" s="2" t="inlineStr"/>
    </row>
    <row r="473" ht="15" customHeight="1">
      <c r="A473" t="inlineStr">
        <is>
          <t>A 36269-2022</t>
        </is>
      </c>
      <c r="B473" s="1" t="n">
        <v>44803</v>
      </c>
      <c r="C473" s="1" t="n">
        <v>45930</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12908-2025</t>
        </is>
      </c>
      <c r="B474" s="1" t="n">
        <v>45733.82105324074</v>
      </c>
      <c r="C474" s="1" t="n">
        <v>45930</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68361-2021</t>
        </is>
      </c>
      <c r="B475" s="1" t="n">
        <v>44528.91494212963</v>
      </c>
      <c r="C475" s="1" t="n">
        <v>45930</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4035-2023</t>
        </is>
      </c>
      <c r="B476" s="1" t="n">
        <v>44952.57989583333</v>
      </c>
      <c r="C476" s="1" t="n">
        <v>45930</v>
      </c>
      <c r="D476" t="inlineStr">
        <is>
          <t>STOCKHOLMS LÄN</t>
        </is>
      </c>
      <c r="E476" t="inlineStr">
        <is>
          <t>NORRTÄLJE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50469-2022</t>
        </is>
      </c>
      <c r="B477" s="1" t="n">
        <v>44866.49827546296</v>
      </c>
      <c r="C477" s="1" t="n">
        <v>45930</v>
      </c>
      <c r="D477" t="inlineStr">
        <is>
          <t>STOCKHOLMS LÄN</t>
        </is>
      </c>
      <c r="E477" t="inlineStr">
        <is>
          <t>NORRTÄLJE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5665-2025</t>
        </is>
      </c>
      <c r="B478" s="1" t="n">
        <v>45693</v>
      </c>
      <c r="C478" s="1" t="n">
        <v>45930</v>
      </c>
      <c r="D478" t="inlineStr">
        <is>
          <t>STOCKHOLMS LÄN</t>
        </is>
      </c>
      <c r="E478" t="inlineStr">
        <is>
          <t>NORRTÄLJE</t>
        </is>
      </c>
      <c r="G478" t="n">
        <v>4</v>
      </c>
      <c r="H478" t="n">
        <v>0</v>
      </c>
      <c r="I478" t="n">
        <v>0</v>
      </c>
      <c r="J478" t="n">
        <v>0</v>
      </c>
      <c r="K478" t="n">
        <v>0</v>
      </c>
      <c r="L478" t="n">
        <v>0</v>
      </c>
      <c r="M478" t="n">
        <v>0</v>
      </c>
      <c r="N478" t="n">
        <v>0</v>
      </c>
      <c r="O478" t="n">
        <v>0</v>
      </c>
      <c r="P478" t="n">
        <v>0</v>
      </c>
      <c r="Q478" t="n">
        <v>0</v>
      </c>
      <c r="R478" s="2" t="inlineStr"/>
    </row>
    <row r="479" ht="15" customHeight="1">
      <c r="A479" t="inlineStr">
        <is>
          <t>A 12407-2025</t>
        </is>
      </c>
      <c r="B479" s="1" t="n">
        <v>45730.42851851852</v>
      </c>
      <c r="C479" s="1" t="n">
        <v>45930</v>
      </c>
      <c r="D479" t="inlineStr">
        <is>
          <t>STOCKHOLMS LÄN</t>
        </is>
      </c>
      <c r="E479" t="inlineStr">
        <is>
          <t>NORRTÄLJE</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41976-2024</t>
        </is>
      </c>
      <c r="B480" s="1" t="n">
        <v>45561.62141203704</v>
      </c>
      <c r="C480" s="1" t="n">
        <v>45930</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26644-2024</t>
        </is>
      </c>
      <c r="B481" s="1" t="n">
        <v>45469</v>
      </c>
      <c r="C481" s="1" t="n">
        <v>45930</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26668-2024</t>
        </is>
      </c>
      <c r="B482" s="1" t="n">
        <v>45469</v>
      </c>
      <c r="C482" s="1" t="n">
        <v>45930</v>
      </c>
      <c r="D482" t="inlineStr">
        <is>
          <t>STOCKHOLMS LÄN</t>
        </is>
      </c>
      <c r="E482" t="inlineStr">
        <is>
          <t>NORRTÄLJE</t>
        </is>
      </c>
      <c r="G482" t="n">
        <v>4.8</v>
      </c>
      <c r="H482" t="n">
        <v>0</v>
      </c>
      <c r="I482" t="n">
        <v>0</v>
      </c>
      <c r="J482" t="n">
        <v>0</v>
      </c>
      <c r="K482" t="n">
        <v>0</v>
      </c>
      <c r="L482" t="n">
        <v>0</v>
      </c>
      <c r="M482" t="n">
        <v>0</v>
      </c>
      <c r="N482" t="n">
        <v>0</v>
      </c>
      <c r="O482" t="n">
        <v>0</v>
      </c>
      <c r="P482" t="n">
        <v>0</v>
      </c>
      <c r="Q482" t="n">
        <v>0</v>
      </c>
      <c r="R482" s="2" t="inlineStr"/>
    </row>
    <row r="483" ht="15" customHeight="1">
      <c r="A483" t="inlineStr">
        <is>
          <t>A 26636-2023</t>
        </is>
      </c>
      <c r="B483" s="1" t="n">
        <v>45092</v>
      </c>
      <c r="C483" s="1" t="n">
        <v>45930</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26637-2023</t>
        </is>
      </c>
      <c r="B484" s="1" t="n">
        <v>45092</v>
      </c>
      <c r="C484" s="1" t="n">
        <v>45930</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37085-2021</t>
        </is>
      </c>
      <c r="B485" s="1" t="n">
        <v>44395</v>
      </c>
      <c r="C485" s="1" t="n">
        <v>45930</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45930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23266-2023</t>
        </is>
      </c>
      <c r="B487" s="1" t="n">
        <v>45075.90817129629</v>
      </c>
      <c r="C487" s="1" t="n">
        <v>45930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46988-2024</t>
        </is>
      </c>
      <c r="B488" s="1" t="n">
        <v>45586</v>
      </c>
      <c r="C488" s="1" t="n">
        <v>45930</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62206-2022</t>
        </is>
      </c>
      <c r="B489" s="1" t="n">
        <v>44922</v>
      </c>
      <c r="C489" s="1" t="n">
        <v>45930</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71552-2021</t>
        </is>
      </c>
      <c r="B490" s="1" t="n">
        <v>44540</v>
      </c>
      <c r="C490" s="1" t="n">
        <v>45930</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30886-2022</t>
        </is>
      </c>
      <c r="B491" s="1" t="n">
        <v>44767.60601851852</v>
      </c>
      <c r="C491" s="1" t="n">
        <v>45930</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35161-2022</t>
        </is>
      </c>
      <c r="B492" s="1" t="n">
        <v>44797</v>
      </c>
      <c r="C492" s="1" t="n">
        <v>45930</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58989-2021</t>
        </is>
      </c>
      <c r="B493" s="1" t="n">
        <v>44490.02482638889</v>
      </c>
      <c r="C493" s="1" t="n">
        <v>45930</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58990-2021</t>
        </is>
      </c>
      <c r="B494" s="1" t="n">
        <v>44490.03621527777</v>
      </c>
      <c r="C494" s="1" t="n">
        <v>45930</v>
      </c>
      <c r="D494" t="inlineStr">
        <is>
          <t>STOCKHOLMS LÄN</t>
        </is>
      </c>
      <c r="E494" t="inlineStr">
        <is>
          <t>NORRTÄLJE</t>
        </is>
      </c>
      <c r="G494" t="n">
        <v>4.2</v>
      </c>
      <c r="H494" t="n">
        <v>0</v>
      </c>
      <c r="I494" t="n">
        <v>0</v>
      </c>
      <c r="J494" t="n">
        <v>0</v>
      </c>
      <c r="K494" t="n">
        <v>0</v>
      </c>
      <c r="L494" t="n">
        <v>0</v>
      </c>
      <c r="M494" t="n">
        <v>0</v>
      </c>
      <c r="N494" t="n">
        <v>0</v>
      </c>
      <c r="O494" t="n">
        <v>0</v>
      </c>
      <c r="P494" t="n">
        <v>0</v>
      </c>
      <c r="Q494" t="n">
        <v>0</v>
      </c>
      <c r="R494" s="2" t="inlineStr"/>
    </row>
    <row r="495" ht="15" customHeight="1">
      <c r="A495" t="inlineStr">
        <is>
          <t>A 11940-2023</t>
        </is>
      </c>
      <c r="B495" s="1" t="n">
        <v>44995</v>
      </c>
      <c r="C495" s="1" t="n">
        <v>45930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17382-2024</t>
        </is>
      </c>
      <c r="B496" s="1" t="n">
        <v>45414.65855324074</v>
      </c>
      <c r="C496" s="1" t="n">
        <v>45930</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56166-2020</t>
        </is>
      </c>
      <c r="B497" s="1" t="n">
        <v>44133</v>
      </c>
      <c r="C497" s="1" t="n">
        <v>45930</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43916-2025</t>
        </is>
      </c>
      <c r="B498" s="1" t="n">
        <v>45914.78884259259</v>
      </c>
      <c r="C498" s="1" t="n">
        <v>45930</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22359-2025</t>
        </is>
      </c>
      <c r="B499" s="1" t="n">
        <v>45786</v>
      </c>
      <c r="C499" s="1" t="n">
        <v>45930</v>
      </c>
      <c r="D499" t="inlineStr">
        <is>
          <t>STOCKHOLMS LÄN</t>
        </is>
      </c>
      <c r="E499" t="inlineStr">
        <is>
          <t>NORRTÄLJE</t>
        </is>
      </c>
      <c r="G499" t="n">
        <v>5</v>
      </c>
      <c r="H499" t="n">
        <v>0</v>
      </c>
      <c r="I499" t="n">
        <v>0</v>
      </c>
      <c r="J499" t="n">
        <v>0</v>
      </c>
      <c r="K499" t="n">
        <v>0</v>
      </c>
      <c r="L499" t="n">
        <v>0</v>
      </c>
      <c r="M499" t="n">
        <v>0</v>
      </c>
      <c r="N499" t="n">
        <v>0</v>
      </c>
      <c r="O499" t="n">
        <v>0</v>
      </c>
      <c r="P499" t="n">
        <v>0</v>
      </c>
      <c r="Q499" t="n">
        <v>0</v>
      </c>
      <c r="R499" s="2" t="inlineStr"/>
    </row>
    <row r="500" ht="15" customHeight="1">
      <c r="A500" t="inlineStr">
        <is>
          <t>A 25557-2023</t>
        </is>
      </c>
      <c r="B500" s="1" t="n">
        <v>45089</v>
      </c>
      <c r="C500" s="1" t="n">
        <v>45930</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44349-2025</t>
        </is>
      </c>
      <c r="B501" s="1" t="n">
        <v>45916.43929398148</v>
      </c>
      <c r="C501" s="1" t="n">
        <v>45930</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29266-2022</t>
        </is>
      </c>
      <c r="B502" s="1" t="n">
        <v>44750.66068287037</v>
      </c>
      <c r="C502" s="1" t="n">
        <v>45930</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29278-2022</t>
        </is>
      </c>
      <c r="B503" s="1" t="n">
        <v>44750</v>
      </c>
      <c r="C503" s="1" t="n">
        <v>45930</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44333-2025</t>
        </is>
      </c>
      <c r="B504" s="1" t="n">
        <v>45916.42293981482</v>
      </c>
      <c r="C504" s="1" t="n">
        <v>45930</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7903-2021</t>
        </is>
      </c>
      <c r="B505" s="1" t="n">
        <v>44243.33587962963</v>
      </c>
      <c r="C505" s="1" t="n">
        <v>45930</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9914-2023</t>
        </is>
      </c>
      <c r="B506" s="1" t="n">
        <v>44985</v>
      </c>
      <c r="C506" s="1" t="n">
        <v>45930</v>
      </c>
      <c r="D506" t="inlineStr">
        <is>
          <t>STOCKHOLMS LÄN</t>
        </is>
      </c>
      <c r="E506" t="inlineStr">
        <is>
          <t>NORRTÄLJE</t>
        </is>
      </c>
      <c r="G506" t="n">
        <v>4.2</v>
      </c>
      <c r="H506" t="n">
        <v>0</v>
      </c>
      <c r="I506" t="n">
        <v>0</v>
      </c>
      <c r="J506" t="n">
        <v>0</v>
      </c>
      <c r="K506" t="n">
        <v>0</v>
      </c>
      <c r="L506" t="n">
        <v>0</v>
      </c>
      <c r="M506" t="n">
        <v>0</v>
      </c>
      <c r="N506" t="n">
        <v>0</v>
      </c>
      <c r="O506" t="n">
        <v>0</v>
      </c>
      <c r="P506" t="n">
        <v>0</v>
      </c>
      <c r="Q506" t="n">
        <v>0</v>
      </c>
      <c r="R506" s="2" t="inlineStr"/>
    </row>
    <row r="507" ht="15" customHeight="1">
      <c r="A507" t="inlineStr">
        <is>
          <t>A 58863-2024</t>
        </is>
      </c>
      <c r="B507" s="1" t="n">
        <v>45636.41572916666</v>
      </c>
      <c r="C507" s="1" t="n">
        <v>45930</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6401-2024</t>
        </is>
      </c>
      <c r="B508" s="1" t="n">
        <v>45338</v>
      </c>
      <c r="C508" s="1" t="n">
        <v>45930</v>
      </c>
      <c r="D508" t="inlineStr">
        <is>
          <t>STOCKHOLMS LÄN</t>
        </is>
      </c>
      <c r="E508" t="inlineStr">
        <is>
          <t>NORRTÄLJE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60525-2022</t>
        </is>
      </c>
      <c r="B509" s="1" t="n">
        <v>44904</v>
      </c>
      <c r="C509" s="1" t="n">
        <v>45930</v>
      </c>
      <c r="D509" t="inlineStr">
        <is>
          <t>STOCKHOLMS LÄN</t>
        </is>
      </c>
      <c r="E509" t="inlineStr">
        <is>
          <t>NORRTÄLJE</t>
        </is>
      </c>
      <c r="G509" t="n">
        <v>13.4</v>
      </c>
      <c r="H509" t="n">
        <v>0</v>
      </c>
      <c r="I509" t="n">
        <v>0</v>
      </c>
      <c r="J509" t="n">
        <v>0</v>
      </c>
      <c r="K509" t="n">
        <v>0</v>
      </c>
      <c r="L509" t="n">
        <v>0</v>
      </c>
      <c r="M509" t="n">
        <v>0</v>
      </c>
      <c r="N509" t="n">
        <v>0</v>
      </c>
      <c r="O509" t="n">
        <v>0</v>
      </c>
      <c r="P509" t="n">
        <v>0</v>
      </c>
      <c r="Q509" t="n">
        <v>0</v>
      </c>
      <c r="R509" s="2" t="inlineStr"/>
    </row>
    <row r="510" ht="15" customHeight="1">
      <c r="A510" t="inlineStr">
        <is>
          <t>A 24501-2023</t>
        </is>
      </c>
      <c r="B510" s="1" t="n">
        <v>45082</v>
      </c>
      <c r="C510" s="1" t="n">
        <v>45930</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24520-2023</t>
        </is>
      </c>
      <c r="B511" s="1" t="n">
        <v>45082.68922453704</v>
      </c>
      <c r="C511" s="1" t="n">
        <v>45930</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44343-2025</t>
        </is>
      </c>
      <c r="B512" s="1" t="n">
        <v>45916.43378472222</v>
      </c>
      <c r="C512" s="1" t="n">
        <v>45930</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44354-2025</t>
        </is>
      </c>
      <c r="B513" s="1" t="n">
        <v>45916.44655092592</v>
      </c>
      <c r="C513" s="1" t="n">
        <v>45930</v>
      </c>
      <c r="D513" t="inlineStr">
        <is>
          <t>STOCKHOLMS LÄN</t>
        </is>
      </c>
      <c r="E513" t="inlineStr">
        <is>
          <t>NORRTÄLJE</t>
        </is>
      </c>
      <c r="G513" t="n">
        <v>2.3</v>
      </c>
      <c r="H513" t="n">
        <v>0</v>
      </c>
      <c r="I513" t="n">
        <v>0</v>
      </c>
      <c r="J513" t="n">
        <v>0</v>
      </c>
      <c r="K513" t="n">
        <v>0</v>
      </c>
      <c r="L513" t="n">
        <v>0</v>
      </c>
      <c r="M513" t="n">
        <v>0</v>
      </c>
      <c r="N513" t="n">
        <v>0</v>
      </c>
      <c r="O513" t="n">
        <v>0</v>
      </c>
      <c r="P513" t="n">
        <v>0</v>
      </c>
      <c r="Q513" t="n">
        <v>0</v>
      </c>
      <c r="R513" s="2" t="inlineStr"/>
    </row>
    <row r="514" ht="15" customHeight="1">
      <c r="A514" t="inlineStr">
        <is>
          <t>A 31281-2022</t>
        </is>
      </c>
      <c r="B514" s="1" t="n">
        <v>44771</v>
      </c>
      <c r="C514" s="1" t="n">
        <v>45930</v>
      </c>
      <c r="D514" t="inlineStr">
        <is>
          <t>STOCKHOLMS LÄN</t>
        </is>
      </c>
      <c r="E514" t="inlineStr">
        <is>
          <t>NORRTÄLJE</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57987-2020</t>
        </is>
      </c>
      <c r="B515" s="1" t="n">
        <v>44143</v>
      </c>
      <c r="C515" s="1" t="n">
        <v>45930</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58302-2022</t>
        </is>
      </c>
      <c r="B516" s="1" t="n">
        <v>44901</v>
      </c>
      <c r="C516" s="1" t="n">
        <v>45930</v>
      </c>
      <c r="D516" t="inlineStr">
        <is>
          <t>STOCKHOLMS LÄN</t>
        </is>
      </c>
      <c r="E516" t="inlineStr">
        <is>
          <t>NORRTÄLJE</t>
        </is>
      </c>
      <c r="G516" t="n">
        <v>3.9</v>
      </c>
      <c r="H516" t="n">
        <v>0</v>
      </c>
      <c r="I516" t="n">
        <v>0</v>
      </c>
      <c r="J516" t="n">
        <v>0</v>
      </c>
      <c r="K516" t="n">
        <v>0</v>
      </c>
      <c r="L516" t="n">
        <v>0</v>
      </c>
      <c r="M516" t="n">
        <v>0</v>
      </c>
      <c r="N516" t="n">
        <v>0</v>
      </c>
      <c r="O516" t="n">
        <v>0</v>
      </c>
      <c r="P516" t="n">
        <v>0</v>
      </c>
      <c r="Q516" t="n">
        <v>0</v>
      </c>
      <c r="R516" s="2" t="inlineStr"/>
    </row>
    <row r="517" ht="15" customHeight="1">
      <c r="A517" t="inlineStr">
        <is>
          <t>A 38612-2022</t>
        </is>
      </c>
      <c r="B517" s="1" t="n">
        <v>44813</v>
      </c>
      <c r="C517" s="1" t="n">
        <v>45930</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33040-2021</t>
        </is>
      </c>
      <c r="B518" s="1" t="n">
        <v>44376.50728009259</v>
      </c>
      <c r="C518" s="1" t="n">
        <v>45930</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15447-2023</t>
        </is>
      </c>
      <c r="B519" s="1" t="n">
        <v>45020</v>
      </c>
      <c r="C519" s="1" t="n">
        <v>45930</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34391-2023</t>
        </is>
      </c>
      <c r="B520" s="1" t="n">
        <v>45139.51457175926</v>
      </c>
      <c r="C520" s="1" t="n">
        <v>45930</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26117-2024</t>
        </is>
      </c>
      <c r="B521" s="1" t="n">
        <v>45468.45877314815</v>
      </c>
      <c r="C521" s="1" t="n">
        <v>45930</v>
      </c>
      <c r="D521" t="inlineStr">
        <is>
          <t>STOCKHOLMS LÄN</t>
        </is>
      </c>
      <c r="E521" t="inlineStr">
        <is>
          <t>NORRTÄLJE</t>
        </is>
      </c>
      <c r="G521" t="n">
        <v>2.4</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45930</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23269-2023</t>
        </is>
      </c>
      <c r="B523" s="1" t="n">
        <v>45075.91148148148</v>
      </c>
      <c r="C523" s="1" t="n">
        <v>45930</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61113-2023</t>
        </is>
      </c>
      <c r="B524" s="1" t="n">
        <v>45261</v>
      </c>
      <c r="C524" s="1" t="n">
        <v>45930</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53312-2024</t>
        </is>
      </c>
      <c r="B525" s="1" t="n">
        <v>45614.39627314815</v>
      </c>
      <c r="C525" s="1" t="n">
        <v>45930</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60822-2023</t>
        </is>
      </c>
      <c r="B526" s="1" t="n">
        <v>45259</v>
      </c>
      <c r="C526" s="1" t="n">
        <v>45930</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59310-2023</t>
        </is>
      </c>
      <c r="B527" s="1" t="n">
        <v>45253.61146990741</v>
      </c>
      <c r="C527" s="1" t="n">
        <v>45930</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23060-2023</t>
        </is>
      </c>
      <c r="B528" s="1" t="n">
        <v>45075</v>
      </c>
      <c r="C528" s="1" t="n">
        <v>45930</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20343-2024</t>
        </is>
      </c>
      <c r="B529" s="1" t="n">
        <v>45435.43466435185</v>
      </c>
      <c r="C529" s="1" t="n">
        <v>45930</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20345-2024</t>
        </is>
      </c>
      <c r="B530" s="1" t="n">
        <v>45435.43820601852</v>
      </c>
      <c r="C530" s="1" t="n">
        <v>45930</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44306-2025</t>
        </is>
      </c>
      <c r="B531" s="1" t="n">
        <v>45916.37736111111</v>
      </c>
      <c r="C531" s="1" t="n">
        <v>45930</v>
      </c>
      <c r="D531" t="inlineStr">
        <is>
          <t>STOCKHOLMS LÄN</t>
        </is>
      </c>
      <c r="E531" t="inlineStr">
        <is>
          <t>NORRTÄLJE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55010-2024</t>
        </is>
      </c>
      <c r="B532" s="1" t="n">
        <v>45621.34425925926</v>
      </c>
      <c r="C532" s="1" t="n">
        <v>45930</v>
      </c>
      <c r="D532" t="inlineStr">
        <is>
          <t>STOCKHOLMS LÄN</t>
        </is>
      </c>
      <c r="E532" t="inlineStr">
        <is>
          <t>NORRTÄLJE</t>
        </is>
      </c>
      <c r="F532" t="inlineStr">
        <is>
          <t>Sveaskog</t>
        </is>
      </c>
      <c r="G532" t="n">
        <v>5.7</v>
      </c>
      <c r="H532" t="n">
        <v>0</v>
      </c>
      <c r="I532" t="n">
        <v>0</v>
      </c>
      <c r="J532" t="n">
        <v>0</v>
      </c>
      <c r="K532" t="n">
        <v>0</v>
      </c>
      <c r="L532" t="n">
        <v>0</v>
      </c>
      <c r="M532" t="n">
        <v>0</v>
      </c>
      <c r="N532" t="n">
        <v>0</v>
      </c>
      <c r="O532" t="n">
        <v>0</v>
      </c>
      <c r="P532" t="n">
        <v>0</v>
      </c>
      <c r="Q532" t="n">
        <v>0</v>
      </c>
      <c r="R532" s="2" t="inlineStr"/>
    </row>
    <row r="533" ht="15" customHeight="1">
      <c r="A533" t="inlineStr">
        <is>
          <t>A 55018-2024</t>
        </is>
      </c>
      <c r="B533" s="1" t="n">
        <v>45621.35712962963</v>
      </c>
      <c r="C533" s="1" t="n">
        <v>45930</v>
      </c>
      <c r="D533" t="inlineStr">
        <is>
          <t>STOCKHOLMS LÄN</t>
        </is>
      </c>
      <c r="E533" t="inlineStr">
        <is>
          <t>NORRTÄLJE</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58661-2020</t>
        </is>
      </c>
      <c r="B534" s="1" t="n">
        <v>44145</v>
      </c>
      <c r="C534" s="1" t="n">
        <v>45930</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21158-2022</t>
        </is>
      </c>
      <c r="B535" s="1" t="n">
        <v>44704</v>
      </c>
      <c r="C535" s="1" t="n">
        <v>45930</v>
      </c>
      <c r="D535" t="inlineStr">
        <is>
          <t>STOCKHOLMS LÄN</t>
        </is>
      </c>
      <c r="E535" t="inlineStr">
        <is>
          <t>NORRTÄLJE</t>
        </is>
      </c>
      <c r="G535" t="n">
        <v>17.8</v>
      </c>
      <c r="H535" t="n">
        <v>0</v>
      </c>
      <c r="I535" t="n">
        <v>0</v>
      </c>
      <c r="J535" t="n">
        <v>0</v>
      </c>
      <c r="K535" t="n">
        <v>0</v>
      </c>
      <c r="L535" t="n">
        <v>0</v>
      </c>
      <c r="M535" t="n">
        <v>0</v>
      </c>
      <c r="N535" t="n">
        <v>0</v>
      </c>
      <c r="O535" t="n">
        <v>0</v>
      </c>
      <c r="P535" t="n">
        <v>0</v>
      </c>
      <c r="Q535" t="n">
        <v>0</v>
      </c>
      <c r="R535" s="2" t="inlineStr"/>
    </row>
    <row r="536" ht="15" customHeight="1">
      <c r="A536" t="inlineStr">
        <is>
          <t>A 15915-2023</t>
        </is>
      </c>
      <c r="B536" s="1" t="n">
        <v>45022</v>
      </c>
      <c r="C536" s="1" t="n">
        <v>45930</v>
      </c>
      <c r="D536" t="inlineStr">
        <is>
          <t>STOCKHOLMS LÄN</t>
        </is>
      </c>
      <c r="E536" t="inlineStr">
        <is>
          <t>NORRTÄLJE</t>
        </is>
      </c>
      <c r="G536" t="n">
        <v>2.9</v>
      </c>
      <c r="H536" t="n">
        <v>0</v>
      </c>
      <c r="I536" t="n">
        <v>0</v>
      </c>
      <c r="J536" t="n">
        <v>0</v>
      </c>
      <c r="K536" t="n">
        <v>0</v>
      </c>
      <c r="L536" t="n">
        <v>0</v>
      </c>
      <c r="M536" t="n">
        <v>0</v>
      </c>
      <c r="N536" t="n">
        <v>0</v>
      </c>
      <c r="O536" t="n">
        <v>0</v>
      </c>
      <c r="P536" t="n">
        <v>0</v>
      </c>
      <c r="Q536" t="n">
        <v>0</v>
      </c>
      <c r="R536" s="2" t="inlineStr"/>
    </row>
    <row r="537" ht="15" customHeight="1">
      <c r="A537" t="inlineStr">
        <is>
          <t>A 50113-2024</t>
        </is>
      </c>
      <c r="B537" s="1" t="n">
        <v>45600.411875</v>
      </c>
      <c r="C537" s="1" t="n">
        <v>45930</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58993-2022</t>
        </is>
      </c>
      <c r="B538" s="1" t="n">
        <v>44903</v>
      </c>
      <c r="C538" s="1" t="n">
        <v>45930</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20336-2024</t>
        </is>
      </c>
      <c r="B539" s="1" t="n">
        <v>45435.43123842592</v>
      </c>
      <c r="C539" s="1" t="n">
        <v>45930</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39905-2023</t>
        </is>
      </c>
      <c r="B540" s="1" t="n">
        <v>45168.44489583333</v>
      </c>
      <c r="C540" s="1" t="n">
        <v>45930</v>
      </c>
      <c r="D540" t="inlineStr">
        <is>
          <t>STOCKHOLMS LÄN</t>
        </is>
      </c>
      <c r="E540" t="inlineStr">
        <is>
          <t>NORRTÄLJE</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44937-2025</t>
        </is>
      </c>
      <c r="B541" s="1" t="n">
        <v>45918.58224537037</v>
      </c>
      <c r="C541" s="1" t="n">
        <v>45930</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64899-2023</t>
        </is>
      </c>
      <c r="B542" s="1" t="n">
        <v>45282</v>
      </c>
      <c r="C542" s="1" t="n">
        <v>45930</v>
      </c>
      <c r="D542" t="inlineStr">
        <is>
          <t>STOCKHOLMS LÄN</t>
        </is>
      </c>
      <c r="E542" t="inlineStr">
        <is>
          <t>NORRTÄLJE</t>
        </is>
      </c>
      <c r="G542" t="n">
        <v>6.3</v>
      </c>
      <c r="H542" t="n">
        <v>0</v>
      </c>
      <c r="I542" t="n">
        <v>0</v>
      </c>
      <c r="J542" t="n">
        <v>0</v>
      </c>
      <c r="K542" t="n">
        <v>0</v>
      </c>
      <c r="L542" t="n">
        <v>0</v>
      </c>
      <c r="M542" t="n">
        <v>0</v>
      </c>
      <c r="N542" t="n">
        <v>0</v>
      </c>
      <c r="O542" t="n">
        <v>0</v>
      </c>
      <c r="P542" t="n">
        <v>0</v>
      </c>
      <c r="Q542" t="n">
        <v>0</v>
      </c>
      <c r="R542" s="2" t="inlineStr"/>
    </row>
    <row r="543" ht="15" customHeight="1">
      <c r="A543" t="inlineStr">
        <is>
          <t>A 1847-2023</t>
        </is>
      </c>
      <c r="B543" s="1" t="n">
        <v>44938</v>
      </c>
      <c r="C543" s="1" t="n">
        <v>45930</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33793-2022</t>
        </is>
      </c>
      <c r="B544" s="1" t="n">
        <v>44790</v>
      </c>
      <c r="C544" s="1" t="n">
        <v>45930</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11122-2021</t>
        </is>
      </c>
      <c r="B545" s="1" t="n">
        <v>44260</v>
      </c>
      <c r="C545" s="1" t="n">
        <v>45930</v>
      </c>
      <c r="D545" t="inlineStr">
        <is>
          <t>STOCKHOLMS LÄN</t>
        </is>
      </c>
      <c r="E545" t="inlineStr">
        <is>
          <t>NORRTÄLJE</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45930</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17304-2024</t>
        </is>
      </c>
      <c r="B547" s="1" t="n">
        <v>45414</v>
      </c>
      <c r="C547" s="1" t="n">
        <v>45930</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29362-2022</t>
        </is>
      </c>
      <c r="B548" s="1" t="n">
        <v>44753</v>
      </c>
      <c r="C548" s="1" t="n">
        <v>45930</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20291-2022</t>
        </is>
      </c>
      <c r="B549" s="1" t="n">
        <v>44698</v>
      </c>
      <c r="C549" s="1" t="n">
        <v>45930</v>
      </c>
      <c r="D549" t="inlineStr">
        <is>
          <t>STOCKHOLMS LÄN</t>
        </is>
      </c>
      <c r="E549" t="inlineStr">
        <is>
          <t>NORRTÄLJE</t>
        </is>
      </c>
      <c r="F549" t="inlineStr">
        <is>
          <t>Naturvårdsverket</t>
        </is>
      </c>
      <c r="G549" t="n">
        <v>2</v>
      </c>
      <c r="H549" t="n">
        <v>0</v>
      </c>
      <c r="I549" t="n">
        <v>0</v>
      </c>
      <c r="J549" t="n">
        <v>0</v>
      </c>
      <c r="K549" t="n">
        <v>0</v>
      </c>
      <c r="L549" t="n">
        <v>0</v>
      </c>
      <c r="M549" t="n">
        <v>0</v>
      </c>
      <c r="N549" t="n">
        <v>0</v>
      </c>
      <c r="O549" t="n">
        <v>0</v>
      </c>
      <c r="P549" t="n">
        <v>0</v>
      </c>
      <c r="Q549" t="n">
        <v>0</v>
      </c>
      <c r="R549" s="2" t="inlineStr"/>
    </row>
    <row r="550" ht="15" customHeight="1">
      <c r="A550" t="inlineStr">
        <is>
          <t>A 16852-2024</t>
        </is>
      </c>
      <c r="B550" s="1" t="n">
        <v>45411.54768518519</v>
      </c>
      <c r="C550" s="1" t="n">
        <v>45930</v>
      </c>
      <c r="D550" t="inlineStr">
        <is>
          <t>STOCKHOLMS LÄN</t>
        </is>
      </c>
      <c r="E550" t="inlineStr">
        <is>
          <t>NORRTÄLJE</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4326-2023</t>
        </is>
      </c>
      <c r="B551" s="1" t="n">
        <v>44953.70481481482</v>
      </c>
      <c r="C551" s="1" t="n">
        <v>45930</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37261-2025</t>
        </is>
      </c>
      <c r="B552" s="1" t="n">
        <v>45876.45253472222</v>
      </c>
      <c r="C552" s="1" t="n">
        <v>45930</v>
      </c>
      <c r="D552" t="inlineStr">
        <is>
          <t>STOCKHOLMS LÄN</t>
        </is>
      </c>
      <c r="E552" t="inlineStr">
        <is>
          <t>NORRTÄLJE</t>
        </is>
      </c>
      <c r="F552" t="inlineStr">
        <is>
          <t>Kommuner</t>
        </is>
      </c>
      <c r="G552" t="n">
        <v>2.2</v>
      </c>
      <c r="H552" t="n">
        <v>0</v>
      </c>
      <c r="I552" t="n">
        <v>0</v>
      </c>
      <c r="J552" t="n">
        <v>0</v>
      </c>
      <c r="K552" t="n">
        <v>0</v>
      </c>
      <c r="L552" t="n">
        <v>0</v>
      </c>
      <c r="M552" t="n">
        <v>0</v>
      </c>
      <c r="N552" t="n">
        <v>0</v>
      </c>
      <c r="O552" t="n">
        <v>0</v>
      </c>
      <c r="P552" t="n">
        <v>0</v>
      </c>
      <c r="Q552" t="n">
        <v>0</v>
      </c>
      <c r="R552" s="2" t="inlineStr"/>
    </row>
    <row r="553" ht="15" customHeight="1">
      <c r="A553" t="inlineStr">
        <is>
          <t>A 12302-2025</t>
        </is>
      </c>
      <c r="B553" s="1" t="n">
        <v>45729.72851851852</v>
      </c>
      <c r="C553" s="1" t="n">
        <v>45930</v>
      </c>
      <c r="D553" t="inlineStr">
        <is>
          <t>STOCKHOLMS LÄN</t>
        </is>
      </c>
      <c r="E553" t="inlineStr">
        <is>
          <t>NORRTÄLJE</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33385-2024</t>
        </is>
      </c>
      <c r="B554" s="1" t="n">
        <v>45519</v>
      </c>
      <c r="C554" s="1" t="n">
        <v>45930</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29714-2023</t>
        </is>
      </c>
      <c r="B555" s="1" t="n">
        <v>45107.42538194444</v>
      </c>
      <c r="C555" s="1" t="n">
        <v>45930</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30508-2023</t>
        </is>
      </c>
      <c r="B556" s="1" t="n">
        <v>45111</v>
      </c>
      <c r="C556" s="1" t="n">
        <v>45930</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11499-2023</t>
        </is>
      </c>
      <c r="B557" s="1" t="n">
        <v>44993.66707175926</v>
      </c>
      <c r="C557" s="1" t="n">
        <v>45930</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53652-2020</t>
        </is>
      </c>
      <c r="B558" s="1" t="n">
        <v>44124</v>
      </c>
      <c r="C558" s="1" t="n">
        <v>45930</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31926-2022</t>
        </is>
      </c>
      <c r="B559" s="1" t="n">
        <v>44777</v>
      </c>
      <c r="C559" s="1" t="n">
        <v>45930</v>
      </c>
      <c r="D559" t="inlineStr">
        <is>
          <t>STOCKHOLMS LÄN</t>
        </is>
      </c>
      <c r="E559" t="inlineStr">
        <is>
          <t>NORRTÄLJE</t>
        </is>
      </c>
      <c r="G559" t="n">
        <v>5.2</v>
      </c>
      <c r="H559" t="n">
        <v>0</v>
      </c>
      <c r="I559" t="n">
        <v>0</v>
      </c>
      <c r="J559" t="n">
        <v>0</v>
      </c>
      <c r="K559" t="n">
        <v>0</v>
      </c>
      <c r="L559" t="n">
        <v>0</v>
      </c>
      <c r="M559" t="n">
        <v>0</v>
      </c>
      <c r="N559" t="n">
        <v>0</v>
      </c>
      <c r="O559" t="n">
        <v>0</v>
      </c>
      <c r="P559" t="n">
        <v>0</v>
      </c>
      <c r="Q559" t="n">
        <v>0</v>
      </c>
      <c r="R559" s="2" t="inlineStr"/>
    </row>
    <row r="560" ht="15" customHeight="1">
      <c r="A560" t="inlineStr">
        <is>
          <t>A 12031-2021</t>
        </is>
      </c>
      <c r="B560" s="1" t="n">
        <v>44266</v>
      </c>
      <c r="C560" s="1" t="n">
        <v>45930</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64600-2021</t>
        </is>
      </c>
      <c r="B561" s="1" t="n">
        <v>44511.70518518519</v>
      </c>
      <c r="C561" s="1" t="n">
        <v>45930</v>
      </c>
      <c r="D561" t="inlineStr">
        <is>
          <t>STOCKHOLMS LÄN</t>
        </is>
      </c>
      <c r="E561" t="inlineStr">
        <is>
          <t>NORRTÄLJE</t>
        </is>
      </c>
      <c r="G561" t="n">
        <v>6.2</v>
      </c>
      <c r="H561" t="n">
        <v>0</v>
      </c>
      <c r="I561" t="n">
        <v>0</v>
      </c>
      <c r="J561" t="n">
        <v>0</v>
      </c>
      <c r="K561" t="n">
        <v>0</v>
      </c>
      <c r="L561" t="n">
        <v>0</v>
      </c>
      <c r="M561" t="n">
        <v>0</v>
      </c>
      <c r="N561" t="n">
        <v>0</v>
      </c>
      <c r="O561" t="n">
        <v>0</v>
      </c>
      <c r="P561" t="n">
        <v>0</v>
      </c>
      <c r="Q561" t="n">
        <v>0</v>
      </c>
      <c r="R561" s="2" t="inlineStr"/>
    </row>
    <row r="562" ht="15" customHeight="1">
      <c r="A562" t="inlineStr">
        <is>
          <t>A 35640-2024</t>
        </is>
      </c>
      <c r="B562" s="1" t="n">
        <v>45531</v>
      </c>
      <c r="C562" s="1" t="n">
        <v>45930</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20692-2025</t>
        </is>
      </c>
      <c r="B563" s="1" t="n">
        <v>45776.46369212963</v>
      </c>
      <c r="C563" s="1" t="n">
        <v>45930</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35636-2025</t>
        </is>
      </c>
      <c r="B564" s="1" t="n">
        <v>45859</v>
      </c>
      <c r="C564" s="1" t="n">
        <v>45930</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35639-2025</t>
        </is>
      </c>
      <c r="B565" s="1" t="n">
        <v>45859</v>
      </c>
      <c r="C565" s="1" t="n">
        <v>45930</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1425-2025</t>
        </is>
      </c>
      <c r="B566" s="1" t="n">
        <v>45668.67446759259</v>
      </c>
      <c r="C566" s="1" t="n">
        <v>45930</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1453-2025</t>
        </is>
      </c>
      <c r="B567" s="1" t="n">
        <v>45670.3079050926</v>
      </c>
      <c r="C567" s="1" t="n">
        <v>45930</v>
      </c>
      <c r="D567" t="inlineStr">
        <is>
          <t>STOCKHOLMS LÄN</t>
        </is>
      </c>
      <c r="E567" t="inlineStr">
        <is>
          <t>NORRTÄLJE</t>
        </is>
      </c>
      <c r="G567" t="n">
        <v>2.6</v>
      </c>
      <c r="H567" t="n">
        <v>0</v>
      </c>
      <c r="I567" t="n">
        <v>0</v>
      </c>
      <c r="J567" t="n">
        <v>0</v>
      </c>
      <c r="K567" t="n">
        <v>0</v>
      </c>
      <c r="L567" t="n">
        <v>0</v>
      </c>
      <c r="M567" t="n">
        <v>0</v>
      </c>
      <c r="N567" t="n">
        <v>0</v>
      </c>
      <c r="O567" t="n">
        <v>0</v>
      </c>
      <c r="P567" t="n">
        <v>0</v>
      </c>
      <c r="Q567" t="n">
        <v>0</v>
      </c>
      <c r="R567" s="2" t="inlineStr"/>
    </row>
    <row r="568" ht="15" customHeight="1">
      <c r="A568" t="inlineStr">
        <is>
          <t>A 8586-2023</t>
        </is>
      </c>
      <c r="B568" s="1" t="n">
        <v>44977</v>
      </c>
      <c r="C568" s="1" t="n">
        <v>45930</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3386-2021</t>
        </is>
      </c>
      <c r="B569" s="1" t="n">
        <v>44218</v>
      </c>
      <c r="C569" s="1" t="n">
        <v>45930</v>
      </c>
      <c r="D569" t="inlineStr">
        <is>
          <t>STOCKHOLMS LÄN</t>
        </is>
      </c>
      <c r="E569" t="inlineStr">
        <is>
          <t>NORRTÄLJE</t>
        </is>
      </c>
      <c r="G569" t="n">
        <v>8</v>
      </c>
      <c r="H569" t="n">
        <v>0</v>
      </c>
      <c r="I569" t="n">
        <v>0</v>
      </c>
      <c r="J569" t="n">
        <v>0</v>
      </c>
      <c r="K569" t="n">
        <v>0</v>
      </c>
      <c r="L569" t="n">
        <v>0</v>
      </c>
      <c r="M569" t="n">
        <v>0</v>
      </c>
      <c r="N569" t="n">
        <v>0</v>
      </c>
      <c r="O569" t="n">
        <v>0</v>
      </c>
      <c r="P569" t="n">
        <v>0</v>
      </c>
      <c r="Q569" t="n">
        <v>0</v>
      </c>
      <c r="R569" s="2" t="inlineStr"/>
    </row>
    <row r="570" ht="15" customHeight="1">
      <c r="A570" t="inlineStr">
        <is>
          <t>A 13860-2023</t>
        </is>
      </c>
      <c r="B570" s="1" t="n">
        <v>45007</v>
      </c>
      <c r="C570" s="1" t="n">
        <v>45930</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6070-2022</t>
        </is>
      </c>
      <c r="B571" s="1" t="n">
        <v>44599.58428240741</v>
      </c>
      <c r="C571" s="1" t="n">
        <v>45930</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46071-2024</t>
        </is>
      </c>
      <c r="B572" s="1" t="n">
        <v>45581</v>
      </c>
      <c r="C572" s="1" t="n">
        <v>45930</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67990-2021</t>
        </is>
      </c>
      <c r="B573" s="1" t="n">
        <v>44525</v>
      </c>
      <c r="C573" s="1" t="n">
        <v>45930</v>
      </c>
      <c r="D573" t="inlineStr">
        <is>
          <t>STOCKHOLMS LÄN</t>
        </is>
      </c>
      <c r="E573" t="inlineStr">
        <is>
          <t>NORRTÄLJE</t>
        </is>
      </c>
      <c r="F573" t="inlineStr">
        <is>
          <t>Sveaskog</t>
        </is>
      </c>
      <c r="G573" t="n">
        <v>7.8</v>
      </c>
      <c r="H573" t="n">
        <v>0</v>
      </c>
      <c r="I573" t="n">
        <v>0</v>
      </c>
      <c r="J573" t="n">
        <v>0</v>
      </c>
      <c r="K573" t="n">
        <v>0</v>
      </c>
      <c r="L573" t="n">
        <v>0</v>
      </c>
      <c r="M573" t="n">
        <v>0</v>
      </c>
      <c r="N573" t="n">
        <v>0</v>
      </c>
      <c r="O573" t="n">
        <v>0</v>
      </c>
      <c r="P573" t="n">
        <v>0</v>
      </c>
      <c r="Q573" t="n">
        <v>0</v>
      </c>
      <c r="R573" s="2" t="inlineStr"/>
    </row>
    <row r="574" ht="15" customHeight="1">
      <c r="A574" t="inlineStr">
        <is>
          <t>A 9130-2025</t>
        </is>
      </c>
      <c r="B574" s="1" t="n">
        <v>45713.92623842593</v>
      </c>
      <c r="C574" s="1" t="n">
        <v>45930</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29369-2024</t>
        </is>
      </c>
      <c r="B575" s="1" t="n">
        <v>45483.57244212963</v>
      </c>
      <c r="C575" s="1" t="n">
        <v>45930</v>
      </c>
      <c r="D575" t="inlineStr">
        <is>
          <t>STOCKHOLMS LÄN</t>
        </is>
      </c>
      <c r="E575" t="inlineStr">
        <is>
          <t>NORRTÄLJE</t>
        </is>
      </c>
      <c r="G575" t="n">
        <v>15.9</v>
      </c>
      <c r="H575" t="n">
        <v>0</v>
      </c>
      <c r="I575" t="n">
        <v>0</v>
      </c>
      <c r="J575" t="n">
        <v>0</v>
      </c>
      <c r="K575" t="n">
        <v>0</v>
      </c>
      <c r="L575" t="n">
        <v>0</v>
      </c>
      <c r="M575" t="n">
        <v>0</v>
      </c>
      <c r="N575" t="n">
        <v>0</v>
      </c>
      <c r="O575" t="n">
        <v>0</v>
      </c>
      <c r="P575" t="n">
        <v>0</v>
      </c>
      <c r="Q575" t="n">
        <v>0</v>
      </c>
      <c r="R575" s="2" t="inlineStr"/>
    </row>
    <row r="576" ht="15" customHeight="1">
      <c r="A576" t="inlineStr">
        <is>
          <t>A 27828-2022</t>
        </is>
      </c>
      <c r="B576" s="1" t="n">
        <v>44743.59765046297</v>
      </c>
      <c r="C576" s="1" t="n">
        <v>45930</v>
      </c>
      <c r="D576" t="inlineStr">
        <is>
          <t>STOCKHOLMS LÄN</t>
        </is>
      </c>
      <c r="E576" t="inlineStr">
        <is>
          <t>NORRTÄLJE</t>
        </is>
      </c>
      <c r="F576" t="inlineStr">
        <is>
          <t>Kommuner</t>
        </is>
      </c>
      <c r="G576" t="n">
        <v>1.6</v>
      </c>
      <c r="H576" t="n">
        <v>0</v>
      </c>
      <c r="I576" t="n">
        <v>0</v>
      </c>
      <c r="J576" t="n">
        <v>0</v>
      </c>
      <c r="K576" t="n">
        <v>0</v>
      </c>
      <c r="L576" t="n">
        <v>0</v>
      </c>
      <c r="M576" t="n">
        <v>0</v>
      </c>
      <c r="N576" t="n">
        <v>0</v>
      </c>
      <c r="O576" t="n">
        <v>0</v>
      </c>
      <c r="P576" t="n">
        <v>0</v>
      </c>
      <c r="Q576" t="n">
        <v>0</v>
      </c>
      <c r="R576" s="2" t="inlineStr"/>
    </row>
    <row r="577" ht="15" customHeight="1">
      <c r="A577" t="inlineStr">
        <is>
          <t>A 37630-2025</t>
        </is>
      </c>
      <c r="B577" s="1" t="n">
        <v>45880.46372685185</v>
      </c>
      <c r="C577" s="1" t="n">
        <v>45930</v>
      </c>
      <c r="D577" t="inlineStr">
        <is>
          <t>STOCKHOLMS LÄN</t>
        </is>
      </c>
      <c r="E577" t="inlineStr">
        <is>
          <t>NORRTÄLJE</t>
        </is>
      </c>
      <c r="F577" t="inlineStr">
        <is>
          <t>Sveaskog</t>
        </is>
      </c>
      <c r="G577" t="n">
        <v>12.9</v>
      </c>
      <c r="H577" t="n">
        <v>0</v>
      </c>
      <c r="I577" t="n">
        <v>0</v>
      </c>
      <c r="J577" t="n">
        <v>0</v>
      </c>
      <c r="K577" t="n">
        <v>0</v>
      </c>
      <c r="L577" t="n">
        <v>0</v>
      </c>
      <c r="M577" t="n">
        <v>0</v>
      </c>
      <c r="N577" t="n">
        <v>0</v>
      </c>
      <c r="O577" t="n">
        <v>0</v>
      </c>
      <c r="P577" t="n">
        <v>0</v>
      </c>
      <c r="Q577" t="n">
        <v>0</v>
      </c>
      <c r="R577" s="2" t="inlineStr"/>
    </row>
    <row r="578" ht="15" customHeight="1">
      <c r="A578" t="inlineStr">
        <is>
          <t>A 8296-2023</t>
        </is>
      </c>
      <c r="B578" s="1" t="n">
        <v>44974</v>
      </c>
      <c r="C578" s="1" t="n">
        <v>45930</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37632-2025</t>
        </is>
      </c>
      <c r="B579" s="1" t="n">
        <v>45880.46524305556</v>
      </c>
      <c r="C579" s="1" t="n">
        <v>45930</v>
      </c>
      <c r="D579" t="inlineStr">
        <is>
          <t>STOCKHOLMS LÄN</t>
        </is>
      </c>
      <c r="E579" t="inlineStr">
        <is>
          <t>NORRTÄLJE</t>
        </is>
      </c>
      <c r="F579" t="inlineStr">
        <is>
          <t>Sveaskog</t>
        </is>
      </c>
      <c r="G579" t="n">
        <v>6.4</v>
      </c>
      <c r="H579" t="n">
        <v>0</v>
      </c>
      <c r="I579" t="n">
        <v>0</v>
      </c>
      <c r="J579" t="n">
        <v>0</v>
      </c>
      <c r="K579" t="n">
        <v>0</v>
      </c>
      <c r="L579" t="n">
        <v>0</v>
      </c>
      <c r="M579" t="n">
        <v>0</v>
      </c>
      <c r="N579" t="n">
        <v>0</v>
      </c>
      <c r="O579" t="n">
        <v>0</v>
      </c>
      <c r="P579" t="n">
        <v>0</v>
      </c>
      <c r="Q579" t="n">
        <v>0</v>
      </c>
      <c r="R579" s="2" t="inlineStr"/>
    </row>
    <row r="580" ht="15" customHeight="1">
      <c r="A580" t="inlineStr">
        <is>
          <t>A 29841-2024</t>
        </is>
      </c>
      <c r="B580" s="1" t="n">
        <v>45485.60261574074</v>
      </c>
      <c r="C580" s="1" t="n">
        <v>45930</v>
      </c>
      <c r="D580" t="inlineStr">
        <is>
          <t>STOCKHOLMS LÄN</t>
        </is>
      </c>
      <c r="E580" t="inlineStr">
        <is>
          <t>NORRTÄLJE</t>
        </is>
      </c>
      <c r="G580" t="n">
        <v>15.9</v>
      </c>
      <c r="H580" t="n">
        <v>0</v>
      </c>
      <c r="I580" t="n">
        <v>0</v>
      </c>
      <c r="J580" t="n">
        <v>0</v>
      </c>
      <c r="K580" t="n">
        <v>0</v>
      </c>
      <c r="L580" t="n">
        <v>0</v>
      </c>
      <c r="M580" t="n">
        <v>0</v>
      </c>
      <c r="N580" t="n">
        <v>0</v>
      </c>
      <c r="O580" t="n">
        <v>0</v>
      </c>
      <c r="P580" t="n">
        <v>0</v>
      </c>
      <c r="Q580" t="n">
        <v>0</v>
      </c>
      <c r="R580" s="2" t="inlineStr"/>
    </row>
    <row r="581" ht="15" customHeight="1">
      <c r="A581" t="inlineStr">
        <is>
          <t>A 31236-2022</t>
        </is>
      </c>
      <c r="B581" s="1" t="n">
        <v>44771</v>
      </c>
      <c r="C581" s="1" t="n">
        <v>45930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59873-2024</t>
        </is>
      </c>
      <c r="B582" s="1" t="n">
        <v>45640.57305555556</v>
      </c>
      <c r="C582" s="1" t="n">
        <v>45930</v>
      </c>
      <c r="D582" t="inlineStr">
        <is>
          <t>STOCKHOLMS LÄN</t>
        </is>
      </c>
      <c r="E582" t="inlineStr">
        <is>
          <t>NORRTÄLJE</t>
        </is>
      </c>
      <c r="G582" t="n">
        <v>3.3</v>
      </c>
      <c r="H582" t="n">
        <v>0</v>
      </c>
      <c r="I582" t="n">
        <v>0</v>
      </c>
      <c r="J582" t="n">
        <v>0</v>
      </c>
      <c r="K582" t="n">
        <v>0</v>
      </c>
      <c r="L582" t="n">
        <v>0</v>
      </c>
      <c r="M582" t="n">
        <v>0</v>
      </c>
      <c r="N582" t="n">
        <v>0</v>
      </c>
      <c r="O582" t="n">
        <v>0</v>
      </c>
      <c r="P582" t="n">
        <v>0</v>
      </c>
      <c r="Q582" t="n">
        <v>0</v>
      </c>
      <c r="R582" s="2" t="inlineStr"/>
    </row>
    <row r="583" ht="15" customHeight="1">
      <c r="A583" t="inlineStr">
        <is>
          <t>A 22412-2021</t>
        </is>
      </c>
      <c r="B583" s="1" t="n">
        <v>44326.61967592593</v>
      </c>
      <c r="C583" s="1" t="n">
        <v>45930</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37628-2025</t>
        </is>
      </c>
      <c r="B584" s="1" t="n">
        <v>45880.46189814815</v>
      </c>
      <c r="C584" s="1" t="n">
        <v>45930</v>
      </c>
      <c r="D584" t="inlineStr">
        <is>
          <t>STOCKHOLMS LÄN</t>
        </is>
      </c>
      <c r="E584" t="inlineStr">
        <is>
          <t>NORRTÄLJE</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48161-2022</t>
        </is>
      </c>
      <c r="B585" s="1" t="n">
        <v>44858</v>
      </c>
      <c r="C585" s="1" t="n">
        <v>45930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52593-2024</t>
        </is>
      </c>
      <c r="B586" s="1" t="n">
        <v>45609.70778935185</v>
      </c>
      <c r="C586" s="1" t="n">
        <v>45930</v>
      </c>
      <c r="D586" t="inlineStr">
        <is>
          <t>STOCKHOLMS LÄN</t>
        </is>
      </c>
      <c r="E586" t="inlineStr">
        <is>
          <t>NORRTÄLJE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52617-2024</t>
        </is>
      </c>
      <c r="B587" s="1" t="n">
        <v>45609.85146990741</v>
      </c>
      <c r="C587" s="1" t="n">
        <v>45930</v>
      </c>
      <c r="D587" t="inlineStr">
        <is>
          <t>STOCKHOLMS LÄN</t>
        </is>
      </c>
      <c r="E587" t="inlineStr">
        <is>
          <t>NORRTÄLJE</t>
        </is>
      </c>
      <c r="G587" t="n">
        <v>0.8</v>
      </c>
      <c r="H587" t="n">
        <v>0</v>
      </c>
      <c r="I587" t="n">
        <v>0</v>
      </c>
      <c r="J587" t="n">
        <v>0</v>
      </c>
      <c r="K587" t="n">
        <v>0</v>
      </c>
      <c r="L587" t="n">
        <v>0</v>
      </c>
      <c r="M587" t="n">
        <v>0</v>
      </c>
      <c r="N587" t="n">
        <v>0</v>
      </c>
      <c r="O587" t="n">
        <v>0</v>
      </c>
      <c r="P587" t="n">
        <v>0</v>
      </c>
      <c r="Q587" t="n">
        <v>0</v>
      </c>
      <c r="R587" s="2" t="inlineStr"/>
    </row>
    <row r="588" ht="15" customHeight="1">
      <c r="A588" t="inlineStr">
        <is>
          <t>A 27824-2022</t>
        </is>
      </c>
      <c r="B588" s="1" t="n">
        <v>44743.59331018518</v>
      </c>
      <c r="C588" s="1" t="n">
        <v>45930</v>
      </c>
      <c r="D588" t="inlineStr">
        <is>
          <t>STOCKHOLMS LÄN</t>
        </is>
      </c>
      <c r="E588" t="inlineStr">
        <is>
          <t>NORRTÄLJE</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21696-2024</t>
        </is>
      </c>
      <c r="B589" s="1" t="n">
        <v>45442.45686342593</v>
      </c>
      <c r="C589" s="1" t="n">
        <v>45930</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37136-2023</t>
        </is>
      </c>
      <c r="B590" s="1" t="n">
        <v>45155</v>
      </c>
      <c r="C590" s="1" t="n">
        <v>45930</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43150-2023</t>
        </is>
      </c>
      <c r="B591" s="1" t="n">
        <v>45183</v>
      </c>
      <c r="C591" s="1" t="n">
        <v>45930</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19058-2024</t>
        </is>
      </c>
      <c r="B592" s="1" t="n">
        <v>45427.89121527778</v>
      </c>
      <c r="C592" s="1" t="n">
        <v>45930</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59534-2024</t>
        </is>
      </c>
      <c r="B593" s="1" t="n">
        <v>45638.5987037037</v>
      </c>
      <c r="C593" s="1" t="n">
        <v>45930</v>
      </c>
      <c r="D593" t="inlineStr">
        <is>
          <t>STOCKHOLMS LÄN</t>
        </is>
      </c>
      <c r="E593" t="inlineStr">
        <is>
          <t>NORRTÄLJE</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47521-2024</t>
        </is>
      </c>
      <c r="B594" s="1" t="n">
        <v>45587.62565972222</v>
      </c>
      <c r="C594" s="1" t="n">
        <v>45930</v>
      </c>
      <c r="D594" t="inlineStr">
        <is>
          <t>STOCKHOLMS LÄN</t>
        </is>
      </c>
      <c r="E594" t="inlineStr">
        <is>
          <t>NORRTÄLJE</t>
        </is>
      </c>
      <c r="G594" t="n">
        <v>4.7</v>
      </c>
      <c r="H594" t="n">
        <v>0</v>
      </c>
      <c r="I594" t="n">
        <v>0</v>
      </c>
      <c r="J594" t="n">
        <v>0</v>
      </c>
      <c r="K594" t="n">
        <v>0</v>
      </c>
      <c r="L594" t="n">
        <v>0</v>
      </c>
      <c r="M594" t="n">
        <v>0</v>
      </c>
      <c r="N594" t="n">
        <v>0</v>
      </c>
      <c r="O594" t="n">
        <v>0</v>
      </c>
      <c r="P594" t="n">
        <v>0</v>
      </c>
      <c r="Q594" t="n">
        <v>0</v>
      </c>
      <c r="R594" s="2" t="inlineStr"/>
    </row>
    <row r="595" ht="15" customHeight="1">
      <c r="A595" t="inlineStr">
        <is>
          <t>A 45697-2025</t>
        </is>
      </c>
      <c r="B595" s="1" t="n">
        <v>45923.39877314815</v>
      </c>
      <c r="C595" s="1" t="n">
        <v>45930</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23307-2024</t>
        </is>
      </c>
      <c r="B596" s="1" t="n">
        <v>45453</v>
      </c>
      <c r="C596" s="1" t="n">
        <v>45930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24350-2025</t>
        </is>
      </c>
      <c r="B597" s="1" t="n">
        <v>45797.58350694444</v>
      </c>
      <c r="C597" s="1" t="n">
        <v>45930</v>
      </c>
      <c r="D597" t="inlineStr">
        <is>
          <t>STOCKHOLMS LÄN</t>
        </is>
      </c>
      <c r="E597" t="inlineStr">
        <is>
          <t>NORRTÄLJE</t>
        </is>
      </c>
      <c r="G597" t="n">
        <v>4.5</v>
      </c>
      <c r="H597" t="n">
        <v>0</v>
      </c>
      <c r="I597" t="n">
        <v>0</v>
      </c>
      <c r="J597" t="n">
        <v>0</v>
      </c>
      <c r="K597" t="n">
        <v>0</v>
      </c>
      <c r="L597" t="n">
        <v>0</v>
      </c>
      <c r="M597" t="n">
        <v>0</v>
      </c>
      <c r="N597" t="n">
        <v>0</v>
      </c>
      <c r="O597" t="n">
        <v>0</v>
      </c>
      <c r="P597" t="n">
        <v>0</v>
      </c>
      <c r="Q597" t="n">
        <v>0</v>
      </c>
      <c r="R597" s="2" t="inlineStr"/>
    </row>
    <row r="598" ht="15" customHeight="1">
      <c r="A598" t="inlineStr">
        <is>
          <t>A 19450-2025</t>
        </is>
      </c>
      <c r="B598" s="1" t="n">
        <v>45770</v>
      </c>
      <c r="C598" s="1" t="n">
        <v>45930</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2281-2024</t>
        </is>
      </c>
      <c r="B599" s="1" t="n">
        <v>45310.40628472222</v>
      </c>
      <c r="C599" s="1" t="n">
        <v>45930</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2287-2024</t>
        </is>
      </c>
      <c r="B600" s="1" t="n">
        <v>45310</v>
      </c>
      <c r="C600" s="1" t="n">
        <v>45930</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1740-2023</t>
        </is>
      </c>
      <c r="B601" s="1" t="n">
        <v>44938</v>
      </c>
      <c r="C601" s="1" t="n">
        <v>45930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20618-2022</t>
        </is>
      </c>
      <c r="B602" s="1" t="n">
        <v>44700.50659722222</v>
      </c>
      <c r="C602" s="1" t="n">
        <v>45930</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26703-2025</t>
        </is>
      </c>
      <c r="B603" s="1" t="n">
        <v>45810.45263888889</v>
      </c>
      <c r="C603" s="1" t="n">
        <v>45930</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59504-2023</t>
        </is>
      </c>
      <c r="B604" s="1" t="n">
        <v>45254</v>
      </c>
      <c r="C604" s="1" t="n">
        <v>45930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13137-2024</t>
        </is>
      </c>
      <c r="B605" s="1" t="n">
        <v>45386.34175925926</v>
      </c>
      <c r="C605" s="1" t="n">
        <v>45930</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38153-2025</t>
        </is>
      </c>
      <c r="B606" s="1" t="n">
        <v>45882.59722222222</v>
      </c>
      <c r="C606" s="1" t="n">
        <v>45930</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25656-2023</t>
        </is>
      </c>
      <c r="B607" s="1" t="n">
        <v>45089</v>
      </c>
      <c r="C607" s="1" t="n">
        <v>45930</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38049-2023</t>
        </is>
      </c>
      <c r="B608" s="1" t="n">
        <v>45159</v>
      </c>
      <c r="C608" s="1" t="n">
        <v>45930</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3966-2024</t>
        </is>
      </c>
      <c r="B609" s="1" t="n">
        <v>45322</v>
      </c>
      <c r="C609" s="1" t="n">
        <v>45930</v>
      </c>
      <c r="D609" t="inlineStr">
        <is>
          <t>STOCKHOLMS LÄN</t>
        </is>
      </c>
      <c r="E609" t="inlineStr">
        <is>
          <t>NORRTÄLJE</t>
        </is>
      </c>
      <c r="G609" t="n">
        <v>5.3</v>
      </c>
      <c r="H609" t="n">
        <v>0</v>
      </c>
      <c r="I609" t="n">
        <v>0</v>
      </c>
      <c r="J609" t="n">
        <v>0</v>
      </c>
      <c r="K609" t="n">
        <v>0</v>
      </c>
      <c r="L609" t="n">
        <v>0</v>
      </c>
      <c r="M609" t="n">
        <v>0</v>
      </c>
      <c r="N609" t="n">
        <v>0</v>
      </c>
      <c r="O609" t="n">
        <v>0</v>
      </c>
      <c r="P609" t="n">
        <v>0</v>
      </c>
      <c r="Q609" t="n">
        <v>0</v>
      </c>
      <c r="R609" s="2" t="inlineStr"/>
    </row>
    <row r="610" ht="15" customHeight="1">
      <c r="A610" t="inlineStr">
        <is>
          <t>A 50534-2024</t>
        </is>
      </c>
      <c r="B610" s="1" t="n">
        <v>45601.56726851852</v>
      </c>
      <c r="C610" s="1" t="n">
        <v>45930</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17348-2024</t>
        </is>
      </c>
      <c r="B611" s="1" t="n">
        <v>45414.58650462963</v>
      </c>
      <c r="C611" s="1" t="n">
        <v>45930</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66662-2020</t>
        </is>
      </c>
      <c r="B612" s="1" t="n">
        <v>44179</v>
      </c>
      <c r="C612" s="1" t="n">
        <v>45930</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42094-2023</t>
        </is>
      </c>
      <c r="B613" s="1" t="n">
        <v>45177.61498842593</v>
      </c>
      <c r="C613" s="1" t="n">
        <v>45930</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58530-2024</t>
        </is>
      </c>
      <c r="B614" s="1" t="n">
        <v>45635.44788194444</v>
      </c>
      <c r="C614" s="1" t="n">
        <v>45930</v>
      </c>
      <c r="D614" t="inlineStr">
        <is>
          <t>STOCKHOLMS LÄN</t>
        </is>
      </c>
      <c r="E614" t="inlineStr">
        <is>
          <t>NORRTÄLJE</t>
        </is>
      </c>
      <c r="G614" t="n">
        <v>4.5</v>
      </c>
      <c r="H614" t="n">
        <v>0</v>
      </c>
      <c r="I614" t="n">
        <v>0</v>
      </c>
      <c r="J614" t="n">
        <v>0</v>
      </c>
      <c r="K614" t="n">
        <v>0</v>
      </c>
      <c r="L614" t="n">
        <v>0</v>
      </c>
      <c r="M614" t="n">
        <v>0</v>
      </c>
      <c r="N614" t="n">
        <v>0</v>
      </c>
      <c r="O614" t="n">
        <v>0</v>
      </c>
      <c r="P614" t="n">
        <v>0</v>
      </c>
      <c r="Q614" t="n">
        <v>0</v>
      </c>
      <c r="R614" s="2" t="inlineStr"/>
    </row>
    <row r="615" ht="15" customHeight="1">
      <c r="A615" t="inlineStr">
        <is>
          <t>A 63824-2020</t>
        </is>
      </c>
      <c r="B615" s="1" t="n">
        <v>44162</v>
      </c>
      <c r="C615" s="1" t="n">
        <v>45930</v>
      </c>
      <c r="D615" t="inlineStr">
        <is>
          <t>STOCKHOLMS LÄN</t>
        </is>
      </c>
      <c r="E615" t="inlineStr">
        <is>
          <t>NORRTÄLJE</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30620-2022</t>
        </is>
      </c>
      <c r="B616" s="1" t="n">
        <v>44763.40914351852</v>
      </c>
      <c r="C616" s="1" t="n">
        <v>45930</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38591-2023</t>
        </is>
      </c>
      <c r="B617" s="1" t="n">
        <v>45162</v>
      </c>
      <c r="C617" s="1" t="n">
        <v>45930</v>
      </c>
      <c r="D617" t="inlineStr">
        <is>
          <t>STOCKHOLMS LÄN</t>
        </is>
      </c>
      <c r="E617" t="inlineStr">
        <is>
          <t>NORRTÄLJE</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3273-2025</t>
        </is>
      </c>
      <c r="B618" s="1" t="n">
        <v>45679</v>
      </c>
      <c r="C618" s="1" t="n">
        <v>45930</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57602-2024</t>
        </is>
      </c>
      <c r="B619" s="1" t="n">
        <v>45630.52866898148</v>
      </c>
      <c r="C619" s="1" t="n">
        <v>45930</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5423-2023</t>
        </is>
      </c>
      <c r="B620" s="1" t="n">
        <v>44959.74533564815</v>
      </c>
      <c r="C620" s="1" t="n">
        <v>45930</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58492-2022</t>
        </is>
      </c>
      <c r="B621" s="1" t="n">
        <v>44902</v>
      </c>
      <c r="C621" s="1" t="n">
        <v>45930</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11854-2025</t>
        </is>
      </c>
      <c r="B622" s="1" t="n">
        <v>45728.38924768518</v>
      </c>
      <c r="C622" s="1" t="n">
        <v>45930</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1283-2025</t>
        </is>
      </c>
      <c r="B623" s="1" t="n">
        <v>45667.49878472222</v>
      </c>
      <c r="C623" s="1" t="n">
        <v>45930</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34461-2023</t>
        </is>
      </c>
      <c r="B624" s="1" t="n">
        <v>45139</v>
      </c>
      <c r="C624" s="1" t="n">
        <v>45930</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13291-2025</t>
        </is>
      </c>
      <c r="B625" s="1" t="n">
        <v>45735</v>
      </c>
      <c r="C625" s="1" t="n">
        <v>45930</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15217-2023</t>
        </is>
      </c>
      <c r="B626" s="1" t="n">
        <v>45019.28847222222</v>
      </c>
      <c r="C626" s="1" t="n">
        <v>45930</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60217-2021</t>
        </is>
      </c>
      <c r="B627" s="1" t="n">
        <v>44495.5893287037</v>
      </c>
      <c r="C627" s="1" t="n">
        <v>45930</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24522-2023</t>
        </is>
      </c>
      <c r="B628" s="1" t="n">
        <v>45082.69179398148</v>
      </c>
      <c r="C628" s="1" t="n">
        <v>45930</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4581-2025</t>
        </is>
      </c>
      <c r="B629" s="1" t="n">
        <v>45687</v>
      </c>
      <c r="C629" s="1" t="n">
        <v>45930</v>
      </c>
      <c r="D629" t="inlineStr">
        <is>
          <t>STOCKHOLMS LÄN</t>
        </is>
      </c>
      <c r="E629" t="inlineStr">
        <is>
          <t>NORRTÄLJE</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28900-2022</t>
        </is>
      </c>
      <c r="B630" s="1" t="n">
        <v>44749.55258101852</v>
      </c>
      <c r="C630" s="1" t="n">
        <v>45930</v>
      </c>
      <c r="D630" t="inlineStr">
        <is>
          <t>STOCKHOLMS LÄN</t>
        </is>
      </c>
      <c r="E630" t="inlineStr">
        <is>
          <t>NORRTÄLJE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32514-2022</t>
        </is>
      </c>
      <c r="B631" s="1" t="n">
        <v>44782</v>
      </c>
      <c r="C631" s="1" t="n">
        <v>45930</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29176-2024</t>
        </is>
      </c>
      <c r="B632" s="1" t="n">
        <v>45482.53388888889</v>
      </c>
      <c r="C632" s="1" t="n">
        <v>45930</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36157-2024</t>
        </is>
      </c>
      <c r="B633" s="1" t="n">
        <v>45534.38240740741</v>
      </c>
      <c r="C633" s="1" t="n">
        <v>45930</v>
      </c>
      <c r="D633" t="inlineStr">
        <is>
          <t>STOCKHOLMS LÄN</t>
        </is>
      </c>
      <c r="E633" t="inlineStr">
        <is>
          <t>NORRTÄLJE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62398-2022</t>
        </is>
      </c>
      <c r="B634" s="1" t="n">
        <v>44923.90159722222</v>
      </c>
      <c r="C634" s="1" t="n">
        <v>45930</v>
      </c>
      <c r="D634" t="inlineStr">
        <is>
          <t>STOCKHOLMS LÄN</t>
        </is>
      </c>
      <c r="E634" t="inlineStr">
        <is>
          <t>NORRTÄLJE</t>
        </is>
      </c>
      <c r="G634" t="n">
        <v>4</v>
      </c>
      <c r="H634" t="n">
        <v>0</v>
      </c>
      <c r="I634" t="n">
        <v>0</v>
      </c>
      <c r="J634" t="n">
        <v>0</v>
      </c>
      <c r="K634" t="n">
        <v>0</v>
      </c>
      <c r="L634" t="n">
        <v>0</v>
      </c>
      <c r="M634" t="n">
        <v>0</v>
      </c>
      <c r="N634" t="n">
        <v>0</v>
      </c>
      <c r="O634" t="n">
        <v>0</v>
      </c>
      <c r="P634" t="n">
        <v>0</v>
      </c>
      <c r="Q634" t="n">
        <v>0</v>
      </c>
      <c r="R634" s="2" t="inlineStr"/>
    </row>
    <row r="635" ht="15" customHeight="1">
      <c r="A635" t="inlineStr">
        <is>
          <t>A 68081-2020</t>
        </is>
      </c>
      <c r="B635" s="1" t="n">
        <v>44183</v>
      </c>
      <c r="C635" s="1" t="n">
        <v>45930</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17039-2024</t>
        </is>
      </c>
      <c r="B636" s="1" t="n">
        <v>45412.4104050926</v>
      </c>
      <c r="C636" s="1" t="n">
        <v>45930</v>
      </c>
      <c r="D636" t="inlineStr">
        <is>
          <t>STOCKHOLMS LÄN</t>
        </is>
      </c>
      <c r="E636" t="inlineStr">
        <is>
          <t>NORRTÄLJE</t>
        </is>
      </c>
      <c r="G636" t="n">
        <v>5.9</v>
      </c>
      <c r="H636" t="n">
        <v>0</v>
      </c>
      <c r="I636" t="n">
        <v>0</v>
      </c>
      <c r="J636" t="n">
        <v>0</v>
      </c>
      <c r="K636" t="n">
        <v>0</v>
      </c>
      <c r="L636" t="n">
        <v>0</v>
      </c>
      <c r="M636" t="n">
        <v>0</v>
      </c>
      <c r="N636" t="n">
        <v>0</v>
      </c>
      <c r="O636" t="n">
        <v>0</v>
      </c>
      <c r="P636" t="n">
        <v>0</v>
      </c>
      <c r="Q636" t="n">
        <v>0</v>
      </c>
      <c r="R636" s="2" t="inlineStr"/>
    </row>
    <row r="637" ht="15" customHeight="1">
      <c r="A637" t="inlineStr">
        <is>
          <t>A 4596-2023</t>
        </is>
      </c>
      <c r="B637" s="1" t="n">
        <v>44956</v>
      </c>
      <c r="C637" s="1" t="n">
        <v>45930</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4438-2023</t>
        </is>
      </c>
      <c r="B638" s="1" t="n">
        <v>44956</v>
      </c>
      <c r="C638" s="1" t="n">
        <v>45930</v>
      </c>
      <c r="D638" t="inlineStr">
        <is>
          <t>STOCKHOLMS LÄN</t>
        </is>
      </c>
      <c r="E638" t="inlineStr">
        <is>
          <t>NORRTÄLJE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24727-2023</t>
        </is>
      </c>
      <c r="B639" s="1" t="n">
        <v>45084.57695601852</v>
      </c>
      <c r="C639" s="1" t="n">
        <v>45930</v>
      </c>
      <c r="D639" t="inlineStr">
        <is>
          <t>STOCKHOLMS LÄN</t>
        </is>
      </c>
      <c r="E639" t="inlineStr">
        <is>
          <t>NORRTÄLJE</t>
        </is>
      </c>
      <c r="F639" t="inlineStr">
        <is>
          <t>Holmen skog AB</t>
        </is>
      </c>
      <c r="G639" t="n">
        <v>2.2</v>
      </c>
      <c r="H639" t="n">
        <v>0</v>
      </c>
      <c r="I639" t="n">
        <v>0</v>
      </c>
      <c r="J639" t="n">
        <v>0</v>
      </c>
      <c r="K639" t="n">
        <v>0</v>
      </c>
      <c r="L639" t="n">
        <v>0</v>
      </c>
      <c r="M639" t="n">
        <v>0</v>
      </c>
      <c r="N639" t="n">
        <v>0</v>
      </c>
      <c r="O639" t="n">
        <v>0</v>
      </c>
      <c r="P639" t="n">
        <v>0</v>
      </c>
      <c r="Q639" t="n">
        <v>0</v>
      </c>
      <c r="R639" s="2" t="inlineStr"/>
    </row>
    <row r="640" ht="15" customHeight="1">
      <c r="A640" t="inlineStr">
        <is>
          <t>A 23125-2022</t>
        </is>
      </c>
      <c r="B640" s="1" t="n">
        <v>44719</v>
      </c>
      <c r="C640" s="1" t="n">
        <v>45930</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3509-2022</t>
        </is>
      </c>
      <c r="B641" s="1" t="n">
        <v>44585</v>
      </c>
      <c r="C641" s="1" t="n">
        <v>45930</v>
      </c>
      <c r="D641" t="inlineStr">
        <is>
          <t>STOCKHOLMS LÄN</t>
        </is>
      </c>
      <c r="E641" t="inlineStr">
        <is>
          <t>NORRTÄLJE</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59904-2023</t>
        </is>
      </c>
      <c r="B642" s="1" t="n">
        <v>45257</v>
      </c>
      <c r="C642" s="1" t="n">
        <v>45930</v>
      </c>
      <c r="D642" t="inlineStr">
        <is>
          <t>STOCKHOLMS LÄN</t>
        </is>
      </c>
      <c r="E642" t="inlineStr">
        <is>
          <t>NORRTÄLJE</t>
        </is>
      </c>
      <c r="G642" t="n">
        <v>17.4</v>
      </c>
      <c r="H642" t="n">
        <v>0</v>
      </c>
      <c r="I642" t="n">
        <v>0</v>
      </c>
      <c r="J642" t="n">
        <v>0</v>
      </c>
      <c r="K642" t="n">
        <v>0</v>
      </c>
      <c r="L642" t="n">
        <v>0</v>
      </c>
      <c r="M642" t="n">
        <v>0</v>
      </c>
      <c r="N642" t="n">
        <v>0</v>
      </c>
      <c r="O642" t="n">
        <v>0</v>
      </c>
      <c r="P642" t="n">
        <v>0</v>
      </c>
      <c r="Q642" t="n">
        <v>0</v>
      </c>
      <c r="R642" s="2" t="inlineStr"/>
    </row>
    <row r="643" ht="15" customHeight="1">
      <c r="A643" t="inlineStr">
        <is>
          <t>A 36308-2022</t>
        </is>
      </c>
      <c r="B643" s="1" t="n">
        <v>44803</v>
      </c>
      <c r="C643" s="1" t="n">
        <v>45930</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45930</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7697-2025</t>
        </is>
      </c>
      <c r="B645" s="1" t="n">
        <v>45706.40086805556</v>
      </c>
      <c r="C645" s="1" t="n">
        <v>45930</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6855-2025</t>
        </is>
      </c>
      <c r="B646" s="1" t="n">
        <v>45700</v>
      </c>
      <c r="C646" s="1" t="n">
        <v>45930</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39669-2024</t>
        </is>
      </c>
      <c r="B647" s="1" t="n">
        <v>45552.52827546297</v>
      </c>
      <c r="C647" s="1" t="n">
        <v>45930</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14873-2025</t>
        </is>
      </c>
      <c r="B648" s="1" t="n">
        <v>45743.44953703704</v>
      </c>
      <c r="C648" s="1" t="n">
        <v>45930</v>
      </c>
      <c r="D648" t="inlineStr">
        <is>
          <t>STOCKHOLMS LÄN</t>
        </is>
      </c>
      <c r="E648" t="inlineStr">
        <is>
          <t>NORRTÄLJE</t>
        </is>
      </c>
      <c r="G648" t="n">
        <v>10.2</v>
      </c>
      <c r="H648" t="n">
        <v>0</v>
      </c>
      <c r="I648" t="n">
        <v>0</v>
      </c>
      <c r="J648" t="n">
        <v>0</v>
      </c>
      <c r="K648" t="n">
        <v>0</v>
      </c>
      <c r="L648" t="n">
        <v>0</v>
      </c>
      <c r="M648" t="n">
        <v>0</v>
      </c>
      <c r="N648" t="n">
        <v>0</v>
      </c>
      <c r="O648" t="n">
        <v>0</v>
      </c>
      <c r="P648" t="n">
        <v>0</v>
      </c>
      <c r="Q648" t="n">
        <v>0</v>
      </c>
      <c r="R648" s="2" t="inlineStr"/>
    </row>
    <row r="649" ht="15" customHeight="1">
      <c r="A649" t="inlineStr">
        <is>
          <t>A 8135-2025</t>
        </is>
      </c>
      <c r="B649" s="1" t="n">
        <v>45707.84997685185</v>
      </c>
      <c r="C649" s="1" t="n">
        <v>45930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31936-2022</t>
        </is>
      </c>
      <c r="B650" s="1" t="n">
        <v>44777</v>
      </c>
      <c r="C650" s="1" t="n">
        <v>45930</v>
      </c>
      <c r="D650" t="inlineStr">
        <is>
          <t>STOCKHOLMS LÄN</t>
        </is>
      </c>
      <c r="E650" t="inlineStr">
        <is>
          <t>NORRTÄLJE</t>
        </is>
      </c>
      <c r="G650" t="n">
        <v>5.2</v>
      </c>
      <c r="H650" t="n">
        <v>0</v>
      </c>
      <c r="I650" t="n">
        <v>0</v>
      </c>
      <c r="J650" t="n">
        <v>0</v>
      </c>
      <c r="K650" t="n">
        <v>0</v>
      </c>
      <c r="L650" t="n">
        <v>0</v>
      </c>
      <c r="M650" t="n">
        <v>0</v>
      </c>
      <c r="N650" t="n">
        <v>0</v>
      </c>
      <c r="O650" t="n">
        <v>0</v>
      </c>
      <c r="P650" t="n">
        <v>0</v>
      </c>
      <c r="Q650" t="n">
        <v>0</v>
      </c>
      <c r="R650" s="2" t="inlineStr"/>
    </row>
    <row r="651" ht="15" customHeight="1">
      <c r="A651" t="inlineStr">
        <is>
          <t>A 2982-2023</t>
        </is>
      </c>
      <c r="B651" s="1" t="n">
        <v>44945.67409722223</v>
      </c>
      <c r="C651" s="1" t="n">
        <v>45930</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1448-2023</t>
        </is>
      </c>
      <c r="B652" s="1" t="n">
        <v>44937</v>
      </c>
      <c r="C652" s="1" t="n">
        <v>45930</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18787-2022</t>
        </is>
      </c>
      <c r="B653" s="1" t="n">
        <v>44687</v>
      </c>
      <c r="C653" s="1" t="n">
        <v>45930</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24887-2023</t>
        </is>
      </c>
      <c r="B654" s="1" t="n">
        <v>45085</v>
      </c>
      <c r="C654" s="1" t="n">
        <v>45930</v>
      </c>
      <c r="D654" t="inlineStr">
        <is>
          <t>STOCKHOLMS LÄN</t>
        </is>
      </c>
      <c r="E654" t="inlineStr">
        <is>
          <t>NORRTÄLJE</t>
        </is>
      </c>
      <c r="G654" t="n">
        <v>13.9</v>
      </c>
      <c r="H654" t="n">
        <v>0</v>
      </c>
      <c r="I654" t="n">
        <v>0</v>
      </c>
      <c r="J654" t="n">
        <v>0</v>
      </c>
      <c r="K654" t="n">
        <v>0</v>
      </c>
      <c r="L654" t="n">
        <v>0</v>
      </c>
      <c r="M654" t="n">
        <v>0</v>
      </c>
      <c r="N654" t="n">
        <v>0</v>
      </c>
      <c r="O654" t="n">
        <v>0</v>
      </c>
      <c r="P654" t="n">
        <v>0</v>
      </c>
      <c r="Q654" t="n">
        <v>0</v>
      </c>
      <c r="R654" s="2" t="inlineStr"/>
    </row>
    <row r="655" ht="15" customHeight="1">
      <c r="A655" t="inlineStr">
        <is>
          <t>A 35127-2023</t>
        </is>
      </c>
      <c r="B655" s="1" t="n">
        <v>45145.51</v>
      </c>
      <c r="C655" s="1" t="n">
        <v>45930</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56428-2023</t>
        </is>
      </c>
      <c r="B656" s="1" t="n">
        <v>45243.45289351852</v>
      </c>
      <c r="C656" s="1" t="n">
        <v>45930</v>
      </c>
      <c r="D656" t="inlineStr">
        <is>
          <t>STOCKHOLMS LÄN</t>
        </is>
      </c>
      <c r="E656" t="inlineStr">
        <is>
          <t>NORRTÄLJE</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50136-2023</t>
        </is>
      </c>
      <c r="B657" s="1" t="n">
        <v>45215</v>
      </c>
      <c r="C657" s="1" t="n">
        <v>45930</v>
      </c>
      <c r="D657" t="inlineStr">
        <is>
          <t>STOCKHOLMS LÄN</t>
        </is>
      </c>
      <c r="E657" t="inlineStr">
        <is>
          <t>NORRTÄLJE</t>
        </is>
      </c>
      <c r="G657" t="n">
        <v>5.2</v>
      </c>
      <c r="H657" t="n">
        <v>0</v>
      </c>
      <c r="I657" t="n">
        <v>0</v>
      </c>
      <c r="J657" t="n">
        <v>0</v>
      </c>
      <c r="K657" t="n">
        <v>0</v>
      </c>
      <c r="L657" t="n">
        <v>0</v>
      </c>
      <c r="M657" t="n">
        <v>0</v>
      </c>
      <c r="N657" t="n">
        <v>0</v>
      </c>
      <c r="O657" t="n">
        <v>0</v>
      </c>
      <c r="P657" t="n">
        <v>0</v>
      </c>
      <c r="Q657" t="n">
        <v>0</v>
      </c>
      <c r="R657" s="2" t="inlineStr"/>
    </row>
    <row r="658" ht="15" customHeight="1">
      <c r="A658" t="inlineStr">
        <is>
          <t>A 30338-2022</t>
        </is>
      </c>
      <c r="B658" s="1" t="n">
        <v>44760</v>
      </c>
      <c r="C658" s="1" t="n">
        <v>45930</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50497-2020</t>
        </is>
      </c>
      <c r="B659" s="1" t="n">
        <v>44110</v>
      </c>
      <c r="C659" s="1" t="n">
        <v>45930</v>
      </c>
      <c r="D659" t="inlineStr">
        <is>
          <t>STOCKHOLMS LÄN</t>
        </is>
      </c>
      <c r="E659" t="inlineStr">
        <is>
          <t>NORRTÄLJE</t>
        </is>
      </c>
      <c r="F659" t="inlineStr">
        <is>
          <t>Holmen skog AB</t>
        </is>
      </c>
      <c r="G659" t="n">
        <v>4.3</v>
      </c>
      <c r="H659" t="n">
        <v>0</v>
      </c>
      <c r="I659" t="n">
        <v>0</v>
      </c>
      <c r="J659" t="n">
        <v>0</v>
      </c>
      <c r="K659" t="n">
        <v>0</v>
      </c>
      <c r="L659" t="n">
        <v>0</v>
      </c>
      <c r="M659" t="n">
        <v>0</v>
      </c>
      <c r="N659" t="n">
        <v>0</v>
      </c>
      <c r="O659" t="n">
        <v>0</v>
      </c>
      <c r="P659" t="n">
        <v>0</v>
      </c>
      <c r="Q659" t="n">
        <v>0</v>
      </c>
      <c r="R659" s="2" t="inlineStr"/>
    </row>
    <row r="660" ht="15" customHeight="1">
      <c r="A660" t="inlineStr">
        <is>
          <t>A 38593-2025</t>
        </is>
      </c>
      <c r="B660" s="1" t="n">
        <v>45884.48696759259</v>
      </c>
      <c r="C660" s="1" t="n">
        <v>45930</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18541-2023</t>
        </is>
      </c>
      <c r="B661" s="1" t="n">
        <v>45042.74291666667</v>
      </c>
      <c r="C661" s="1" t="n">
        <v>45930</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32857-2021</t>
        </is>
      </c>
      <c r="B662" s="1" t="n">
        <v>44375</v>
      </c>
      <c r="C662" s="1" t="n">
        <v>45930</v>
      </c>
      <c r="D662" t="inlineStr">
        <is>
          <t>STOCKHOLMS LÄN</t>
        </is>
      </c>
      <c r="E662" t="inlineStr">
        <is>
          <t>NORRTÄLJE</t>
        </is>
      </c>
      <c r="G662" t="n">
        <v>2.9</v>
      </c>
      <c r="H662" t="n">
        <v>0</v>
      </c>
      <c r="I662" t="n">
        <v>0</v>
      </c>
      <c r="J662" t="n">
        <v>0</v>
      </c>
      <c r="K662" t="n">
        <v>0</v>
      </c>
      <c r="L662" t="n">
        <v>0</v>
      </c>
      <c r="M662" t="n">
        <v>0</v>
      </c>
      <c r="N662" t="n">
        <v>0</v>
      </c>
      <c r="O662" t="n">
        <v>0</v>
      </c>
      <c r="P662" t="n">
        <v>0</v>
      </c>
      <c r="Q662" t="n">
        <v>0</v>
      </c>
      <c r="R662" s="2" t="inlineStr"/>
    </row>
    <row r="663" ht="15" customHeight="1">
      <c r="A663" t="inlineStr">
        <is>
          <t>A 51325-2023</t>
        </is>
      </c>
      <c r="B663" s="1" t="n">
        <v>45219</v>
      </c>
      <c r="C663" s="1" t="n">
        <v>45930</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21729-2024</t>
        </is>
      </c>
      <c r="B664" s="1" t="n">
        <v>45442</v>
      </c>
      <c r="C664" s="1" t="n">
        <v>45930</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21894-2023</t>
        </is>
      </c>
      <c r="B665" s="1" t="n">
        <v>45068.51783564815</v>
      </c>
      <c r="C665" s="1" t="n">
        <v>45930</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50108-2021</t>
        </is>
      </c>
      <c r="B666" s="1" t="n">
        <v>44456</v>
      </c>
      <c r="C666" s="1" t="n">
        <v>45930</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21732-2023</t>
        </is>
      </c>
      <c r="B667" s="1" t="n">
        <v>45063</v>
      </c>
      <c r="C667" s="1" t="n">
        <v>45930</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45930</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22816-2021</t>
        </is>
      </c>
      <c r="B669" s="1" t="n">
        <v>44325</v>
      </c>
      <c r="C669" s="1" t="n">
        <v>45930</v>
      </c>
      <c r="D669" t="inlineStr">
        <is>
          <t>STOCKHOLMS LÄN</t>
        </is>
      </c>
      <c r="E669" t="inlineStr">
        <is>
          <t>NORRTÄLJE</t>
        </is>
      </c>
      <c r="G669" t="n">
        <v>4.5</v>
      </c>
      <c r="H669" t="n">
        <v>0</v>
      </c>
      <c r="I669" t="n">
        <v>0</v>
      </c>
      <c r="J669" t="n">
        <v>0</v>
      </c>
      <c r="K669" t="n">
        <v>0</v>
      </c>
      <c r="L669" t="n">
        <v>0</v>
      </c>
      <c r="M669" t="n">
        <v>0</v>
      </c>
      <c r="N669" t="n">
        <v>0</v>
      </c>
      <c r="O669" t="n">
        <v>0</v>
      </c>
      <c r="P669" t="n">
        <v>0</v>
      </c>
      <c r="Q669" t="n">
        <v>0</v>
      </c>
      <c r="R669" s="2" t="inlineStr"/>
    </row>
    <row r="670" ht="15" customHeight="1">
      <c r="A670" t="inlineStr">
        <is>
          <t>A 65499-2021</t>
        </is>
      </c>
      <c r="B670" s="1" t="n">
        <v>44516</v>
      </c>
      <c r="C670" s="1" t="n">
        <v>45930</v>
      </c>
      <c r="D670" t="inlineStr">
        <is>
          <t>STOCKHOLMS LÄN</t>
        </is>
      </c>
      <c r="E670" t="inlineStr">
        <is>
          <t>NORRTÄLJE</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46415-2025</t>
        </is>
      </c>
      <c r="B671" s="1" t="n">
        <v>45925.58636574074</v>
      </c>
      <c r="C671" s="1" t="n">
        <v>45930</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25621-2022</t>
        </is>
      </c>
      <c r="B672" s="1" t="n">
        <v>44732</v>
      </c>
      <c r="C672" s="1" t="n">
        <v>45930</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20304-2023</t>
        </is>
      </c>
      <c r="B673" s="1" t="n">
        <v>45056</v>
      </c>
      <c r="C673" s="1" t="n">
        <v>45930</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35235-2024</t>
        </is>
      </c>
      <c r="B674" s="1" t="n">
        <v>45530</v>
      </c>
      <c r="C674" s="1" t="n">
        <v>45930</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7806-2025</t>
        </is>
      </c>
      <c r="B675" s="1" t="n">
        <v>45706.61178240741</v>
      </c>
      <c r="C675" s="1" t="n">
        <v>45930</v>
      </c>
      <c r="D675" t="inlineStr">
        <is>
          <t>STOCKHOLMS LÄN</t>
        </is>
      </c>
      <c r="E675" t="inlineStr">
        <is>
          <t>NORRTÄLJE</t>
        </is>
      </c>
      <c r="F675" t="inlineStr">
        <is>
          <t>Holmen skog AB</t>
        </is>
      </c>
      <c r="G675" t="n">
        <v>3.5</v>
      </c>
      <c r="H675" t="n">
        <v>0</v>
      </c>
      <c r="I675" t="n">
        <v>0</v>
      </c>
      <c r="J675" t="n">
        <v>0</v>
      </c>
      <c r="K675" t="n">
        <v>0</v>
      </c>
      <c r="L675" t="n">
        <v>0</v>
      </c>
      <c r="M675" t="n">
        <v>0</v>
      </c>
      <c r="N675" t="n">
        <v>0</v>
      </c>
      <c r="O675" t="n">
        <v>0</v>
      </c>
      <c r="P675" t="n">
        <v>0</v>
      </c>
      <c r="Q675" t="n">
        <v>0</v>
      </c>
      <c r="R675" s="2" t="inlineStr"/>
    </row>
    <row r="676" ht="15" customHeight="1">
      <c r="A676" t="inlineStr">
        <is>
          <t>A 37444-2021</t>
        </is>
      </c>
      <c r="B676" s="1" t="n">
        <v>44398</v>
      </c>
      <c r="C676" s="1" t="n">
        <v>45930</v>
      </c>
      <c r="D676" t="inlineStr">
        <is>
          <t>STOCKHOLMS LÄN</t>
        </is>
      </c>
      <c r="E676" t="inlineStr">
        <is>
          <t>NORRTÄLJE</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45173-2023</t>
        </is>
      </c>
      <c r="B677" s="1" t="n">
        <v>45191</v>
      </c>
      <c r="C677" s="1" t="n">
        <v>45930</v>
      </c>
      <c r="D677" t="inlineStr">
        <is>
          <t>STOCKHOLMS LÄN</t>
        </is>
      </c>
      <c r="E677" t="inlineStr">
        <is>
          <t>NORRTÄLJE</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51061-2023</t>
        </is>
      </c>
      <c r="B678" s="1" t="n">
        <v>45218.65849537037</v>
      </c>
      <c r="C678" s="1" t="n">
        <v>45930</v>
      </c>
      <c r="D678" t="inlineStr">
        <is>
          <t>STOCKHOLMS LÄN</t>
        </is>
      </c>
      <c r="E678" t="inlineStr">
        <is>
          <t>NORRTÄLJE</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39213-2022</t>
        </is>
      </c>
      <c r="B679" s="1" t="n">
        <v>44817.56120370371</v>
      </c>
      <c r="C679" s="1" t="n">
        <v>45930</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36246-2021</t>
        </is>
      </c>
      <c r="B680" s="1" t="n">
        <v>44390</v>
      </c>
      <c r="C680" s="1" t="n">
        <v>45930</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64137-2021</t>
        </is>
      </c>
      <c r="B681" s="1" t="n">
        <v>44510.51422453704</v>
      </c>
      <c r="C681" s="1" t="n">
        <v>45930</v>
      </c>
      <c r="D681" t="inlineStr">
        <is>
          <t>STOCKHOLMS LÄN</t>
        </is>
      </c>
      <c r="E681" t="inlineStr">
        <is>
          <t>NORRTÄLJE</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15905-2023</t>
        </is>
      </c>
      <c r="B682" s="1" t="n">
        <v>45022</v>
      </c>
      <c r="C682" s="1" t="n">
        <v>45930</v>
      </c>
      <c r="D682" t="inlineStr">
        <is>
          <t>STOCKHOLMS LÄN</t>
        </is>
      </c>
      <c r="E682" t="inlineStr">
        <is>
          <t>NORRTÄLJE</t>
        </is>
      </c>
      <c r="G682" t="n">
        <v>3.2</v>
      </c>
      <c r="H682" t="n">
        <v>0</v>
      </c>
      <c r="I682" t="n">
        <v>0</v>
      </c>
      <c r="J682" t="n">
        <v>0</v>
      </c>
      <c r="K682" t="n">
        <v>0</v>
      </c>
      <c r="L682" t="n">
        <v>0</v>
      </c>
      <c r="M682" t="n">
        <v>0</v>
      </c>
      <c r="N682" t="n">
        <v>0</v>
      </c>
      <c r="O682" t="n">
        <v>0</v>
      </c>
      <c r="P682" t="n">
        <v>0</v>
      </c>
      <c r="Q682" t="n">
        <v>0</v>
      </c>
      <c r="R682" s="2" t="inlineStr"/>
    </row>
    <row r="683" ht="15" customHeight="1">
      <c r="A683" t="inlineStr">
        <is>
          <t>A 11041-2025</t>
        </is>
      </c>
      <c r="B683" s="1" t="n">
        <v>45723</v>
      </c>
      <c r="C683" s="1" t="n">
        <v>45930</v>
      </c>
      <c r="D683" t="inlineStr">
        <is>
          <t>STOCKHOLMS LÄN</t>
        </is>
      </c>
      <c r="E683" t="inlineStr">
        <is>
          <t>NORRTÄLJE</t>
        </is>
      </c>
      <c r="F683" t="inlineStr">
        <is>
          <t>Övriga Aktiebolag</t>
        </is>
      </c>
      <c r="G683" t="n">
        <v>1.8</v>
      </c>
      <c r="H683" t="n">
        <v>0</v>
      </c>
      <c r="I683" t="n">
        <v>0</v>
      </c>
      <c r="J683" t="n">
        <v>0</v>
      </c>
      <c r="K683" t="n">
        <v>0</v>
      </c>
      <c r="L683" t="n">
        <v>0</v>
      </c>
      <c r="M683" t="n">
        <v>0</v>
      </c>
      <c r="N683" t="n">
        <v>0</v>
      </c>
      <c r="O683" t="n">
        <v>0</v>
      </c>
      <c r="P683" t="n">
        <v>0</v>
      </c>
      <c r="Q683" t="n">
        <v>0</v>
      </c>
      <c r="R683" s="2" t="inlineStr"/>
    </row>
    <row r="684" ht="15" customHeight="1">
      <c r="A684" t="inlineStr">
        <is>
          <t>A 38720-2022</t>
        </is>
      </c>
      <c r="B684" s="1" t="n">
        <v>44815.74539351852</v>
      </c>
      <c r="C684" s="1" t="n">
        <v>45930</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34432-2021</t>
        </is>
      </c>
      <c r="B685" s="1" t="n">
        <v>44380.77346064815</v>
      </c>
      <c r="C685" s="1" t="n">
        <v>45930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19911-2025</t>
        </is>
      </c>
      <c r="B686" s="1" t="n">
        <v>45771</v>
      </c>
      <c r="C686" s="1" t="n">
        <v>45930</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44917-2022</t>
        </is>
      </c>
      <c r="B687" s="1" t="n">
        <v>44841.52804398148</v>
      </c>
      <c r="C687" s="1" t="n">
        <v>45930</v>
      </c>
      <c r="D687" t="inlineStr">
        <is>
          <t>STOCKHOLMS LÄN</t>
        </is>
      </c>
      <c r="E687" t="inlineStr">
        <is>
          <t>NORRTÄLJE</t>
        </is>
      </c>
      <c r="F687" t="inlineStr">
        <is>
          <t>Holmen skog AB</t>
        </is>
      </c>
      <c r="G687" t="n">
        <v>3.3</v>
      </c>
      <c r="H687" t="n">
        <v>0</v>
      </c>
      <c r="I687" t="n">
        <v>0</v>
      </c>
      <c r="J687" t="n">
        <v>0</v>
      </c>
      <c r="K687" t="n">
        <v>0</v>
      </c>
      <c r="L687" t="n">
        <v>0</v>
      </c>
      <c r="M687" t="n">
        <v>0</v>
      </c>
      <c r="N687" t="n">
        <v>0</v>
      </c>
      <c r="O687" t="n">
        <v>0</v>
      </c>
      <c r="P687" t="n">
        <v>0</v>
      </c>
      <c r="Q687" t="n">
        <v>0</v>
      </c>
      <c r="R687" s="2" t="inlineStr"/>
    </row>
    <row r="688" ht="15" customHeight="1">
      <c r="A688" t="inlineStr">
        <is>
          <t>A 33173-2024</t>
        </is>
      </c>
      <c r="B688" s="1" t="n">
        <v>45518</v>
      </c>
      <c r="C688" s="1" t="n">
        <v>45930</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17551-2025</t>
        </is>
      </c>
      <c r="B689" s="1" t="n">
        <v>45757.61421296297</v>
      </c>
      <c r="C689" s="1" t="n">
        <v>45930</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14130-2025</t>
        </is>
      </c>
      <c r="B690" s="1" t="n">
        <v>45740.47288194444</v>
      </c>
      <c r="C690" s="1" t="n">
        <v>45930</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12532-2025</t>
        </is>
      </c>
      <c r="B691" s="1" t="n">
        <v>45730.69143518519</v>
      </c>
      <c r="C691" s="1" t="n">
        <v>45930</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45930</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40175-2024</t>
        </is>
      </c>
      <c r="B693" s="1" t="n">
        <v>45554.55707175926</v>
      </c>
      <c r="C693" s="1" t="n">
        <v>45930</v>
      </c>
      <c r="D693" t="inlineStr">
        <is>
          <t>STOCKHOLMS LÄN</t>
        </is>
      </c>
      <c r="E693" t="inlineStr">
        <is>
          <t>NORRTÄLJE</t>
        </is>
      </c>
      <c r="G693" t="n">
        <v>7.7</v>
      </c>
      <c r="H693" t="n">
        <v>0</v>
      </c>
      <c r="I693" t="n">
        <v>0</v>
      </c>
      <c r="J693" t="n">
        <v>0</v>
      </c>
      <c r="K693" t="n">
        <v>0</v>
      </c>
      <c r="L693" t="n">
        <v>0</v>
      </c>
      <c r="M693" t="n">
        <v>0</v>
      </c>
      <c r="N693" t="n">
        <v>0</v>
      </c>
      <c r="O693" t="n">
        <v>0</v>
      </c>
      <c r="P693" t="n">
        <v>0</v>
      </c>
      <c r="Q693" t="n">
        <v>0</v>
      </c>
      <c r="R693" s="2" t="inlineStr"/>
    </row>
    <row r="694" ht="15" customHeight="1">
      <c r="A694" t="inlineStr">
        <is>
          <t>A 16229-2022</t>
        </is>
      </c>
      <c r="B694" s="1" t="n">
        <v>44670.4190162037</v>
      </c>
      <c r="C694" s="1" t="n">
        <v>45930</v>
      </c>
      <c r="D694" t="inlineStr">
        <is>
          <t>STOCKHOLMS LÄN</t>
        </is>
      </c>
      <c r="E694" t="inlineStr">
        <is>
          <t>NORRTÄLJE</t>
        </is>
      </c>
      <c r="G694" t="n">
        <v>7.4</v>
      </c>
      <c r="H694" t="n">
        <v>0</v>
      </c>
      <c r="I694" t="n">
        <v>0</v>
      </c>
      <c r="J694" t="n">
        <v>0</v>
      </c>
      <c r="K694" t="n">
        <v>0</v>
      </c>
      <c r="L694" t="n">
        <v>0</v>
      </c>
      <c r="M694" t="n">
        <v>0</v>
      </c>
      <c r="N694" t="n">
        <v>0</v>
      </c>
      <c r="O694" t="n">
        <v>0</v>
      </c>
      <c r="P694" t="n">
        <v>0</v>
      </c>
      <c r="Q694" t="n">
        <v>0</v>
      </c>
      <c r="R694" s="2" t="inlineStr"/>
    </row>
    <row r="695" ht="15" customHeight="1">
      <c r="A695" t="inlineStr">
        <is>
          <t>A 8370-2025</t>
        </is>
      </c>
      <c r="B695" s="1" t="n">
        <v>45708</v>
      </c>
      <c r="C695" s="1" t="n">
        <v>45930</v>
      </c>
      <c r="D695" t="inlineStr">
        <is>
          <t>STOCKHOLMS LÄN</t>
        </is>
      </c>
      <c r="E695" t="inlineStr">
        <is>
          <t>NORRTÄLJE</t>
        </is>
      </c>
      <c r="F695" t="inlineStr">
        <is>
          <t>Övriga Aktiebolag</t>
        </is>
      </c>
      <c r="G695" t="n">
        <v>5.6</v>
      </c>
      <c r="H695" t="n">
        <v>0</v>
      </c>
      <c r="I695" t="n">
        <v>0</v>
      </c>
      <c r="J695" t="n">
        <v>0</v>
      </c>
      <c r="K695" t="n">
        <v>0</v>
      </c>
      <c r="L695" t="n">
        <v>0</v>
      </c>
      <c r="M695" t="n">
        <v>0</v>
      </c>
      <c r="N695" t="n">
        <v>0</v>
      </c>
      <c r="O695" t="n">
        <v>0</v>
      </c>
      <c r="P695" t="n">
        <v>0</v>
      </c>
      <c r="Q695" t="n">
        <v>0</v>
      </c>
      <c r="R695" s="2" t="inlineStr"/>
    </row>
    <row r="696" ht="15" customHeight="1">
      <c r="A696" t="inlineStr">
        <is>
          <t>A 46914-2022</t>
        </is>
      </c>
      <c r="B696" s="1" t="n">
        <v>44851</v>
      </c>
      <c r="C696" s="1" t="n">
        <v>45930</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951-2023</t>
        </is>
      </c>
      <c r="B697" s="1" t="n">
        <v>44934</v>
      </c>
      <c r="C697" s="1" t="n">
        <v>45930</v>
      </c>
      <c r="D697" t="inlineStr">
        <is>
          <t>STOCKHOLMS LÄN</t>
        </is>
      </c>
      <c r="E697" t="inlineStr">
        <is>
          <t>NORRTÄLJE</t>
        </is>
      </c>
      <c r="G697" t="n">
        <v>3.7</v>
      </c>
      <c r="H697" t="n">
        <v>0</v>
      </c>
      <c r="I697" t="n">
        <v>0</v>
      </c>
      <c r="J697" t="n">
        <v>0</v>
      </c>
      <c r="K697" t="n">
        <v>0</v>
      </c>
      <c r="L697" t="n">
        <v>0</v>
      </c>
      <c r="M697" t="n">
        <v>0</v>
      </c>
      <c r="N697" t="n">
        <v>0</v>
      </c>
      <c r="O697" t="n">
        <v>0</v>
      </c>
      <c r="P697" t="n">
        <v>0</v>
      </c>
      <c r="Q697" t="n">
        <v>0</v>
      </c>
      <c r="R697" s="2" t="inlineStr"/>
    </row>
    <row r="698" ht="15" customHeight="1">
      <c r="A698" t="inlineStr">
        <is>
          <t>A 32100-2022</t>
        </is>
      </c>
      <c r="B698" s="1" t="n">
        <v>44778</v>
      </c>
      <c r="C698" s="1" t="n">
        <v>45930</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20244-2025</t>
        </is>
      </c>
      <c r="B699" s="1" t="n">
        <v>45772.71221064815</v>
      </c>
      <c r="C699" s="1" t="n">
        <v>45930</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50143-2023</t>
        </is>
      </c>
      <c r="B700" s="1" t="n">
        <v>45215</v>
      </c>
      <c r="C700" s="1" t="n">
        <v>45930</v>
      </c>
      <c r="D700" t="inlineStr">
        <is>
          <t>STOCKHOLMS LÄN</t>
        </is>
      </c>
      <c r="E700" t="inlineStr">
        <is>
          <t>NORRTÄLJE</t>
        </is>
      </c>
      <c r="G700" t="n">
        <v>10.3</v>
      </c>
      <c r="H700" t="n">
        <v>0</v>
      </c>
      <c r="I700" t="n">
        <v>0</v>
      </c>
      <c r="J700" t="n">
        <v>0</v>
      </c>
      <c r="K700" t="n">
        <v>0</v>
      </c>
      <c r="L700" t="n">
        <v>0</v>
      </c>
      <c r="M700" t="n">
        <v>0</v>
      </c>
      <c r="N700" t="n">
        <v>0</v>
      </c>
      <c r="O700" t="n">
        <v>0</v>
      </c>
      <c r="P700" t="n">
        <v>0</v>
      </c>
      <c r="Q700" t="n">
        <v>0</v>
      </c>
      <c r="R700" s="2" t="inlineStr"/>
    </row>
    <row r="701" ht="15" customHeight="1">
      <c r="A701" t="inlineStr">
        <is>
          <t>A 2888-2022</t>
        </is>
      </c>
      <c r="B701" s="1" t="n">
        <v>44581</v>
      </c>
      <c r="C701" s="1" t="n">
        <v>45930</v>
      </c>
      <c r="D701" t="inlineStr">
        <is>
          <t>STOCKHOLMS LÄN</t>
        </is>
      </c>
      <c r="E701" t="inlineStr">
        <is>
          <t>NORRTÄLJE</t>
        </is>
      </c>
      <c r="G701" t="n">
        <v>2.4</v>
      </c>
      <c r="H701" t="n">
        <v>0</v>
      </c>
      <c r="I701" t="n">
        <v>0</v>
      </c>
      <c r="J701" t="n">
        <v>0</v>
      </c>
      <c r="K701" t="n">
        <v>0</v>
      </c>
      <c r="L701" t="n">
        <v>0</v>
      </c>
      <c r="M701" t="n">
        <v>0</v>
      </c>
      <c r="N701" t="n">
        <v>0</v>
      </c>
      <c r="O701" t="n">
        <v>0</v>
      </c>
      <c r="P701" t="n">
        <v>0</v>
      </c>
      <c r="Q701" t="n">
        <v>0</v>
      </c>
      <c r="R701" s="2" t="inlineStr"/>
    </row>
    <row r="702" ht="15" customHeight="1">
      <c r="A702" t="inlineStr">
        <is>
          <t>A 11902-2024</t>
        </is>
      </c>
      <c r="B702" s="1" t="n">
        <v>45376.55704861111</v>
      </c>
      <c r="C702" s="1" t="n">
        <v>45930</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20015-2023</t>
        </is>
      </c>
      <c r="B703" s="1" t="n">
        <v>45054</v>
      </c>
      <c r="C703" s="1" t="n">
        <v>45930</v>
      </c>
      <c r="D703" t="inlineStr">
        <is>
          <t>STOCKHOLMS LÄN</t>
        </is>
      </c>
      <c r="E703" t="inlineStr">
        <is>
          <t>NORRTÄLJE</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13-2024</t>
        </is>
      </c>
      <c r="B704" s="1" t="n">
        <v>45293.37263888889</v>
      </c>
      <c r="C704" s="1" t="n">
        <v>45930</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58260-2023</t>
        </is>
      </c>
      <c r="B705" s="1" t="n">
        <v>45245</v>
      </c>
      <c r="C705" s="1" t="n">
        <v>45930</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58261-2023</t>
        </is>
      </c>
      <c r="B706" s="1" t="n">
        <v>45245</v>
      </c>
      <c r="C706" s="1" t="n">
        <v>45930</v>
      </c>
      <c r="D706" t="inlineStr">
        <is>
          <t>STOCKHOLMS LÄN</t>
        </is>
      </c>
      <c r="E706" t="inlineStr">
        <is>
          <t>NORRTÄLJE</t>
        </is>
      </c>
      <c r="G706" t="n">
        <v>53.5</v>
      </c>
      <c r="H706" t="n">
        <v>0</v>
      </c>
      <c r="I706" t="n">
        <v>0</v>
      </c>
      <c r="J706" t="n">
        <v>0</v>
      </c>
      <c r="K706" t="n">
        <v>0</v>
      </c>
      <c r="L706" t="n">
        <v>0</v>
      </c>
      <c r="M706" t="n">
        <v>0</v>
      </c>
      <c r="N706" t="n">
        <v>0</v>
      </c>
      <c r="O706" t="n">
        <v>0</v>
      </c>
      <c r="P706" t="n">
        <v>0</v>
      </c>
      <c r="Q706" t="n">
        <v>0</v>
      </c>
      <c r="R706" s="2" t="inlineStr"/>
    </row>
    <row r="707" ht="15" customHeight="1">
      <c r="A707" t="inlineStr">
        <is>
          <t>A 4553-2023</t>
        </is>
      </c>
      <c r="B707" s="1" t="n">
        <v>44956.65920138889</v>
      </c>
      <c r="C707" s="1" t="n">
        <v>45930</v>
      </c>
      <c r="D707" t="inlineStr">
        <is>
          <t>STOCKHOLMS LÄN</t>
        </is>
      </c>
      <c r="E707" t="inlineStr">
        <is>
          <t>NORRTÄLJE</t>
        </is>
      </c>
      <c r="G707" t="n">
        <v>7.5</v>
      </c>
      <c r="H707" t="n">
        <v>0</v>
      </c>
      <c r="I707" t="n">
        <v>0</v>
      </c>
      <c r="J707" t="n">
        <v>0</v>
      </c>
      <c r="K707" t="n">
        <v>0</v>
      </c>
      <c r="L707" t="n">
        <v>0</v>
      </c>
      <c r="M707" t="n">
        <v>0</v>
      </c>
      <c r="N707" t="n">
        <v>0</v>
      </c>
      <c r="O707" t="n">
        <v>0</v>
      </c>
      <c r="P707" t="n">
        <v>0</v>
      </c>
      <c r="Q707" t="n">
        <v>0</v>
      </c>
      <c r="R707" s="2" t="inlineStr"/>
    </row>
    <row r="708" ht="15" customHeight="1">
      <c r="A708" t="inlineStr">
        <is>
          <t>A 875-2023</t>
        </is>
      </c>
      <c r="B708" s="1" t="n">
        <v>44931.65626157408</v>
      </c>
      <c r="C708" s="1" t="n">
        <v>45930</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5027-2025</t>
        </is>
      </c>
      <c r="B709" s="1" t="n">
        <v>45691.41101851852</v>
      </c>
      <c r="C709" s="1" t="n">
        <v>45930</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24575-2024</t>
        </is>
      </c>
      <c r="B710" s="1" t="n">
        <v>45460.45523148148</v>
      </c>
      <c r="C710" s="1" t="n">
        <v>45930</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19-2024</t>
        </is>
      </c>
      <c r="B711" s="1" t="n">
        <v>45293</v>
      </c>
      <c r="C711" s="1" t="n">
        <v>45930</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20011-2025</t>
        </is>
      </c>
      <c r="B712" s="1" t="n">
        <v>45772.29622685185</v>
      </c>
      <c r="C712" s="1" t="n">
        <v>45930</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11333-2025</t>
        </is>
      </c>
      <c r="B713" s="1" t="n">
        <v>45726.48377314815</v>
      </c>
      <c r="C713" s="1" t="n">
        <v>45930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8315-2025</t>
        </is>
      </c>
      <c r="B714" s="1" t="n">
        <v>45708.61761574074</v>
      </c>
      <c r="C714" s="1" t="n">
        <v>45930</v>
      </c>
      <c r="D714" t="inlineStr">
        <is>
          <t>STOCKHOLMS LÄN</t>
        </is>
      </c>
      <c r="E714" t="inlineStr">
        <is>
          <t>NORRTÄLJE</t>
        </is>
      </c>
      <c r="G714" t="n">
        <v>3.9</v>
      </c>
      <c r="H714" t="n">
        <v>0</v>
      </c>
      <c r="I714" t="n">
        <v>0</v>
      </c>
      <c r="J714" t="n">
        <v>0</v>
      </c>
      <c r="K714" t="n">
        <v>0</v>
      </c>
      <c r="L714" t="n">
        <v>0</v>
      </c>
      <c r="M714" t="n">
        <v>0</v>
      </c>
      <c r="N714" t="n">
        <v>0</v>
      </c>
      <c r="O714" t="n">
        <v>0</v>
      </c>
      <c r="P714" t="n">
        <v>0</v>
      </c>
      <c r="Q714" t="n">
        <v>0</v>
      </c>
      <c r="R714" s="2" t="inlineStr"/>
    </row>
    <row r="715" ht="15" customHeight="1">
      <c r="A715" t="inlineStr">
        <is>
          <t>A 21529-2021</t>
        </is>
      </c>
      <c r="B715" s="1" t="n">
        <v>44321</v>
      </c>
      <c r="C715" s="1" t="n">
        <v>45930</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31827-2023</t>
        </is>
      </c>
      <c r="B716" s="1" t="n">
        <v>45118</v>
      </c>
      <c r="C716" s="1" t="n">
        <v>45930</v>
      </c>
      <c r="D716" t="inlineStr">
        <is>
          <t>STOCKHOLMS LÄN</t>
        </is>
      </c>
      <c r="E716" t="inlineStr">
        <is>
          <t>NORRTÄLJE</t>
        </is>
      </c>
      <c r="F716" t="inlineStr">
        <is>
          <t>Kyrkan</t>
        </is>
      </c>
      <c r="G716" t="n">
        <v>4.9</v>
      </c>
      <c r="H716" t="n">
        <v>0</v>
      </c>
      <c r="I716" t="n">
        <v>0</v>
      </c>
      <c r="J716" t="n">
        <v>0</v>
      </c>
      <c r="K716" t="n">
        <v>0</v>
      </c>
      <c r="L716" t="n">
        <v>0</v>
      </c>
      <c r="M716" t="n">
        <v>0</v>
      </c>
      <c r="N716" t="n">
        <v>0</v>
      </c>
      <c r="O716" t="n">
        <v>0</v>
      </c>
      <c r="P716" t="n">
        <v>0</v>
      </c>
      <c r="Q716" t="n">
        <v>0</v>
      </c>
      <c r="R716" s="2" t="inlineStr"/>
    </row>
    <row r="717" ht="15" customHeight="1">
      <c r="A717" t="inlineStr">
        <is>
          <t>A 10973-2025</t>
        </is>
      </c>
      <c r="B717" s="1" t="n">
        <v>45723</v>
      </c>
      <c r="C717" s="1" t="n">
        <v>45930</v>
      </c>
      <c r="D717" t="inlineStr">
        <is>
          <t>STOCKHOLMS LÄN</t>
        </is>
      </c>
      <c r="E717" t="inlineStr">
        <is>
          <t>NORRTÄLJE</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12251-2025</t>
        </is>
      </c>
      <c r="B718" s="1" t="n">
        <v>45729.60859953704</v>
      </c>
      <c r="C718" s="1" t="n">
        <v>45930</v>
      </c>
      <c r="D718" t="inlineStr">
        <is>
          <t>STOCKHOLMS LÄN</t>
        </is>
      </c>
      <c r="E718" t="inlineStr">
        <is>
          <t>NORRTÄLJE</t>
        </is>
      </c>
      <c r="F718" t="inlineStr">
        <is>
          <t>Holmen skog AB</t>
        </is>
      </c>
      <c r="G718" t="n">
        <v>5.9</v>
      </c>
      <c r="H718" t="n">
        <v>0</v>
      </c>
      <c r="I718" t="n">
        <v>0</v>
      </c>
      <c r="J718" t="n">
        <v>0</v>
      </c>
      <c r="K718" t="n">
        <v>0</v>
      </c>
      <c r="L718" t="n">
        <v>0</v>
      </c>
      <c r="M718" t="n">
        <v>0</v>
      </c>
      <c r="N718" t="n">
        <v>0</v>
      </c>
      <c r="O718" t="n">
        <v>0</v>
      </c>
      <c r="P718" t="n">
        <v>0</v>
      </c>
      <c r="Q718" t="n">
        <v>0</v>
      </c>
      <c r="R718" s="2" t="inlineStr"/>
    </row>
    <row r="719" ht="15" customHeight="1">
      <c r="A719" t="inlineStr">
        <is>
          <t>A 54496-2024</t>
        </is>
      </c>
      <c r="B719" s="1" t="n">
        <v>45617.57439814815</v>
      </c>
      <c r="C719" s="1" t="n">
        <v>45930</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54776-2023</t>
        </is>
      </c>
      <c r="B720" s="1" t="n">
        <v>45236.46369212963</v>
      </c>
      <c r="C720" s="1" t="n">
        <v>45930</v>
      </c>
      <c r="D720" t="inlineStr">
        <is>
          <t>STOCKHOLMS LÄN</t>
        </is>
      </c>
      <c r="E720" t="inlineStr">
        <is>
          <t>NORRTÄLJE</t>
        </is>
      </c>
      <c r="G720" t="n">
        <v>0.3</v>
      </c>
      <c r="H720" t="n">
        <v>0</v>
      </c>
      <c r="I720" t="n">
        <v>0</v>
      </c>
      <c r="J720" t="n">
        <v>0</v>
      </c>
      <c r="K720" t="n">
        <v>0</v>
      </c>
      <c r="L720" t="n">
        <v>0</v>
      </c>
      <c r="M720" t="n">
        <v>0</v>
      </c>
      <c r="N720" t="n">
        <v>0</v>
      </c>
      <c r="O720" t="n">
        <v>0</v>
      </c>
      <c r="P720" t="n">
        <v>0</v>
      </c>
      <c r="Q720" t="n">
        <v>0</v>
      </c>
      <c r="R720" s="2" t="inlineStr"/>
    </row>
    <row r="721" ht="15" customHeight="1">
      <c r="A721" t="inlineStr">
        <is>
          <t>A 7796-2025</t>
        </is>
      </c>
      <c r="B721" s="1" t="n">
        <v>45706.60130787037</v>
      </c>
      <c r="C721" s="1" t="n">
        <v>45930</v>
      </c>
      <c r="D721" t="inlineStr">
        <is>
          <t>STOCKHOLMS LÄN</t>
        </is>
      </c>
      <c r="E721" t="inlineStr">
        <is>
          <t>NORRTÄLJE</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20144-2023</t>
        </is>
      </c>
      <c r="B722" s="1" t="n">
        <v>45055.43509259259</v>
      </c>
      <c r="C722" s="1" t="n">
        <v>45930</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59767-2022</t>
        </is>
      </c>
      <c r="B723" s="1" t="n">
        <v>44900</v>
      </c>
      <c r="C723" s="1" t="n">
        <v>45930</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22756-2022</t>
        </is>
      </c>
      <c r="B724" s="1" t="n">
        <v>44714.92253472222</v>
      </c>
      <c r="C724" s="1" t="n">
        <v>45930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13314-2025</t>
        </is>
      </c>
      <c r="B725" s="1" t="n">
        <v>45735.59287037037</v>
      </c>
      <c r="C725" s="1" t="n">
        <v>45930</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23056-2023</t>
        </is>
      </c>
      <c r="B726" s="1" t="n">
        <v>45075</v>
      </c>
      <c r="C726" s="1" t="n">
        <v>45930</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58311-2023</t>
        </is>
      </c>
      <c r="B727" s="1" t="n">
        <v>45245</v>
      </c>
      <c r="C727" s="1" t="n">
        <v>45930</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13172-2025</t>
        </is>
      </c>
      <c r="B728" s="1" t="n">
        <v>45735.36873842592</v>
      </c>
      <c r="C728" s="1" t="n">
        <v>45930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8739-2024</t>
        </is>
      </c>
      <c r="B729" s="1" t="n">
        <v>45356.47784722222</v>
      </c>
      <c r="C729" s="1" t="n">
        <v>45930</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26640-2023</t>
        </is>
      </c>
      <c r="B730" s="1" t="n">
        <v>45092</v>
      </c>
      <c r="C730" s="1" t="n">
        <v>45930</v>
      </c>
      <c r="D730" t="inlineStr">
        <is>
          <t>STOCKHOLMS LÄN</t>
        </is>
      </c>
      <c r="E730" t="inlineStr">
        <is>
          <t>NORRTÄLJE</t>
        </is>
      </c>
      <c r="G730" t="n">
        <v>5.7</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45930</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38990-2022</t>
        </is>
      </c>
      <c r="B732" s="1" t="n">
        <v>44816</v>
      </c>
      <c r="C732" s="1" t="n">
        <v>45930</v>
      </c>
      <c r="D732" t="inlineStr">
        <is>
          <t>STOCKHOLMS LÄN</t>
        </is>
      </c>
      <c r="E732" t="inlineStr">
        <is>
          <t>NORRTÄLJE</t>
        </is>
      </c>
      <c r="G732" t="n">
        <v>5.7</v>
      </c>
      <c r="H732" t="n">
        <v>0</v>
      </c>
      <c r="I732" t="n">
        <v>0</v>
      </c>
      <c r="J732" t="n">
        <v>0</v>
      </c>
      <c r="K732" t="n">
        <v>0</v>
      </c>
      <c r="L732" t="n">
        <v>0</v>
      </c>
      <c r="M732" t="n">
        <v>0</v>
      </c>
      <c r="N732" t="n">
        <v>0</v>
      </c>
      <c r="O732" t="n">
        <v>0</v>
      </c>
      <c r="P732" t="n">
        <v>0</v>
      </c>
      <c r="Q732" t="n">
        <v>0</v>
      </c>
      <c r="R732" s="2" t="inlineStr"/>
    </row>
    <row r="733" ht="15" customHeight="1">
      <c r="A733" t="inlineStr">
        <is>
          <t>A 19025-2025</t>
        </is>
      </c>
      <c r="B733" s="1" t="n">
        <v>45764.6359837963</v>
      </c>
      <c r="C733" s="1" t="n">
        <v>45930</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17545-2025</t>
        </is>
      </c>
      <c r="B734" s="1" t="n">
        <v>45757.60658564815</v>
      </c>
      <c r="C734" s="1" t="n">
        <v>45930</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44596.66335648148</v>
      </c>
      <c r="C735" s="1" t="n">
        <v>45930</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17956-2025</t>
        </is>
      </c>
      <c r="B736" s="1" t="n">
        <v>45760.91174768518</v>
      </c>
      <c r="C736" s="1" t="n">
        <v>45930</v>
      </c>
      <c r="D736" t="inlineStr">
        <is>
          <t>STOCKHOLMS LÄN</t>
        </is>
      </c>
      <c r="E736" t="inlineStr">
        <is>
          <t>NORRTÄLJE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23265-2023</t>
        </is>
      </c>
      <c r="B737" s="1" t="n">
        <v>45075.90703703704</v>
      </c>
      <c r="C737" s="1" t="n">
        <v>45930</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30268-2024</t>
        </is>
      </c>
      <c r="B738" s="1" t="n">
        <v>45490.60572916667</v>
      </c>
      <c r="C738" s="1" t="n">
        <v>45930</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73307-2021</t>
        </is>
      </c>
      <c r="B739" s="1" t="n">
        <v>44549</v>
      </c>
      <c r="C739" s="1" t="n">
        <v>45930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59535-2024</t>
        </is>
      </c>
      <c r="B740" s="1" t="n">
        <v>45638.59979166667</v>
      </c>
      <c r="C740" s="1" t="n">
        <v>45930</v>
      </c>
      <c r="D740" t="inlineStr">
        <is>
          <t>STOCKHOLMS LÄN</t>
        </is>
      </c>
      <c r="E740" t="inlineStr">
        <is>
          <t>NORRTÄLJE</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9246-2024</t>
        </is>
      </c>
      <c r="B741" s="1" t="n">
        <v>45357</v>
      </c>
      <c r="C741" s="1" t="n">
        <v>45930</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58493-2020</t>
        </is>
      </c>
      <c r="B742" s="1" t="n">
        <v>44145</v>
      </c>
      <c r="C742" s="1" t="n">
        <v>45930</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21731-2023</t>
        </is>
      </c>
      <c r="B743" s="1" t="n">
        <v>45063</v>
      </c>
      <c r="C743" s="1" t="n">
        <v>45930</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21745-2023</t>
        </is>
      </c>
      <c r="B744" s="1" t="n">
        <v>45065.55917824074</v>
      </c>
      <c r="C744" s="1" t="n">
        <v>45930</v>
      </c>
      <c r="D744" t="inlineStr">
        <is>
          <t>STOCKHOLMS LÄN</t>
        </is>
      </c>
      <c r="E744" t="inlineStr">
        <is>
          <t>NORRTÄLJE</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30221-2024</t>
        </is>
      </c>
      <c r="B745" s="1" t="n">
        <v>45490.45342592592</v>
      </c>
      <c r="C745" s="1" t="n">
        <v>45930</v>
      </c>
      <c r="D745" t="inlineStr">
        <is>
          <t>STOCKHOLMS LÄN</t>
        </is>
      </c>
      <c r="E745" t="inlineStr">
        <is>
          <t>NORRTÄLJE</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20852-2023</t>
        </is>
      </c>
      <c r="B746" s="1" t="n">
        <v>45058.78607638889</v>
      </c>
      <c r="C746" s="1" t="n">
        <v>45930</v>
      </c>
      <c r="D746" t="inlineStr">
        <is>
          <t>STOCKHOLMS LÄN</t>
        </is>
      </c>
      <c r="E746" t="inlineStr">
        <is>
          <t>NORRTÄLJE</t>
        </is>
      </c>
      <c r="G746" t="n">
        <v>3.5</v>
      </c>
      <c r="H746" t="n">
        <v>0</v>
      </c>
      <c r="I746" t="n">
        <v>0</v>
      </c>
      <c r="J746" t="n">
        <v>0</v>
      </c>
      <c r="K746" t="n">
        <v>0</v>
      </c>
      <c r="L746" t="n">
        <v>0</v>
      </c>
      <c r="M746" t="n">
        <v>0</v>
      </c>
      <c r="N746" t="n">
        <v>0</v>
      </c>
      <c r="O746" t="n">
        <v>0</v>
      </c>
      <c r="P746" t="n">
        <v>0</v>
      </c>
      <c r="Q746" t="n">
        <v>0</v>
      </c>
      <c r="R746" s="2" t="inlineStr"/>
    </row>
    <row r="747" ht="15" customHeight="1">
      <c r="A747" t="inlineStr">
        <is>
          <t>A 26365-2024</t>
        </is>
      </c>
      <c r="B747" s="1" t="n">
        <v>45469</v>
      </c>
      <c r="C747" s="1" t="n">
        <v>45930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50602-2021</t>
        </is>
      </c>
      <c r="B748" s="1" t="n">
        <v>44459</v>
      </c>
      <c r="C748" s="1" t="n">
        <v>45930</v>
      </c>
      <c r="D748" t="inlineStr">
        <is>
          <t>STOCKHOLMS LÄN</t>
        </is>
      </c>
      <c r="E748" t="inlineStr">
        <is>
          <t>NORRTÄLJE</t>
        </is>
      </c>
      <c r="F748" t="inlineStr">
        <is>
          <t>Holmen skog AB</t>
        </is>
      </c>
      <c r="G748" t="n">
        <v>2</v>
      </c>
      <c r="H748" t="n">
        <v>0</v>
      </c>
      <c r="I748" t="n">
        <v>0</v>
      </c>
      <c r="J748" t="n">
        <v>0</v>
      </c>
      <c r="K748" t="n">
        <v>0</v>
      </c>
      <c r="L748" t="n">
        <v>0</v>
      </c>
      <c r="M748" t="n">
        <v>0</v>
      </c>
      <c r="N748" t="n">
        <v>0</v>
      </c>
      <c r="O748" t="n">
        <v>0</v>
      </c>
      <c r="P748" t="n">
        <v>0</v>
      </c>
      <c r="Q748" t="n">
        <v>0</v>
      </c>
      <c r="R748" s="2" t="inlineStr"/>
    </row>
    <row r="749" ht="15" customHeight="1">
      <c r="A749" t="inlineStr">
        <is>
          <t>A 50355-2024</t>
        </is>
      </c>
      <c r="B749" s="1" t="n">
        <v>45600.86128472222</v>
      </c>
      <c r="C749" s="1" t="n">
        <v>45930</v>
      </c>
      <c r="D749" t="inlineStr">
        <is>
          <t>STOCKHOLMS LÄN</t>
        </is>
      </c>
      <c r="E749" t="inlineStr">
        <is>
          <t>NORRTÄLJE</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48798-2021</t>
        </is>
      </c>
      <c r="B750" s="1" t="n">
        <v>44452</v>
      </c>
      <c r="C750" s="1" t="n">
        <v>45930</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60694-2024</t>
        </is>
      </c>
      <c r="B751" s="1" t="n">
        <v>45644.47878472223</v>
      </c>
      <c r="C751" s="1" t="n">
        <v>45930</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53607-2020</t>
        </is>
      </c>
      <c r="B752" s="1" t="n">
        <v>44124</v>
      </c>
      <c r="C752" s="1" t="n">
        <v>45930</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25094-2023</t>
        </is>
      </c>
      <c r="B753" s="1" t="n">
        <v>45086.3629050926</v>
      </c>
      <c r="C753" s="1" t="n">
        <v>45930</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59276-2023</t>
        </is>
      </c>
      <c r="B754" s="1" t="n">
        <v>45253.55641203704</v>
      </c>
      <c r="C754" s="1" t="n">
        <v>45930</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13767-2025</t>
        </is>
      </c>
      <c r="B755" s="1" t="n">
        <v>45737.43347222222</v>
      </c>
      <c r="C755" s="1" t="n">
        <v>45930</v>
      </c>
      <c r="D755" t="inlineStr">
        <is>
          <t>STOCKHOLMS LÄN</t>
        </is>
      </c>
      <c r="E755" t="inlineStr">
        <is>
          <t>NORRTÄLJE</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41587-2023</t>
        </is>
      </c>
      <c r="B756" s="1" t="n">
        <v>45175</v>
      </c>
      <c r="C756" s="1" t="n">
        <v>45930</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30283-2022</t>
        </is>
      </c>
      <c r="B757" s="1" t="n">
        <v>44760</v>
      </c>
      <c r="C757" s="1" t="n">
        <v>45930</v>
      </c>
      <c r="D757" t="inlineStr">
        <is>
          <t>STOCKHOLMS LÄN</t>
        </is>
      </c>
      <c r="E757" t="inlineStr">
        <is>
          <t>NORRTÄLJE</t>
        </is>
      </c>
      <c r="G757" t="n">
        <v>6.2</v>
      </c>
      <c r="H757" t="n">
        <v>0</v>
      </c>
      <c r="I757" t="n">
        <v>0</v>
      </c>
      <c r="J757" t="n">
        <v>0</v>
      </c>
      <c r="K757" t="n">
        <v>0</v>
      </c>
      <c r="L757" t="n">
        <v>0</v>
      </c>
      <c r="M757" t="n">
        <v>0</v>
      </c>
      <c r="N757" t="n">
        <v>0</v>
      </c>
      <c r="O757" t="n">
        <v>0</v>
      </c>
      <c r="P757" t="n">
        <v>0</v>
      </c>
      <c r="Q757" t="n">
        <v>0</v>
      </c>
      <c r="R757" s="2" t="inlineStr"/>
    </row>
    <row r="758" ht="15" customHeight="1">
      <c r="A758" t="inlineStr">
        <is>
          <t>A 30290-2022</t>
        </is>
      </c>
      <c r="B758" s="1" t="n">
        <v>44760</v>
      </c>
      <c r="C758" s="1" t="n">
        <v>45930</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38985-2022</t>
        </is>
      </c>
      <c r="B759" s="1" t="n">
        <v>44816</v>
      </c>
      <c r="C759" s="1" t="n">
        <v>45930</v>
      </c>
      <c r="D759" t="inlineStr">
        <is>
          <t>STOCKHOLMS LÄN</t>
        </is>
      </c>
      <c r="E759" t="inlineStr">
        <is>
          <t>NORRTÄLJE</t>
        </is>
      </c>
      <c r="G759" t="n">
        <v>10.1</v>
      </c>
      <c r="H759" t="n">
        <v>0</v>
      </c>
      <c r="I759" t="n">
        <v>0</v>
      </c>
      <c r="J759" t="n">
        <v>0</v>
      </c>
      <c r="K759" t="n">
        <v>0</v>
      </c>
      <c r="L759" t="n">
        <v>0</v>
      </c>
      <c r="M759" t="n">
        <v>0</v>
      </c>
      <c r="N759" t="n">
        <v>0</v>
      </c>
      <c r="O759" t="n">
        <v>0</v>
      </c>
      <c r="P759" t="n">
        <v>0</v>
      </c>
      <c r="Q759" t="n">
        <v>0</v>
      </c>
      <c r="R759" s="2" t="inlineStr"/>
    </row>
    <row r="760" ht="15" customHeight="1">
      <c r="A760" t="inlineStr">
        <is>
          <t>A 25625-2023</t>
        </is>
      </c>
      <c r="B760" s="1" t="n">
        <v>45089</v>
      </c>
      <c r="C760" s="1" t="n">
        <v>45930</v>
      </c>
      <c r="D760" t="inlineStr">
        <is>
          <t>STOCKHOLMS LÄN</t>
        </is>
      </c>
      <c r="E760" t="inlineStr">
        <is>
          <t>NORRTÄLJE</t>
        </is>
      </c>
      <c r="G760" t="n">
        <v>5.5</v>
      </c>
      <c r="H760" t="n">
        <v>0</v>
      </c>
      <c r="I760" t="n">
        <v>0</v>
      </c>
      <c r="J760" t="n">
        <v>0</v>
      </c>
      <c r="K760" t="n">
        <v>0</v>
      </c>
      <c r="L760" t="n">
        <v>0</v>
      </c>
      <c r="M760" t="n">
        <v>0</v>
      </c>
      <c r="N760" t="n">
        <v>0</v>
      </c>
      <c r="O760" t="n">
        <v>0</v>
      </c>
      <c r="P760" t="n">
        <v>0</v>
      </c>
      <c r="Q760" t="n">
        <v>0</v>
      </c>
      <c r="R760" s="2" t="inlineStr"/>
    </row>
    <row r="761" ht="15" customHeight="1">
      <c r="A761" t="inlineStr">
        <is>
          <t>A 27381-2024</t>
        </is>
      </c>
      <c r="B761" s="1" t="n">
        <v>45473.94501157408</v>
      </c>
      <c r="C761" s="1" t="n">
        <v>45930</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60529-2023</t>
        </is>
      </c>
      <c r="B762" s="1" t="n">
        <v>45259</v>
      </c>
      <c r="C762" s="1" t="n">
        <v>45930</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59326-2023</t>
        </is>
      </c>
      <c r="B763" s="1" t="n">
        <v>45253.63089120371</v>
      </c>
      <c r="C763" s="1" t="n">
        <v>45930</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20790-2025</t>
        </is>
      </c>
      <c r="B764" s="1" t="n">
        <v>45776.62563657408</v>
      </c>
      <c r="C764" s="1" t="n">
        <v>45930</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3152-2024</t>
        </is>
      </c>
      <c r="B765" s="1" t="n">
        <v>45316.60306712963</v>
      </c>
      <c r="C765" s="1" t="n">
        <v>45930</v>
      </c>
      <c r="D765" t="inlineStr">
        <is>
          <t>STOCKHOLMS LÄN</t>
        </is>
      </c>
      <c r="E765" t="inlineStr">
        <is>
          <t>NORRTÄLJE</t>
        </is>
      </c>
      <c r="G765" t="n">
        <v>7.9</v>
      </c>
      <c r="H765" t="n">
        <v>0</v>
      </c>
      <c r="I765" t="n">
        <v>0</v>
      </c>
      <c r="J765" t="n">
        <v>0</v>
      </c>
      <c r="K765" t="n">
        <v>0</v>
      </c>
      <c r="L765" t="n">
        <v>0</v>
      </c>
      <c r="M765" t="n">
        <v>0</v>
      </c>
      <c r="N765" t="n">
        <v>0</v>
      </c>
      <c r="O765" t="n">
        <v>0</v>
      </c>
      <c r="P765" t="n">
        <v>0</v>
      </c>
      <c r="Q765" t="n">
        <v>0</v>
      </c>
      <c r="R765" s="2" t="inlineStr"/>
    </row>
    <row r="766" ht="15" customHeight="1">
      <c r="A766" t="inlineStr">
        <is>
          <t>A 20699-2025</t>
        </is>
      </c>
      <c r="B766" s="1" t="n">
        <v>45776.47346064815</v>
      </c>
      <c r="C766" s="1" t="n">
        <v>45930</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20779-2025</t>
        </is>
      </c>
      <c r="B767" s="1" t="n">
        <v>45776.59871527777</v>
      </c>
      <c r="C767" s="1" t="n">
        <v>45930</v>
      </c>
      <c r="D767" t="inlineStr">
        <is>
          <t>STOCKHOLMS LÄN</t>
        </is>
      </c>
      <c r="E767" t="inlineStr">
        <is>
          <t>NORRTÄLJE</t>
        </is>
      </c>
      <c r="G767" t="n">
        <v>6.9</v>
      </c>
      <c r="H767" t="n">
        <v>0</v>
      </c>
      <c r="I767" t="n">
        <v>0</v>
      </c>
      <c r="J767" t="n">
        <v>0</v>
      </c>
      <c r="K767" t="n">
        <v>0</v>
      </c>
      <c r="L767" t="n">
        <v>0</v>
      </c>
      <c r="M767" t="n">
        <v>0</v>
      </c>
      <c r="N767" t="n">
        <v>0</v>
      </c>
      <c r="O767" t="n">
        <v>0</v>
      </c>
      <c r="P767" t="n">
        <v>0</v>
      </c>
      <c r="Q767" t="n">
        <v>0</v>
      </c>
      <c r="R767" s="2" t="inlineStr"/>
    </row>
    <row r="768" ht="15" customHeight="1">
      <c r="A768" t="inlineStr">
        <is>
          <t>A 44836-2023</t>
        </is>
      </c>
      <c r="B768" s="1" t="n">
        <v>45190.55609953704</v>
      </c>
      <c r="C768" s="1" t="n">
        <v>45930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21771-2025</t>
        </is>
      </c>
      <c r="B769" s="1" t="n">
        <v>45783</v>
      </c>
      <c r="C769" s="1" t="n">
        <v>45930</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21778-2025</t>
        </is>
      </c>
      <c r="B770" s="1" t="n">
        <v>45783.66429398148</v>
      </c>
      <c r="C770" s="1" t="n">
        <v>45930</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14132-2025</t>
        </is>
      </c>
      <c r="B771" s="1" t="n">
        <v>45740.47550925926</v>
      </c>
      <c r="C771" s="1" t="n">
        <v>45930</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14133-2025</t>
        </is>
      </c>
      <c r="B772" s="1" t="n">
        <v>45740.47724537037</v>
      </c>
      <c r="C772" s="1" t="n">
        <v>45930</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7186-2024</t>
        </is>
      </c>
      <c r="B773" s="1" t="n">
        <v>45344</v>
      </c>
      <c r="C773" s="1" t="n">
        <v>45930</v>
      </c>
      <c r="D773" t="inlineStr">
        <is>
          <t>STOCKHOLMS LÄN</t>
        </is>
      </c>
      <c r="E773" t="inlineStr">
        <is>
          <t>NORRTÄLJE</t>
        </is>
      </c>
      <c r="G773" t="n">
        <v>4.9</v>
      </c>
      <c r="H773" t="n">
        <v>0</v>
      </c>
      <c r="I773" t="n">
        <v>0</v>
      </c>
      <c r="J773" t="n">
        <v>0</v>
      </c>
      <c r="K773" t="n">
        <v>0</v>
      </c>
      <c r="L773" t="n">
        <v>0</v>
      </c>
      <c r="M773" t="n">
        <v>0</v>
      </c>
      <c r="N773" t="n">
        <v>0</v>
      </c>
      <c r="O773" t="n">
        <v>0</v>
      </c>
      <c r="P773" t="n">
        <v>0</v>
      </c>
      <c r="Q773" t="n">
        <v>0</v>
      </c>
      <c r="R773" s="2" t="inlineStr"/>
    </row>
    <row r="774" ht="15" customHeight="1">
      <c r="A774" t="inlineStr">
        <is>
          <t>A 12902-2024</t>
        </is>
      </c>
      <c r="B774" s="1" t="n">
        <v>45385.38146990741</v>
      </c>
      <c r="C774" s="1" t="n">
        <v>45930</v>
      </c>
      <c r="D774" t="inlineStr">
        <is>
          <t>STOCKHOLMS LÄN</t>
        </is>
      </c>
      <c r="E774" t="inlineStr">
        <is>
          <t>NORRTÄLJE</t>
        </is>
      </c>
      <c r="G774" t="n">
        <v>3.7</v>
      </c>
      <c r="H774" t="n">
        <v>0</v>
      </c>
      <c r="I774" t="n">
        <v>0</v>
      </c>
      <c r="J774" t="n">
        <v>0</v>
      </c>
      <c r="K774" t="n">
        <v>0</v>
      </c>
      <c r="L774" t="n">
        <v>0</v>
      </c>
      <c r="M774" t="n">
        <v>0</v>
      </c>
      <c r="N774" t="n">
        <v>0</v>
      </c>
      <c r="O774" t="n">
        <v>0</v>
      </c>
      <c r="P774" t="n">
        <v>0</v>
      </c>
      <c r="Q774" t="n">
        <v>0</v>
      </c>
      <c r="R774" s="2" t="inlineStr"/>
    </row>
    <row r="775" ht="15" customHeight="1">
      <c r="A775" t="inlineStr">
        <is>
          <t>A 39202-2024</t>
        </is>
      </c>
      <c r="B775" s="1" t="n">
        <v>45548.72306712963</v>
      </c>
      <c r="C775" s="1" t="n">
        <v>45930</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39237-2024</t>
        </is>
      </c>
      <c r="B776" s="1" t="n">
        <v>45549</v>
      </c>
      <c r="C776" s="1" t="n">
        <v>45930</v>
      </c>
      <c r="D776" t="inlineStr">
        <is>
          <t>STOCKHOLMS LÄN</t>
        </is>
      </c>
      <c r="E776" t="inlineStr">
        <is>
          <t>NORRTÄLJE</t>
        </is>
      </c>
      <c r="G776" t="n">
        <v>13.3</v>
      </c>
      <c r="H776" t="n">
        <v>0</v>
      </c>
      <c r="I776" t="n">
        <v>0</v>
      </c>
      <c r="J776" t="n">
        <v>0</v>
      </c>
      <c r="K776" t="n">
        <v>0</v>
      </c>
      <c r="L776" t="n">
        <v>0</v>
      </c>
      <c r="M776" t="n">
        <v>0</v>
      </c>
      <c r="N776" t="n">
        <v>0</v>
      </c>
      <c r="O776" t="n">
        <v>0</v>
      </c>
      <c r="P776" t="n">
        <v>0</v>
      </c>
      <c r="Q776" t="n">
        <v>0</v>
      </c>
      <c r="R776" s="2" t="inlineStr"/>
    </row>
    <row r="777" ht="15" customHeight="1">
      <c r="A777" t="inlineStr">
        <is>
          <t>A 44891-2023</t>
        </is>
      </c>
      <c r="B777" s="1" t="n">
        <v>45187</v>
      </c>
      <c r="C777" s="1" t="n">
        <v>45930</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13268-2025</t>
        </is>
      </c>
      <c r="B778" s="1" t="n">
        <v>45735</v>
      </c>
      <c r="C778" s="1" t="n">
        <v>45930</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8414-2025</t>
        </is>
      </c>
      <c r="B779" s="1" t="n">
        <v>45709.39361111111</v>
      </c>
      <c r="C779" s="1" t="n">
        <v>45930</v>
      </c>
      <c r="D779" t="inlineStr">
        <is>
          <t>STOCKHOLMS LÄN</t>
        </is>
      </c>
      <c r="E779" t="inlineStr">
        <is>
          <t>NORRTÄLJE</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45930</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28816-2023</t>
        </is>
      </c>
      <c r="B781" s="1" t="n">
        <v>45104</v>
      </c>
      <c r="C781" s="1" t="n">
        <v>45930</v>
      </c>
      <c r="D781" t="inlineStr">
        <is>
          <t>STOCKHOLMS LÄN</t>
        </is>
      </c>
      <c r="E781" t="inlineStr">
        <is>
          <t>NORRTÄLJE</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45930</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45930</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45930</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44032-2024</t>
        </is>
      </c>
      <c r="B785" s="1" t="n">
        <v>45572.57828703704</v>
      </c>
      <c r="C785" s="1" t="n">
        <v>45930</v>
      </c>
      <c r="D785" t="inlineStr">
        <is>
          <t>STOCKHOLMS LÄN</t>
        </is>
      </c>
      <c r="E785" t="inlineStr">
        <is>
          <t>NORRTÄLJE</t>
        </is>
      </c>
      <c r="G785" t="n">
        <v>8.6</v>
      </c>
      <c r="H785" t="n">
        <v>0</v>
      </c>
      <c r="I785" t="n">
        <v>0</v>
      </c>
      <c r="J785" t="n">
        <v>0</v>
      </c>
      <c r="K785" t="n">
        <v>0</v>
      </c>
      <c r="L785" t="n">
        <v>0</v>
      </c>
      <c r="M785" t="n">
        <v>0</v>
      </c>
      <c r="N785" t="n">
        <v>0</v>
      </c>
      <c r="O785" t="n">
        <v>0</v>
      </c>
      <c r="P785" t="n">
        <v>0</v>
      </c>
      <c r="Q785" t="n">
        <v>0</v>
      </c>
      <c r="R785" s="2" t="inlineStr"/>
    </row>
    <row r="786" ht="15" customHeight="1">
      <c r="A786" t="inlineStr">
        <is>
          <t>A 19994-2023</t>
        </is>
      </c>
      <c r="B786" s="1" t="n">
        <v>45054</v>
      </c>
      <c r="C786" s="1" t="n">
        <v>45930</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29003-2023</t>
        </is>
      </c>
      <c r="B787" s="1" t="n">
        <v>45104</v>
      </c>
      <c r="C787" s="1" t="n">
        <v>45930</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24563-2024</t>
        </is>
      </c>
      <c r="B788" s="1" t="n">
        <v>45460.44347222222</v>
      </c>
      <c r="C788" s="1" t="n">
        <v>45930</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22202-2025</t>
        </is>
      </c>
      <c r="B789" s="1" t="n">
        <v>45785.65300925926</v>
      </c>
      <c r="C789" s="1" t="n">
        <v>45930</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15956-2023</t>
        </is>
      </c>
      <c r="B790" s="1" t="n">
        <v>45022.61003472222</v>
      </c>
      <c r="C790" s="1" t="n">
        <v>45930</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36625-2024</t>
        </is>
      </c>
      <c r="B791" s="1" t="n">
        <v>45537</v>
      </c>
      <c r="C791" s="1" t="n">
        <v>45930</v>
      </c>
      <c r="D791" t="inlineStr">
        <is>
          <t>STOCKHOLMS LÄN</t>
        </is>
      </c>
      <c r="E791" t="inlineStr">
        <is>
          <t>NORRTÄLJE</t>
        </is>
      </c>
      <c r="G791" t="n">
        <v>3.8</v>
      </c>
      <c r="H791" t="n">
        <v>0</v>
      </c>
      <c r="I791" t="n">
        <v>0</v>
      </c>
      <c r="J791" t="n">
        <v>0</v>
      </c>
      <c r="K791" t="n">
        <v>0</v>
      </c>
      <c r="L791" t="n">
        <v>0</v>
      </c>
      <c r="M791" t="n">
        <v>0</v>
      </c>
      <c r="N791" t="n">
        <v>0</v>
      </c>
      <c r="O791" t="n">
        <v>0</v>
      </c>
      <c r="P791" t="n">
        <v>0</v>
      </c>
      <c r="Q791" t="n">
        <v>0</v>
      </c>
      <c r="R791" s="2" t="inlineStr"/>
    </row>
    <row r="792" ht="15" customHeight="1">
      <c r="A792" t="inlineStr">
        <is>
          <t>A 45746-2024</t>
        </is>
      </c>
      <c r="B792" s="1" t="n">
        <v>45579</v>
      </c>
      <c r="C792" s="1" t="n">
        <v>45930</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30719-2025</t>
        </is>
      </c>
      <c r="B793" s="1" t="n">
        <v>45831.56521990741</v>
      </c>
      <c r="C793" s="1" t="n">
        <v>45930</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5950-2021</t>
        </is>
      </c>
      <c r="B794" s="1" t="n">
        <v>44231</v>
      </c>
      <c r="C794" s="1" t="n">
        <v>45930</v>
      </c>
      <c r="D794" t="inlineStr">
        <is>
          <t>STOCKHOLMS LÄN</t>
        </is>
      </c>
      <c r="E794" t="inlineStr">
        <is>
          <t>NORRTÄLJE</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3444-2023</t>
        </is>
      </c>
      <c r="B795" s="1" t="n">
        <v>44949</v>
      </c>
      <c r="C795" s="1" t="n">
        <v>45930</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45930</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8400-2024</t>
        </is>
      </c>
      <c r="B797" s="1" t="n">
        <v>45352.74090277778</v>
      </c>
      <c r="C797" s="1" t="n">
        <v>45930</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2182-2022</t>
        </is>
      </c>
      <c r="B798" s="1" t="n">
        <v>44578</v>
      </c>
      <c r="C798" s="1" t="n">
        <v>45930</v>
      </c>
      <c r="D798" t="inlineStr">
        <is>
          <t>STOCKHOLMS LÄN</t>
        </is>
      </c>
      <c r="E798" t="inlineStr">
        <is>
          <t>NORRTÄLJE</t>
        </is>
      </c>
      <c r="G798" t="n">
        <v>7.2</v>
      </c>
      <c r="H798" t="n">
        <v>0</v>
      </c>
      <c r="I798" t="n">
        <v>0</v>
      </c>
      <c r="J798" t="n">
        <v>0</v>
      </c>
      <c r="K798" t="n">
        <v>0</v>
      </c>
      <c r="L798" t="n">
        <v>0</v>
      </c>
      <c r="M798" t="n">
        <v>0</v>
      </c>
      <c r="N798" t="n">
        <v>0</v>
      </c>
      <c r="O798" t="n">
        <v>0</v>
      </c>
      <c r="P798" t="n">
        <v>0</v>
      </c>
      <c r="Q798" t="n">
        <v>0</v>
      </c>
      <c r="R798" s="2" t="inlineStr"/>
    </row>
    <row r="799" ht="15" customHeight="1">
      <c r="A799" t="inlineStr">
        <is>
          <t>A 3383-2023</t>
        </is>
      </c>
      <c r="B799" s="1" t="n">
        <v>44949</v>
      </c>
      <c r="C799" s="1" t="n">
        <v>45930</v>
      </c>
      <c r="D799" t="inlineStr">
        <is>
          <t>STOCKHOLMS LÄN</t>
        </is>
      </c>
      <c r="E799" t="inlineStr">
        <is>
          <t>NORRTÄLJE</t>
        </is>
      </c>
      <c r="G799" t="n">
        <v>14.6</v>
      </c>
      <c r="H799" t="n">
        <v>0</v>
      </c>
      <c r="I799" t="n">
        <v>0</v>
      </c>
      <c r="J799" t="n">
        <v>0</v>
      </c>
      <c r="K799" t="n">
        <v>0</v>
      </c>
      <c r="L799" t="n">
        <v>0</v>
      </c>
      <c r="M799" t="n">
        <v>0</v>
      </c>
      <c r="N799" t="n">
        <v>0</v>
      </c>
      <c r="O799" t="n">
        <v>0</v>
      </c>
      <c r="P799" t="n">
        <v>0</v>
      </c>
      <c r="Q799" t="n">
        <v>0</v>
      </c>
      <c r="R799" s="2" t="inlineStr"/>
    </row>
    <row r="800" ht="15" customHeight="1">
      <c r="A800" t="inlineStr">
        <is>
          <t>A 16620-2024</t>
        </is>
      </c>
      <c r="B800" s="1" t="n">
        <v>45408.57707175926</v>
      </c>
      <c r="C800" s="1" t="n">
        <v>45930</v>
      </c>
      <c r="D800" t="inlineStr">
        <is>
          <t>STOCKHOLMS LÄN</t>
        </is>
      </c>
      <c r="E800" t="inlineStr">
        <is>
          <t>NORRTÄLJE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4316-2023</t>
        </is>
      </c>
      <c r="B801" s="1" t="n">
        <v>44953.67443287037</v>
      </c>
      <c r="C801" s="1" t="n">
        <v>45930</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22416-2025</t>
        </is>
      </c>
      <c r="B802" s="1" t="n">
        <v>45786.55645833333</v>
      </c>
      <c r="C802" s="1" t="n">
        <v>45930</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5839-2023</t>
        </is>
      </c>
      <c r="B803" s="1" t="n">
        <v>44963</v>
      </c>
      <c r="C803" s="1" t="n">
        <v>45930</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58785-2024</t>
        </is>
      </c>
      <c r="B804" s="1" t="n">
        <v>45635.88849537037</v>
      </c>
      <c r="C804" s="1" t="n">
        <v>45930</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5804-2025</t>
        </is>
      </c>
      <c r="B805" s="1" t="n">
        <v>45694.68207175926</v>
      </c>
      <c r="C805" s="1" t="n">
        <v>45930</v>
      </c>
      <c r="D805" t="inlineStr">
        <is>
          <t>STOCKHOLMS LÄN</t>
        </is>
      </c>
      <c r="E805" t="inlineStr">
        <is>
          <t>NORRTÄLJE</t>
        </is>
      </c>
      <c r="F805" t="inlineStr">
        <is>
          <t>Holmen skog AB</t>
        </is>
      </c>
      <c r="G805" t="n">
        <v>2.6</v>
      </c>
      <c r="H805" t="n">
        <v>0</v>
      </c>
      <c r="I805" t="n">
        <v>0</v>
      </c>
      <c r="J805" t="n">
        <v>0</v>
      </c>
      <c r="K805" t="n">
        <v>0</v>
      </c>
      <c r="L805" t="n">
        <v>0</v>
      </c>
      <c r="M805" t="n">
        <v>0</v>
      </c>
      <c r="N805" t="n">
        <v>0</v>
      </c>
      <c r="O805" t="n">
        <v>0</v>
      </c>
      <c r="P805" t="n">
        <v>0</v>
      </c>
      <c r="Q805" t="n">
        <v>0</v>
      </c>
      <c r="R805" s="2" t="inlineStr"/>
    </row>
    <row r="806" ht="15" customHeight="1">
      <c r="A806" t="inlineStr">
        <is>
          <t>A 24705-2023</t>
        </is>
      </c>
      <c r="B806" s="1" t="n">
        <v>45084.54459490741</v>
      </c>
      <c r="C806" s="1" t="n">
        <v>45930</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54358-2022</t>
        </is>
      </c>
      <c r="B807" s="1" t="n">
        <v>44882</v>
      </c>
      <c r="C807" s="1" t="n">
        <v>45930</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23749-2024</t>
        </is>
      </c>
      <c r="B808" s="1" t="n">
        <v>45455.33037037037</v>
      </c>
      <c r="C808" s="1" t="n">
        <v>45930</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35691-2023</t>
        </is>
      </c>
      <c r="B809" s="1" t="n">
        <v>45147.65222222222</v>
      </c>
      <c r="C809" s="1" t="n">
        <v>45930</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35693-2023</t>
        </is>
      </c>
      <c r="B810" s="1" t="n">
        <v>45147.65311342593</v>
      </c>
      <c r="C810" s="1" t="n">
        <v>45930</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35698-2023</t>
        </is>
      </c>
      <c r="B811" s="1" t="n">
        <v>45147</v>
      </c>
      <c r="C811" s="1" t="n">
        <v>45930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73992-2021</t>
        </is>
      </c>
      <c r="B812" s="1" t="n">
        <v>44556</v>
      </c>
      <c r="C812" s="1" t="n">
        <v>45930</v>
      </c>
      <c r="D812" t="inlineStr">
        <is>
          <t>STOCKHOLMS LÄN</t>
        </is>
      </c>
      <c r="E812" t="inlineStr">
        <is>
          <t>NORRTÄLJE</t>
        </is>
      </c>
      <c r="G812" t="n">
        <v>12.5</v>
      </c>
      <c r="H812" t="n">
        <v>0</v>
      </c>
      <c r="I812" t="n">
        <v>0</v>
      </c>
      <c r="J812" t="n">
        <v>0</v>
      </c>
      <c r="K812" t="n">
        <v>0</v>
      </c>
      <c r="L812" t="n">
        <v>0</v>
      </c>
      <c r="M812" t="n">
        <v>0</v>
      </c>
      <c r="N812" t="n">
        <v>0</v>
      </c>
      <c r="O812" t="n">
        <v>0</v>
      </c>
      <c r="P812" t="n">
        <v>0</v>
      </c>
      <c r="Q812" t="n">
        <v>0</v>
      </c>
      <c r="R812" s="2" t="inlineStr"/>
    </row>
    <row r="813" ht="15" customHeight="1">
      <c r="A813" t="inlineStr">
        <is>
          <t>A 21329-2022</t>
        </is>
      </c>
      <c r="B813" s="1" t="n">
        <v>44705.60626157407</v>
      </c>
      <c r="C813" s="1" t="n">
        <v>45930</v>
      </c>
      <c r="D813" t="inlineStr">
        <is>
          <t>STOCKHOLMS LÄN</t>
        </is>
      </c>
      <c r="E813" t="inlineStr">
        <is>
          <t>NORRTÄLJE</t>
        </is>
      </c>
      <c r="G813" t="n">
        <v>4.1</v>
      </c>
      <c r="H813" t="n">
        <v>0</v>
      </c>
      <c r="I813" t="n">
        <v>0</v>
      </c>
      <c r="J813" t="n">
        <v>0</v>
      </c>
      <c r="K813" t="n">
        <v>0</v>
      </c>
      <c r="L813" t="n">
        <v>0</v>
      </c>
      <c r="M813" t="n">
        <v>0</v>
      </c>
      <c r="N813" t="n">
        <v>0</v>
      </c>
      <c r="O813" t="n">
        <v>0</v>
      </c>
      <c r="P813" t="n">
        <v>0</v>
      </c>
      <c r="Q813" t="n">
        <v>0</v>
      </c>
      <c r="R813" s="2" t="inlineStr"/>
    </row>
    <row r="814" ht="15" customHeight="1">
      <c r="A814" t="inlineStr">
        <is>
          <t>A 54276-2021</t>
        </is>
      </c>
      <c r="B814" s="1" t="n">
        <v>44470</v>
      </c>
      <c r="C814" s="1" t="n">
        <v>45930</v>
      </c>
      <c r="D814" t="inlineStr">
        <is>
          <t>STOCKHOLMS LÄN</t>
        </is>
      </c>
      <c r="E814" t="inlineStr">
        <is>
          <t>NORRTÄLJE</t>
        </is>
      </c>
      <c r="G814" t="n">
        <v>7.3</v>
      </c>
      <c r="H814" t="n">
        <v>0</v>
      </c>
      <c r="I814" t="n">
        <v>0</v>
      </c>
      <c r="J814" t="n">
        <v>0</v>
      </c>
      <c r="K814" t="n">
        <v>0</v>
      </c>
      <c r="L814" t="n">
        <v>0</v>
      </c>
      <c r="M814" t="n">
        <v>0</v>
      </c>
      <c r="N814" t="n">
        <v>0</v>
      </c>
      <c r="O814" t="n">
        <v>0</v>
      </c>
      <c r="P814" t="n">
        <v>0</v>
      </c>
      <c r="Q814" t="n">
        <v>0</v>
      </c>
      <c r="R814" s="2" t="inlineStr"/>
    </row>
    <row r="815" ht="15" customHeight="1">
      <c r="A815" t="inlineStr">
        <is>
          <t>A 62998-2023</t>
        </is>
      </c>
      <c r="B815" s="1" t="n">
        <v>45272.64479166667</v>
      </c>
      <c r="C815" s="1" t="n">
        <v>45930</v>
      </c>
      <c r="D815" t="inlineStr">
        <is>
          <t>STOCKHOLMS LÄN</t>
        </is>
      </c>
      <c r="E815" t="inlineStr">
        <is>
          <t>NORRTÄLJE</t>
        </is>
      </c>
      <c r="G815" t="n">
        <v>16.3</v>
      </c>
      <c r="H815" t="n">
        <v>0</v>
      </c>
      <c r="I815" t="n">
        <v>0</v>
      </c>
      <c r="J815" t="n">
        <v>0</v>
      </c>
      <c r="K815" t="n">
        <v>0</v>
      </c>
      <c r="L815" t="n">
        <v>0</v>
      </c>
      <c r="M815" t="n">
        <v>0</v>
      </c>
      <c r="N815" t="n">
        <v>0</v>
      </c>
      <c r="O815" t="n">
        <v>0</v>
      </c>
      <c r="P815" t="n">
        <v>0</v>
      </c>
      <c r="Q815" t="n">
        <v>0</v>
      </c>
      <c r="R815" s="2" t="inlineStr"/>
    </row>
    <row r="816" ht="15" customHeight="1">
      <c r="A816" t="inlineStr">
        <is>
          <t>A 63015-2023</t>
        </is>
      </c>
      <c r="B816" s="1" t="n">
        <v>45272</v>
      </c>
      <c r="C816" s="1" t="n">
        <v>45930</v>
      </c>
      <c r="D816" t="inlineStr">
        <is>
          <t>STOCKHOLMS LÄN</t>
        </is>
      </c>
      <c r="E816" t="inlineStr">
        <is>
          <t>NORRTÄLJE</t>
        </is>
      </c>
      <c r="G816" t="n">
        <v>13.1</v>
      </c>
      <c r="H816" t="n">
        <v>0</v>
      </c>
      <c r="I816" t="n">
        <v>0</v>
      </c>
      <c r="J816" t="n">
        <v>0</v>
      </c>
      <c r="K816" t="n">
        <v>0</v>
      </c>
      <c r="L816" t="n">
        <v>0</v>
      </c>
      <c r="M816" t="n">
        <v>0</v>
      </c>
      <c r="N816" t="n">
        <v>0</v>
      </c>
      <c r="O816" t="n">
        <v>0</v>
      </c>
      <c r="P816" t="n">
        <v>0</v>
      </c>
      <c r="Q816" t="n">
        <v>0</v>
      </c>
      <c r="R816" s="2" t="inlineStr"/>
    </row>
    <row r="817" ht="15" customHeight="1">
      <c r="A817" t="inlineStr">
        <is>
          <t>A 10090-2022</t>
        </is>
      </c>
      <c r="B817" s="1" t="n">
        <v>44621</v>
      </c>
      <c r="C817" s="1" t="n">
        <v>45930</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13785-2024</t>
        </is>
      </c>
      <c r="B818" s="1" t="n">
        <v>45391.3395949074</v>
      </c>
      <c r="C818" s="1" t="n">
        <v>45930</v>
      </c>
      <c r="D818" t="inlineStr">
        <is>
          <t>STOCKHOLMS LÄN</t>
        </is>
      </c>
      <c r="E818" t="inlineStr">
        <is>
          <t>NORRTÄLJE</t>
        </is>
      </c>
      <c r="G818" t="n">
        <v>5</v>
      </c>
      <c r="H818" t="n">
        <v>0</v>
      </c>
      <c r="I818" t="n">
        <v>0</v>
      </c>
      <c r="J818" t="n">
        <v>0</v>
      </c>
      <c r="K818" t="n">
        <v>0</v>
      </c>
      <c r="L818" t="n">
        <v>0</v>
      </c>
      <c r="M818" t="n">
        <v>0</v>
      </c>
      <c r="N818" t="n">
        <v>0</v>
      </c>
      <c r="O818" t="n">
        <v>0</v>
      </c>
      <c r="P818" t="n">
        <v>0</v>
      </c>
      <c r="Q818" t="n">
        <v>0</v>
      </c>
      <c r="R818" s="2" t="inlineStr"/>
    </row>
    <row r="819" ht="15" customHeight="1">
      <c r="A819" t="inlineStr">
        <is>
          <t>A 12901-2024</t>
        </is>
      </c>
      <c r="B819" s="1" t="n">
        <v>45385.37922453704</v>
      </c>
      <c r="C819" s="1" t="n">
        <v>45930</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12301-2025</t>
        </is>
      </c>
      <c r="B820" s="1" t="n">
        <v>45729.7271875</v>
      </c>
      <c r="C820" s="1" t="n">
        <v>45930</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51116-2022</t>
        </is>
      </c>
      <c r="B821" s="1" t="n">
        <v>44868.45741898148</v>
      </c>
      <c r="C821" s="1" t="n">
        <v>45930</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8950-2025</t>
        </is>
      </c>
      <c r="B822" s="1" t="n">
        <v>45713</v>
      </c>
      <c r="C822" s="1" t="n">
        <v>45930</v>
      </c>
      <c r="D822" t="inlineStr">
        <is>
          <t>STOCKHOLMS LÄN</t>
        </is>
      </c>
      <c r="E822" t="inlineStr">
        <is>
          <t>NORRTÄLJE</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20730-2024</t>
        </is>
      </c>
      <c r="B823" s="1" t="n">
        <v>45436</v>
      </c>
      <c r="C823" s="1" t="n">
        <v>45930</v>
      </c>
      <c r="D823" t="inlineStr">
        <is>
          <t>STOCKHOLMS LÄN</t>
        </is>
      </c>
      <c r="E823" t="inlineStr">
        <is>
          <t>NORRTÄLJE</t>
        </is>
      </c>
      <c r="G823" t="n">
        <v>7.3</v>
      </c>
      <c r="H823" t="n">
        <v>0</v>
      </c>
      <c r="I823" t="n">
        <v>0</v>
      </c>
      <c r="J823" t="n">
        <v>0</v>
      </c>
      <c r="K823" t="n">
        <v>0</v>
      </c>
      <c r="L823" t="n">
        <v>0</v>
      </c>
      <c r="M823" t="n">
        <v>0</v>
      </c>
      <c r="N823" t="n">
        <v>0</v>
      </c>
      <c r="O823" t="n">
        <v>0</v>
      </c>
      <c r="P823" t="n">
        <v>0</v>
      </c>
      <c r="Q823" t="n">
        <v>0</v>
      </c>
      <c r="R823" s="2" t="inlineStr"/>
    </row>
    <row r="824" ht="15" customHeight="1">
      <c r="A824" t="inlineStr">
        <is>
          <t>A 33175-2024</t>
        </is>
      </c>
      <c r="B824" s="1" t="n">
        <v>45518</v>
      </c>
      <c r="C824" s="1" t="n">
        <v>45930</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29972-2024</t>
        </is>
      </c>
      <c r="B825" s="1" t="n">
        <v>45485</v>
      </c>
      <c r="C825" s="1" t="n">
        <v>45930</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13283-2025</t>
        </is>
      </c>
      <c r="B826" s="1" t="n">
        <v>45735</v>
      </c>
      <c r="C826" s="1" t="n">
        <v>45930</v>
      </c>
      <c r="D826" t="inlineStr">
        <is>
          <t>STOCKHOLMS LÄN</t>
        </is>
      </c>
      <c r="E826" t="inlineStr">
        <is>
          <t>NORRTÄLJE</t>
        </is>
      </c>
      <c r="G826" t="n">
        <v>4.9</v>
      </c>
      <c r="H826" t="n">
        <v>0</v>
      </c>
      <c r="I826" t="n">
        <v>0</v>
      </c>
      <c r="J826" t="n">
        <v>0</v>
      </c>
      <c r="K826" t="n">
        <v>0</v>
      </c>
      <c r="L826" t="n">
        <v>0</v>
      </c>
      <c r="M826" t="n">
        <v>0</v>
      </c>
      <c r="N826" t="n">
        <v>0</v>
      </c>
      <c r="O826" t="n">
        <v>0</v>
      </c>
      <c r="P826" t="n">
        <v>0</v>
      </c>
      <c r="Q826" t="n">
        <v>0</v>
      </c>
      <c r="R826" s="2" t="inlineStr"/>
    </row>
    <row r="827" ht="15" customHeight="1">
      <c r="A827" t="inlineStr">
        <is>
          <t>A 27831-2024</t>
        </is>
      </c>
      <c r="B827" s="1" t="n">
        <v>45475.61896990741</v>
      </c>
      <c r="C827" s="1" t="n">
        <v>45930</v>
      </c>
      <c r="D827" t="inlineStr">
        <is>
          <t>STOCKHOLMS LÄN</t>
        </is>
      </c>
      <c r="E827" t="inlineStr">
        <is>
          <t>NORRTÄLJE</t>
        </is>
      </c>
      <c r="G827" t="n">
        <v>3.8</v>
      </c>
      <c r="H827" t="n">
        <v>0</v>
      </c>
      <c r="I827" t="n">
        <v>0</v>
      </c>
      <c r="J827" t="n">
        <v>0</v>
      </c>
      <c r="K827" t="n">
        <v>0</v>
      </c>
      <c r="L827" t="n">
        <v>0</v>
      </c>
      <c r="M827" t="n">
        <v>0</v>
      </c>
      <c r="N827" t="n">
        <v>0</v>
      </c>
      <c r="O827" t="n">
        <v>0</v>
      </c>
      <c r="P827" t="n">
        <v>0</v>
      </c>
      <c r="Q827" t="n">
        <v>0</v>
      </c>
      <c r="R827" s="2" t="inlineStr"/>
    </row>
    <row r="828" ht="15" customHeight="1">
      <c r="A828" t="inlineStr">
        <is>
          <t>A 28809-2023</t>
        </is>
      </c>
      <c r="B828" s="1" t="n">
        <v>45104</v>
      </c>
      <c r="C828" s="1" t="n">
        <v>45930</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28813-2023</t>
        </is>
      </c>
      <c r="B829" s="1" t="n">
        <v>45104</v>
      </c>
      <c r="C829" s="1" t="n">
        <v>45930</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19131-2025</t>
        </is>
      </c>
      <c r="B830" s="1" t="n">
        <v>45769</v>
      </c>
      <c r="C830" s="1" t="n">
        <v>45930</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11929-2024</t>
        </is>
      </c>
      <c r="B831" s="1" t="n">
        <v>45376.64532407407</v>
      </c>
      <c r="C831" s="1" t="n">
        <v>45930</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64145-2021</t>
        </is>
      </c>
      <c r="B832" s="1" t="n">
        <v>44510</v>
      </c>
      <c r="C832" s="1" t="n">
        <v>45930</v>
      </c>
      <c r="D832" t="inlineStr">
        <is>
          <t>STOCKHOLMS LÄN</t>
        </is>
      </c>
      <c r="E832" t="inlineStr">
        <is>
          <t>NORRTÄLJE</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21803-2022</t>
        </is>
      </c>
      <c r="B833" s="1" t="n">
        <v>44708.67822916667</v>
      </c>
      <c r="C833" s="1" t="n">
        <v>45930</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45451-2024</t>
        </is>
      </c>
      <c r="B834" s="1" t="n">
        <v>45576</v>
      </c>
      <c r="C834" s="1" t="n">
        <v>45930</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33279-2025</t>
        </is>
      </c>
      <c r="B835" s="1" t="n">
        <v>45840.70885416667</v>
      </c>
      <c r="C835" s="1" t="n">
        <v>45930</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24687-2025</t>
        </is>
      </c>
      <c r="B836" s="1" t="n">
        <v>45798.66767361111</v>
      </c>
      <c r="C836" s="1" t="n">
        <v>45930</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49327-2020</t>
        </is>
      </c>
      <c r="B837" s="1" t="n">
        <v>44105</v>
      </c>
      <c r="C837" s="1" t="n">
        <v>45930</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24690-2025</t>
        </is>
      </c>
      <c r="B838" s="1" t="n">
        <v>45798.67082175926</v>
      </c>
      <c r="C838" s="1" t="n">
        <v>45930</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24638-2025</t>
        </is>
      </c>
      <c r="B839" s="1" t="n">
        <v>45798</v>
      </c>
      <c r="C839" s="1" t="n">
        <v>45930</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24351-2025</t>
        </is>
      </c>
      <c r="B840" s="1" t="n">
        <v>45797.58399305555</v>
      </c>
      <c r="C840" s="1" t="n">
        <v>45930</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17843-2024</t>
        </is>
      </c>
      <c r="B841" s="1" t="n">
        <v>45418</v>
      </c>
      <c r="C841" s="1" t="n">
        <v>45930</v>
      </c>
      <c r="D841" t="inlineStr">
        <is>
          <t>STOCKHOLMS LÄN</t>
        </is>
      </c>
      <c r="E841" t="inlineStr">
        <is>
          <t>NORRTÄLJE</t>
        </is>
      </c>
      <c r="G841" t="n">
        <v>5.4</v>
      </c>
      <c r="H841" t="n">
        <v>0</v>
      </c>
      <c r="I841" t="n">
        <v>0</v>
      </c>
      <c r="J841" t="n">
        <v>0</v>
      </c>
      <c r="K841" t="n">
        <v>0</v>
      </c>
      <c r="L841" t="n">
        <v>0</v>
      </c>
      <c r="M841" t="n">
        <v>0</v>
      </c>
      <c r="N841" t="n">
        <v>0</v>
      </c>
      <c r="O841" t="n">
        <v>0</v>
      </c>
      <c r="P841" t="n">
        <v>0</v>
      </c>
      <c r="Q841" t="n">
        <v>0</v>
      </c>
      <c r="R841" s="2" t="inlineStr"/>
    </row>
    <row r="842" ht="15" customHeight="1">
      <c r="A842" t="inlineStr">
        <is>
          <t>A 12890-2024</t>
        </is>
      </c>
      <c r="B842" s="1" t="n">
        <v>45385.36243055556</v>
      </c>
      <c r="C842" s="1" t="n">
        <v>45930</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36430-2024</t>
        </is>
      </c>
      <c r="B843" s="1" t="n">
        <v>45536</v>
      </c>
      <c r="C843" s="1" t="n">
        <v>45930</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28603-2024</t>
        </is>
      </c>
      <c r="B844" s="1" t="n">
        <v>45478.42887731481</v>
      </c>
      <c r="C844" s="1" t="n">
        <v>45930</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25702-2025</t>
        </is>
      </c>
      <c r="B845" s="1" t="n">
        <v>45800</v>
      </c>
      <c r="C845" s="1" t="n">
        <v>45930</v>
      </c>
      <c r="D845" t="inlineStr">
        <is>
          <t>STOCKHOLMS LÄN</t>
        </is>
      </c>
      <c r="E845" t="inlineStr">
        <is>
          <t>NORRTÄLJE</t>
        </is>
      </c>
      <c r="G845" t="n">
        <v>5.3</v>
      </c>
      <c r="H845" t="n">
        <v>0</v>
      </c>
      <c r="I845" t="n">
        <v>0</v>
      </c>
      <c r="J845" t="n">
        <v>0</v>
      </c>
      <c r="K845" t="n">
        <v>0</v>
      </c>
      <c r="L845" t="n">
        <v>0</v>
      </c>
      <c r="M845" t="n">
        <v>0</v>
      </c>
      <c r="N845" t="n">
        <v>0</v>
      </c>
      <c r="O845" t="n">
        <v>0</v>
      </c>
      <c r="P845" t="n">
        <v>0</v>
      </c>
      <c r="Q845" t="n">
        <v>0</v>
      </c>
      <c r="R845" s="2" t="inlineStr"/>
    </row>
    <row r="846" ht="15" customHeight="1">
      <c r="A846" t="inlineStr">
        <is>
          <t>A 25709-2025</t>
        </is>
      </c>
      <c r="B846" s="1" t="n">
        <v>45800</v>
      </c>
      <c r="C846" s="1" t="n">
        <v>45930</v>
      </c>
      <c r="D846" t="inlineStr">
        <is>
          <t>STOCKHOLMS LÄN</t>
        </is>
      </c>
      <c r="E846" t="inlineStr">
        <is>
          <t>NORRTÄLJE</t>
        </is>
      </c>
      <c r="G846" t="n">
        <v>4.6</v>
      </c>
      <c r="H846" t="n">
        <v>0</v>
      </c>
      <c r="I846" t="n">
        <v>0</v>
      </c>
      <c r="J846" t="n">
        <v>0</v>
      </c>
      <c r="K846" t="n">
        <v>0</v>
      </c>
      <c r="L846" t="n">
        <v>0</v>
      </c>
      <c r="M846" t="n">
        <v>0</v>
      </c>
      <c r="N846" t="n">
        <v>0</v>
      </c>
      <c r="O846" t="n">
        <v>0</v>
      </c>
      <c r="P846" t="n">
        <v>0</v>
      </c>
      <c r="Q846" t="n">
        <v>0</v>
      </c>
      <c r="R846" s="2" t="inlineStr"/>
    </row>
    <row r="847" ht="15" customHeight="1">
      <c r="A847" t="inlineStr">
        <is>
          <t>A 25721-2025</t>
        </is>
      </c>
      <c r="B847" s="1" t="n">
        <v>45800</v>
      </c>
      <c r="C847" s="1" t="n">
        <v>45930</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24835-2025</t>
        </is>
      </c>
      <c r="B848" s="1" t="n">
        <v>45799</v>
      </c>
      <c r="C848" s="1" t="n">
        <v>45930</v>
      </c>
      <c r="D848" t="inlineStr">
        <is>
          <t>STOCKHOLMS LÄN</t>
        </is>
      </c>
      <c r="E848" t="inlineStr">
        <is>
          <t>NORRTÄLJE</t>
        </is>
      </c>
      <c r="G848" t="n">
        <v>2.5</v>
      </c>
      <c r="H848" t="n">
        <v>0</v>
      </c>
      <c r="I848" t="n">
        <v>0</v>
      </c>
      <c r="J848" t="n">
        <v>0</v>
      </c>
      <c r="K848" t="n">
        <v>0</v>
      </c>
      <c r="L848" t="n">
        <v>0</v>
      </c>
      <c r="M848" t="n">
        <v>0</v>
      </c>
      <c r="N848" t="n">
        <v>0</v>
      </c>
      <c r="O848" t="n">
        <v>0</v>
      </c>
      <c r="P848" t="n">
        <v>0</v>
      </c>
      <c r="Q848" t="n">
        <v>0</v>
      </c>
      <c r="R848" s="2" t="inlineStr"/>
    </row>
    <row r="849" ht="15" customHeight="1">
      <c r="A849" t="inlineStr">
        <is>
          <t>A 25733-2025</t>
        </is>
      </c>
      <c r="B849" s="1" t="n">
        <v>45800</v>
      </c>
      <c r="C849" s="1" t="n">
        <v>45930</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25725-2025</t>
        </is>
      </c>
      <c r="B850" s="1" t="n">
        <v>45800</v>
      </c>
      <c r="C850" s="1" t="n">
        <v>45930</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25571-2025</t>
        </is>
      </c>
      <c r="B851" s="1" t="n">
        <v>45803.4675</v>
      </c>
      <c r="C851" s="1" t="n">
        <v>45930</v>
      </c>
      <c r="D851" t="inlineStr">
        <is>
          <t>STOCKHOLMS LÄN</t>
        </is>
      </c>
      <c r="E851" t="inlineStr">
        <is>
          <t>NORRTÄLJE</t>
        </is>
      </c>
      <c r="G851" t="n">
        <v>5.4</v>
      </c>
      <c r="H851" t="n">
        <v>0</v>
      </c>
      <c r="I851" t="n">
        <v>0</v>
      </c>
      <c r="J851" t="n">
        <v>0</v>
      </c>
      <c r="K851" t="n">
        <v>0</v>
      </c>
      <c r="L851" t="n">
        <v>0</v>
      </c>
      <c r="M851" t="n">
        <v>0</v>
      </c>
      <c r="N851" t="n">
        <v>0</v>
      </c>
      <c r="O851" t="n">
        <v>0</v>
      </c>
      <c r="P851" t="n">
        <v>0</v>
      </c>
      <c r="Q851" t="n">
        <v>0</v>
      </c>
      <c r="R851" s="2" t="inlineStr"/>
    </row>
    <row r="852" ht="15" customHeight="1">
      <c r="A852" t="inlineStr">
        <is>
          <t>A 53561-2023</t>
        </is>
      </c>
      <c r="B852" s="1" t="n">
        <v>45224</v>
      </c>
      <c r="C852" s="1" t="n">
        <v>45930</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25270-2025</t>
        </is>
      </c>
      <c r="B853" s="1" t="n">
        <v>45800</v>
      </c>
      <c r="C853" s="1" t="n">
        <v>45930</v>
      </c>
      <c r="D853" t="inlineStr">
        <is>
          <t>STOCKHOLMS LÄN</t>
        </is>
      </c>
      <c r="E853" t="inlineStr">
        <is>
          <t>NORRTÄLJE</t>
        </is>
      </c>
      <c r="F853" t="inlineStr">
        <is>
          <t>Övriga Aktiebolag</t>
        </is>
      </c>
      <c r="G853" t="n">
        <v>30</v>
      </c>
      <c r="H853" t="n">
        <v>0</v>
      </c>
      <c r="I853" t="n">
        <v>0</v>
      </c>
      <c r="J853" t="n">
        <v>0</v>
      </c>
      <c r="K853" t="n">
        <v>0</v>
      </c>
      <c r="L853" t="n">
        <v>0</v>
      </c>
      <c r="M853" t="n">
        <v>0</v>
      </c>
      <c r="N853" t="n">
        <v>0</v>
      </c>
      <c r="O853" t="n">
        <v>0</v>
      </c>
      <c r="P853" t="n">
        <v>0</v>
      </c>
      <c r="Q853" t="n">
        <v>0</v>
      </c>
      <c r="R853" s="2" t="inlineStr"/>
    </row>
    <row r="854" ht="15" customHeight="1">
      <c r="A854" t="inlineStr">
        <is>
          <t>A 25712-2025</t>
        </is>
      </c>
      <c r="B854" s="1" t="n">
        <v>45803.69228009259</v>
      </c>
      <c r="C854" s="1" t="n">
        <v>45930</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41218-2024</t>
        </is>
      </c>
      <c r="B855" s="1" t="n">
        <v>45559.54706018518</v>
      </c>
      <c r="C855" s="1" t="n">
        <v>45930</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26051-2025</t>
        </is>
      </c>
      <c r="B856" s="1" t="n">
        <v>45804.74479166666</v>
      </c>
      <c r="C856" s="1" t="n">
        <v>45930</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39238-2024</t>
        </is>
      </c>
      <c r="B857" s="1" t="n">
        <v>45549</v>
      </c>
      <c r="C857" s="1" t="n">
        <v>45930</v>
      </c>
      <c r="D857" t="inlineStr">
        <is>
          <t>STOCKHOLMS LÄN</t>
        </is>
      </c>
      <c r="E857" t="inlineStr">
        <is>
          <t>NORRTÄLJE</t>
        </is>
      </c>
      <c r="G857" t="n">
        <v>3.6</v>
      </c>
      <c r="H857" t="n">
        <v>0</v>
      </c>
      <c r="I857" t="n">
        <v>0</v>
      </c>
      <c r="J857" t="n">
        <v>0</v>
      </c>
      <c r="K857" t="n">
        <v>0</v>
      </c>
      <c r="L857" t="n">
        <v>0</v>
      </c>
      <c r="M857" t="n">
        <v>0</v>
      </c>
      <c r="N857" t="n">
        <v>0</v>
      </c>
      <c r="O857" t="n">
        <v>0</v>
      </c>
      <c r="P857" t="n">
        <v>0</v>
      </c>
      <c r="Q857" t="n">
        <v>0</v>
      </c>
      <c r="R857" s="2" t="inlineStr"/>
    </row>
    <row r="858" ht="15" customHeight="1">
      <c r="A858" t="inlineStr">
        <is>
          <t>A 38449-2022</t>
        </is>
      </c>
      <c r="B858" s="1" t="n">
        <v>44813</v>
      </c>
      <c r="C858" s="1" t="n">
        <v>45930</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25697-2025</t>
        </is>
      </c>
      <c r="B859" s="1" t="n">
        <v>45803.66587962963</v>
      </c>
      <c r="C859" s="1" t="n">
        <v>45930</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47259-2024</t>
        </is>
      </c>
      <c r="B860" s="1" t="n">
        <v>45586</v>
      </c>
      <c r="C860" s="1" t="n">
        <v>45930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34478-2025</t>
        </is>
      </c>
      <c r="B861" s="1" t="n">
        <v>45847.37414351852</v>
      </c>
      <c r="C861" s="1" t="n">
        <v>45930</v>
      </c>
      <c r="D861" t="inlineStr">
        <is>
          <t>STOCKHOLMS LÄN</t>
        </is>
      </c>
      <c r="E861" t="inlineStr">
        <is>
          <t>NORRTÄLJE</t>
        </is>
      </c>
      <c r="F861" t="inlineStr">
        <is>
          <t>Övriga Aktiebolag</t>
        </is>
      </c>
      <c r="G861" t="n">
        <v>10.8</v>
      </c>
      <c r="H861" t="n">
        <v>0</v>
      </c>
      <c r="I861" t="n">
        <v>0</v>
      </c>
      <c r="J861" t="n">
        <v>0</v>
      </c>
      <c r="K861" t="n">
        <v>0</v>
      </c>
      <c r="L861" t="n">
        <v>0</v>
      </c>
      <c r="M861" t="n">
        <v>0</v>
      </c>
      <c r="N861" t="n">
        <v>0</v>
      </c>
      <c r="O861" t="n">
        <v>0</v>
      </c>
      <c r="P861" t="n">
        <v>0</v>
      </c>
      <c r="Q861" t="n">
        <v>0</v>
      </c>
      <c r="R861" s="2" t="inlineStr"/>
    </row>
    <row r="862" ht="15" customHeight="1">
      <c r="A862" t="inlineStr">
        <is>
          <t>A 41172-2023</t>
        </is>
      </c>
      <c r="B862" s="1" t="n">
        <v>45170</v>
      </c>
      <c r="C862" s="1" t="n">
        <v>45930</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67921-2021</t>
        </is>
      </c>
      <c r="B863" s="1" t="n">
        <v>44525</v>
      </c>
      <c r="C863" s="1" t="n">
        <v>45930</v>
      </c>
      <c r="D863" t="inlineStr">
        <is>
          <t>STOCKHOLMS LÄN</t>
        </is>
      </c>
      <c r="E863" t="inlineStr">
        <is>
          <t>NORRTÄLJE</t>
        </is>
      </c>
      <c r="G863" t="n">
        <v>6.3</v>
      </c>
      <c r="H863" t="n">
        <v>0</v>
      </c>
      <c r="I863" t="n">
        <v>0</v>
      </c>
      <c r="J863" t="n">
        <v>0</v>
      </c>
      <c r="K863" t="n">
        <v>0</v>
      </c>
      <c r="L863" t="n">
        <v>0</v>
      </c>
      <c r="M863" t="n">
        <v>0</v>
      </c>
      <c r="N863" t="n">
        <v>0</v>
      </c>
      <c r="O863" t="n">
        <v>0</v>
      </c>
      <c r="P863" t="n">
        <v>0</v>
      </c>
      <c r="Q863" t="n">
        <v>0</v>
      </c>
      <c r="R863" s="2" t="inlineStr"/>
    </row>
    <row r="864" ht="15" customHeight="1">
      <c r="A864" t="inlineStr">
        <is>
          <t>A 72704-2021</t>
        </is>
      </c>
      <c r="B864" s="1" t="n">
        <v>44546</v>
      </c>
      <c r="C864" s="1" t="n">
        <v>45930</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65499-2021</t>
        </is>
      </c>
      <c r="B865" s="1" t="n">
        <v>44516</v>
      </c>
      <c r="C865" s="1" t="n">
        <v>45930</v>
      </c>
      <c r="D865" t="inlineStr">
        <is>
          <t>STOCKHOLMS LÄN</t>
        </is>
      </c>
      <c r="E865" t="inlineStr">
        <is>
          <t>NORRTÄLJE</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65511-2021</t>
        </is>
      </c>
      <c r="B866" s="1" t="n">
        <v>44516.40674768519</v>
      </c>
      <c r="C866" s="1" t="n">
        <v>45930</v>
      </c>
      <c r="D866" t="inlineStr">
        <is>
          <t>STOCKHOLMS LÄN</t>
        </is>
      </c>
      <c r="E866" t="inlineStr">
        <is>
          <t>NORRTÄLJE</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26113-2024</t>
        </is>
      </c>
      <c r="B867" s="1" t="n">
        <v>45468.45541666666</v>
      </c>
      <c r="C867" s="1" t="n">
        <v>45930</v>
      </c>
      <c r="D867" t="inlineStr">
        <is>
          <t>STOCKHOLMS LÄN</t>
        </is>
      </c>
      <c r="E867" t="inlineStr">
        <is>
          <t>NORRTÄLJE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26116-2024</t>
        </is>
      </c>
      <c r="B868" s="1" t="n">
        <v>45468.45747685185</v>
      </c>
      <c r="C868" s="1" t="n">
        <v>45930</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26675-2025</t>
        </is>
      </c>
      <c r="B869" s="1" t="n">
        <v>45810.42393518519</v>
      </c>
      <c r="C869" s="1" t="n">
        <v>45930</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52686-2024</t>
        </is>
      </c>
      <c r="B870" s="1" t="n">
        <v>45610.39271990741</v>
      </c>
      <c r="C870" s="1" t="n">
        <v>45930</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23061-2025</t>
        </is>
      </c>
      <c r="B871" s="1" t="n">
        <v>45790.81410879629</v>
      </c>
      <c r="C871" s="1" t="n">
        <v>45930</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44769.66039351852</v>
      </c>
      <c r="C872" s="1" t="n">
        <v>45930</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26747-2025</t>
        </is>
      </c>
      <c r="B873" s="1" t="n">
        <v>45810.5333912037</v>
      </c>
      <c r="C873" s="1" t="n">
        <v>45930</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26702-2025</t>
        </is>
      </c>
      <c r="B874" s="1" t="n">
        <v>45810.45236111111</v>
      </c>
      <c r="C874" s="1" t="n">
        <v>45930</v>
      </c>
      <c r="D874" t="inlineStr">
        <is>
          <t>STOCKHOLMS LÄN</t>
        </is>
      </c>
      <c r="E874" t="inlineStr">
        <is>
          <t>NORRTÄLJE</t>
        </is>
      </c>
      <c r="G874" t="n">
        <v>7.3</v>
      </c>
      <c r="H874" t="n">
        <v>0</v>
      </c>
      <c r="I874" t="n">
        <v>0</v>
      </c>
      <c r="J874" t="n">
        <v>0</v>
      </c>
      <c r="K874" t="n">
        <v>0</v>
      </c>
      <c r="L874" t="n">
        <v>0</v>
      </c>
      <c r="M874" t="n">
        <v>0</v>
      </c>
      <c r="N874" t="n">
        <v>0</v>
      </c>
      <c r="O874" t="n">
        <v>0</v>
      </c>
      <c r="P874" t="n">
        <v>0</v>
      </c>
      <c r="Q874" t="n">
        <v>0</v>
      </c>
      <c r="R874" s="2" t="inlineStr"/>
    </row>
    <row r="875" ht="15" customHeight="1">
      <c r="A875" t="inlineStr">
        <is>
          <t>A 62644-2023</t>
        </is>
      </c>
      <c r="B875" s="1" t="n">
        <v>45271</v>
      </c>
      <c r="C875" s="1" t="n">
        <v>45930</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60185-2024</t>
        </is>
      </c>
      <c r="B876" s="1" t="n">
        <v>45642.64634259259</v>
      </c>
      <c r="C876" s="1" t="n">
        <v>45930</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60765-2023</t>
        </is>
      </c>
      <c r="B877" s="1" t="n">
        <v>45260</v>
      </c>
      <c r="C877" s="1" t="n">
        <v>45930</v>
      </c>
      <c r="D877" t="inlineStr">
        <is>
          <t>STOCKHOLMS LÄN</t>
        </is>
      </c>
      <c r="E877" t="inlineStr">
        <is>
          <t>NORRTÄLJE</t>
        </is>
      </c>
      <c r="G877" t="n">
        <v>3.7</v>
      </c>
      <c r="H877" t="n">
        <v>0</v>
      </c>
      <c r="I877" t="n">
        <v>0</v>
      </c>
      <c r="J877" t="n">
        <v>0</v>
      </c>
      <c r="K877" t="n">
        <v>0</v>
      </c>
      <c r="L877" t="n">
        <v>0</v>
      </c>
      <c r="M877" t="n">
        <v>0</v>
      </c>
      <c r="N877" t="n">
        <v>0</v>
      </c>
      <c r="O877" t="n">
        <v>0</v>
      </c>
      <c r="P877" t="n">
        <v>0</v>
      </c>
      <c r="Q877" t="n">
        <v>0</v>
      </c>
      <c r="R877" s="2" t="inlineStr"/>
    </row>
    <row r="878" ht="15" customHeight="1">
      <c r="A878" t="inlineStr">
        <is>
          <t>A 12268-2022</t>
        </is>
      </c>
      <c r="B878" s="1" t="n">
        <v>44637</v>
      </c>
      <c r="C878" s="1" t="n">
        <v>45930</v>
      </c>
      <c r="D878" t="inlineStr">
        <is>
          <t>STOCKHOLMS LÄN</t>
        </is>
      </c>
      <c r="E878" t="inlineStr">
        <is>
          <t>NORRTÄLJE</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26708-2025</t>
        </is>
      </c>
      <c r="B879" s="1" t="n">
        <v>45810.45633101852</v>
      </c>
      <c r="C879" s="1" t="n">
        <v>45930</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22832-2021</t>
        </is>
      </c>
      <c r="B880" s="1" t="n">
        <v>44325</v>
      </c>
      <c r="C880" s="1" t="n">
        <v>45930</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51315-2021</t>
        </is>
      </c>
      <c r="B881" s="1" t="n">
        <v>44461</v>
      </c>
      <c r="C881" s="1" t="n">
        <v>45930</v>
      </c>
      <c r="D881" t="inlineStr">
        <is>
          <t>STOCKHOLMS LÄN</t>
        </is>
      </c>
      <c r="E881" t="inlineStr">
        <is>
          <t>NORRTÄLJE</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27040-2025</t>
        </is>
      </c>
      <c r="B882" s="1" t="n">
        <v>45811.60451388889</v>
      </c>
      <c r="C882" s="1" t="n">
        <v>45930</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22008-2024</t>
        </is>
      </c>
      <c r="B883" s="1" t="n">
        <v>45443</v>
      </c>
      <c r="C883" s="1" t="n">
        <v>45930</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58277-2023</t>
        </is>
      </c>
      <c r="B884" s="1" t="n">
        <v>45245</v>
      </c>
      <c r="C884" s="1" t="n">
        <v>45930</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9480-2025</t>
        </is>
      </c>
      <c r="B885" s="1" t="n">
        <v>45715</v>
      </c>
      <c r="C885" s="1" t="n">
        <v>45930</v>
      </c>
      <c r="D885" t="inlineStr">
        <is>
          <t>STOCKHOLMS LÄN</t>
        </is>
      </c>
      <c r="E885" t="inlineStr">
        <is>
          <t>NORRTÄLJE</t>
        </is>
      </c>
      <c r="F885" t="inlineStr">
        <is>
          <t>Övriga Aktiebolag</t>
        </is>
      </c>
      <c r="G885" t="n">
        <v>3.9</v>
      </c>
      <c r="H885" t="n">
        <v>0</v>
      </c>
      <c r="I885" t="n">
        <v>0</v>
      </c>
      <c r="J885" t="n">
        <v>0</v>
      </c>
      <c r="K885" t="n">
        <v>0</v>
      </c>
      <c r="L885" t="n">
        <v>0</v>
      </c>
      <c r="M885" t="n">
        <v>0</v>
      </c>
      <c r="N885" t="n">
        <v>0</v>
      </c>
      <c r="O885" t="n">
        <v>0</v>
      </c>
      <c r="P885" t="n">
        <v>0</v>
      </c>
      <c r="Q885" t="n">
        <v>0</v>
      </c>
      <c r="R885" s="2" t="inlineStr"/>
    </row>
    <row r="886" ht="15" customHeight="1">
      <c r="A886" t="inlineStr">
        <is>
          <t>A 49898-2020</t>
        </is>
      </c>
      <c r="B886" s="1" t="n">
        <v>44108</v>
      </c>
      <c r="C886" s="1" t="n">
        <v>45930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27677-2025</t>
        </is>
      </c>
      <c r="B887" s="1" t="n">
        <v>45813.63650462963</v>
      </c>
      <c r="C887" s="1" t="n">
        <v>45930</v>
      </c>
      <c r="D887" t="inlineStr">
        <is>
          <t>STOCKHOLMS LÄN</t>
        </is>
      </c>
      <c r="E887" t="inlineStr">
        <is>
          <t>NORRTÄLJE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4322-2023</t>
        </is>
      </c>
      <c r="B888" s="1" t="n">
        <v>44953.69298611111</v>
      </c>
      <c r="C888" s="1" t="n">
        <v>45930</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27697-2025</t>
        </is>
      </c>
      <c r="B889" s="1" t="n">
        <v>45813.66961805556</v>
      </c>
      <c r="C889" s="1" t="n">
        <v>45930</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27700-2025</t>
        </is>
      </c>
      <c r="B890" s="1" t="n">
        <v>45813.6799537037</v>
      </c>
      <c r="C890" s="1" t="n">
        <v>45930</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27554-2025</t>
        </is>
      </c>
      <c r="B891" s="1" t="n">
        <v>45813.4709375</v>
      </c>
      <c r="C891" s="1" t="n">
        <v>45930</v>
      </c>
      <c r="D891" t="inlineStr">
        <is>
          <t>STOCKHOLMS LÄN</t>
        </is>
      </c>
      <c r="E891" t="inlineStr">
        <is>
          <t>NORRTÄLJE</t>
        </is>
      </c>
      <c r="F891" t="inlineStr">
        <is>
          <t>Övriga Aktiebolag</t>
        </is>
      </c>
      <c r="G891" t="n">
        <v>2.5</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45930</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38889-2024</t>
        </is>
      </c>
      <c r="B893" s="1" t="n">
        <v>45547</v>
      </c>
      <c r="C893" s="1" t="n">
        <v>45930</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57216-2020</t>
        </is>
      </c>
      <c r="B894" s="1" t="n">
        <v>44139.54078703704</v>
      </c>
      <c r="C894" s="1" t="n">
        <v>45930</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11901-2024</t>
        </is>
      </c>
      <c r="B895" s="1" t="n">
        <v>45376.55638888889</v>
      </c>
      <c r="C895" s="1" t="n">
        <v>45930</v>
      </c>
      <c r="D895" t="inlineStr">
        <is>
          <t>STOCKHOLMS LÄN</t>
        </is>
      </c>
      <c r="E895" t="inlineStr">
        <is>
          <t>NORRTÄLJE</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27802-2025</t>
        </is>
      </c>
      <c r="B896" s="1" t="n">
        <v>45817.2565625</v>
      </c>
      <c r="C896" s="1" t="n">
        <v>45930</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27806-2025</t>
        </is>
      </c>
      <c r="B897" s="1" t="n">
        <v>45817.30329861111</v>
      </c>
      <c r="C897" s="1" t="n">
        <v>45930</v>
      </c>
      <c r="D897" t="inlineStr">
        <is>
          <t>STOCKHOLMS LÄN</t>
        </is>
      </c>
      <c r="E897" t="inlineStr">
        <is>
          <t>NORRTÄLJE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27808-2025</t>
        </is>
      </c>
      <c r="B898" s="1" t="n">
        <v>45817.31085648148</v>
      </c>
      <c r="C898" s="1" t="n">
        <v>45930</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27810-2025</t>
        </is>
      </c>
      <c r="B899" s="1" t="n">
        <v>45817.31708333334</v>
      </c>
      <c r="C899" s="1" t="n">
        <v>45930</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27811-2025</t>
        </is>
      </c>
      <c r="B900" s="1" t="n">
        <v>45817.31986111111</v>
      </c>
      <c r="C900" s="1" t="n">
        <v>45930</v>
      </c>
      <c r="D900" t="inlineStr">
        <is>
          <t>STOCKHOLMS LÄN</t>
        </is>
      </c>
      <c r="E900" t="inlineStr">
        <is>
          <t>NORRTÄLJE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27818-2025</t>
        </is>
      </c>
      <c r="B901" s="1" t="n">
        <v>45817.33503472222</v>
      </c>
      <c r="C901" s="1" t="n">
        <v>45930</v>
      </c>
      <c r="D901" t="inlineStr">
        <is>
          <t>STOCKHOLMS LÄN</t>
        </is>
      </c>
      <c r="E901" t="inlineStr">
        <is>
          <t>NORRTÄLJE</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3299-2022</t>
        </is>
      </c>
      <c r="B902" s="1" t="n">
        <v>44584.91001157407</v>
      </c>
      <c r="C902" s="1" t="n">
        <v>45930</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42075-2023</t>
        </is>
      </c>
      <c r="B903" s="1" t="n">
        <v>45177</v>
      </c>
      <c r="C903" s="1" t="n">
        <v>45930</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45930</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15528-2025</t>
        </is>
      </c>
      <c r="B905" s="1" t="n">
        <v>45747.63471064815</v>
      </c>
      <c r="C905" s="1" t="n">
        <v>45930</v>
      </c>
      <c r="D905" t="inlineStr">
        <is>
          <t>STOCKHOLMS LÄN</t>
        </is>
      </c>
      <c r="E905" t="inlineStr">
        <is>
          <t>NORRTÄLJE</t>
        </is>
      </c>
      <c r="G905" t="n">
        <v>10</v>
      </c>
      <c r="H905" t="n">
        <v>0</v>
      </c>
      <c r="I905" t="n">
        <v>0</v>
      </c>
      <c r="J905" t="n">
        <v>0</v>
      </c>
      <c r="K905" t="n">
        <v>0</v>
      </c>
      <c r="L905" t="n">
        <v>0</v>
      </c>
      <c r="M905" t="n">
        <v>0</v>
      </c>
      <c r="N905" t="n">
        <v>0</v>
      </c>
      <c r="O905" t="n">
        <v>0</v>
      </c>
      <c r="P905" t="n">
        <v>0</v>
      </c>
      <c r="Q905" t="n">
        <v>0</v>
      </c>
      <c r="R905" s="2" t="inlineStr"/>
    </row>
    <row r="906" ht="15" customHeight="1">
      <c r="A906" t="inlineStr">
        <is>
          <t>A 27803-2025</t>
        </is>
      </c>
      <c r="B906" s="1" t="n">
        <v>45817.291875</v>
      </c>
      <c r="C906" s="1" t="n">
        <v>45930</v>
      </c>
      <c r="D906" t="inlineStr">
        <is>
          <t>STOCKHOLMS LÄN</t>
        </is>
      </c>
      <c r="E906" t="inlineStr">
        <is>
          <t>NORRTÄLJE</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27813-2025</t>
        </is>
      </c>
      <c r="B907" s="1" t="n">
        <v>45817.32538194444</v>
      </c>
      <c r="C907" s="1" t="n">
        <v>45930</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27801-2025</t>
        </is>
      </c>
      <c r="B908" s="1" t="n">
        <v>45817.25471064815</v>
      </c>
      <c r="C908" s="1" t="n">
        <v>45930</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27821-2025</t>
        </is>
      </c>
      <c r="B909" s="1" t="n">
        <v>45817.34083333334</v>
      </c>
      <c r="C909" s="1" t="n">
        <v>45930</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44075-2023</t>
        </is>
      </c>
      <c r="B910" s="1" t="n">
        <v>45188.41637731482</v>
      </c>
      <c r="C910" s="1" t="n">
        <v>45930</v>
      </c>
      <c r="D910" t="inlineStr">
        <is>
          <t>STOCKHOLMS LÄN</t>
        </is>
      </c>
      <c r="E910" t="inlineStr">
        <is>
          <t>NORRTÄLJE</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50154-2024</t>
        </is>
      </c>
      <c r="B911" s="1" t="n">
        <v>45600.4558912037</v>
      </c>
      <c r="C911" s="1" t="n">
        <v>45930</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29250-2025</t>
        </is>
      </c>
      <c r="B912" s="1" t="n">
        <v>45824.37275462963</v>
      </c>
      <c r="C912" s="1" t="n">
        <v>45930</v>
      </c>
      <c r="D912" t="inlineStr">
        <is>
          <t>STOCKHOLMS LÄN</t>
        </is>
      </c>
      <c r="E912" t="inlineStr">
        <is>
          <t>NORRTÄLJE</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37273-2024</t>
        </is>
      </c>
      <c r="B913" s="1" t="n">
        <v>45540</v>
      </c>
      <c r="C913" s="1" t="n">
        <v>45930</v>
      </c>
      <c r="D913" t="inlineStr">
        <is>
          <t>STOCKHOLMS LÄN</t>
        </is>
      </c>
      <c r="E913" t="inlineStr">
        <is>
          <t>NORRTÄLJE</t>
        </is>
      </c>
      <c r="F913" t="inlineStr">
        <is>
          <t>Sveaskog</t>
        </is>
      </c>
      <c r="G913" t="n">
        <v>12.5</v>
      </c>
      <c r="H913" t="n">
        <v>0</v>
      </c>
      <c r="I913" t="n">
        <v>0</v>
      </c>
      <c r="J913" t="n">
        <v>0</v>
      </c>
      <c r="K913" t="n">
        <v>0</v>
      </c>
      <c r="L913" t="n">
        <v>0</v>
      </c>
      <c r="M913" t="n">
        <v>0</v>
      </c>
      <c r="N913" t="n">
        <v>0</v>
      </c>
      <c r="O913" t="n">
        <v>0</v>
      </c>
      <c r="P913" t="n">
        <v>0</v>
      </c>
      <c r="Q913" t="n">
        <v>0</v>
      </c>
      <c r="R913" s="2" t="inlineStr"/>
    </row>
    <row r="914" ht="15" customHeight="1">
      <c r="A914" t="inlineStr">
        <is>
          <t>A 34773-2022</t>
        </is>
      </c>
      <c r="B914" s="1" t="n">
        <v>44795</v>
      </c>
      <c r="C914" s="1" t="n">
        <v>45930</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23263-2023</t>
        </is>
      </c>
      <c r="B915" s="1" t="n">
        <v>45075</v>
      </c>
      <c r="C915" s="1" t="n">
        <v>45930</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23264-2023</t>
        </is>
      </c>
      <c r="B916" s="1" t="n">
        <v>45075</v>
      </c>
      <c r="C916" s="1" t="n">
        <v>45930</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23267-2023</t>
        </is>
      </c>
      <c r="B917" s="1" t="n">
        <v>45075.90934027778</v>
      </c>
      <c r="C917" s="1" t="n">
        <v>45930</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25654-2023</t>
        </is>
      </c>
      <c r="B918" s="1" t="n">
        <v>45089</v>
      </c>
      <c r="C918" s="1" t="n">
        <v>45930</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47758-2023</t>
        </is>
      </c>
      <c r="B919" s="1" t="n">
        <v>45203.83891203703</v>
      </c>
      <c r="C919" s="1" t="n">
        <v>45930</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48151-2024</t>
        </is>
      </c>
      <c r="B920" s="1" t="n">
        <v>45589.68289351852</v>
      </c>
      <c r="C920" s="1" t="n">
        <v>45930</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30668-2025</t>
        </is>
      </c>
      <c r="B921" s="1" t="n">
        <v>45831.51659722222</v>
      </c>
      <c r="C921" s="1" t="n">
        <v>45930</v>
      </c>
      <c r="D921" t="inlineStr">
        <is>
          <t>STOCKHOLMS LÄN</t>
        </is>
      </c>
      <c r="E921" t="inlineStr">
        <is>
          <t>NORRTÄLJE</t>
        </is>
      </c>
      <c r="G921" t="n">
        <v>4.9</v>
      </c>
      <c r="H921" t="n">
        <v>0</v>
      </c>
      <c r="I921" t="n">
        <v>0</v>
      </c>
      <c r="J921" t="n">
        <v>0</v>
      </c>
      <c r="K921" t="n">
        <v>0</v>
      </c>
      <c r="L921" t="n">
        <v>0</v>
      </c>
      <c r="M921" t="n">
        <v>0</v>
      </c>
      <c r="N921" t="n">
        <v>0</v>
      </c>
      <c r="O921" t="n">
        <v>0</v>
      </c>
      <c r="P921" t="n">
        <v>0</v>
      </c>
      <c r="Q921" t="n">
        <v>0</v>
      </c>
      <c r="R921" s="2" t="inlineStr"/>
    </row>
    <row r="922" ht="15" customHeight="1">
      <c r="A922" t="inlineStr">
        <is>
          <t>A 5831-2022</t>
        </is>
      </c>
      <c r="B922" s="1" t="n">
        <v>44596</v>
      </c>
      <c r="C922" s="1" t="n">
        <v>45930</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58853-2024</t>
        </is>
      </c>
      <c r="B923" s="1" t="n">
        <v>45636.38974537037</v>
      </c>
      <c r="C923" s="1" t="n">
        <v>45930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30639-2025</t>
        </is>
      </c>
      <c r="B924" s="1" t="n">
        <v>45831.4844212963</v>
      </c>
      <c r="C924" s="1" t="n">
        <v>45930</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31170-2025</t>
        </is>
      </c>
      <c r="B925" s="1" t="n">
        <v>45832.66385416667</v>
      </c>
      <c r="C925" s="1" t="n">
        <v>45930</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30699-2025</t>
        </is>
      </c>
      <c r="B926" s="1" t="n">
        <v>45831.54618055555</v>
      </c>
      <c r="C926" s="1" t="n">
        <v>45930</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59712-2024</t>
        </is>
      </c>
      <c r="B927" s="1" t="n">
        <v>45639.45166666667</v>
      </c>
      <c r="C927" s="1" t="n">
        <v>45930</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59721-2024</t>
        </is>
      </c>
      <c r="B928" s="1" t="n">
        <v>45639.47385416667</v>
      </c>
      <c r="C928" s="1" t="n">
        <v>45930</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31874-2025</t>
        </is>
      </c>
      <c r="B929" s="1" t="n">
        <v>45834</v>
      </c>
      <c r="C929" s="1" t="n">
        <v>45930</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31868-2025</t>
        </is>
      </c>
      <c r="B930" s="1" t="n">
        <v>45834.6447337963</v>
      </c>
      <c r="C930" s="1" t="n">
        <v>45930</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60884-2024</t>
        </is>
      </c>
      <c r="B931" s="1" t="n">
        <v>45644.90815972222</v>
      </c>
      <c r="C931" s="1" t="n">
        <v>45930</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6413-2025</t>
        </is>
      </c>
      <c r="B932" s="1" t="n">
        <v>45699.46283564815</v>
      </c>
      <c r="C932" s="1" t="n">
        <v>45930</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23150-2024</t>
        </is>
      </c>
      <c r="B933" s="1" t="n">
        <v>45450.64643518518</v>
      </c>
      <c r="C933" s="1" t="n">
        <v>45930</v>
      </c>
      <c r="D933" t="inlineStr">
        <is>
          <t>STOCKHOLMS LÄN</t>
        </is>
      </c>
      <c r="E933" t="inlineStr">
        <is>
          <t>NORRTÄLJE</t>
        </is>
      </c>
      <c r="F933" t="inlineStr">
        <is>
          <t>Kommuner</t>
        </is>
      </c>
      <c r="G933" t="n">
        <v>2.7</v>
      </c>
      <c r="H933" t="n">
        <v>0</v>
      </c>
      <c r="I933" t="n">
        <v>0</v>
      </c>
      <c r="J933" t="n">
        <v>0</v>
      </c>
      <c r="K933" t="n">
        <v>0</v>
      </c>
      <c r="L933" t="n">
        <v>0</v>
      </c>
      <c r="M933" t="n">
        <v>0</v>
      </c>
      <c r="N933" t="n">
        <v>0</v>
      </c>
      <c r="O933" t="n">
        <v>0</v>
      </c>
      <c r="P933" t="n">
        <v>0</v>
      </c>
      <c r="Q933" t="n">
        <v>0</v>
      </c>
      <c r="R933" s="2" t="inlineStr"/>
    </row>
    <row r="934" ht="15" customHeight="1">
      <c r="A934" t="inlineStr">
        <is>
          <t>A 59878-2024</t>
        </is>
      </c>
      <c r="B934" s="1" t="n">
        <v>45640.60240740741</v>
      </c>
      <c r="C934" s="1" t="n">
        <v>45930</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50182-2024</t>
        </is>
      </c>
      <c r="B935" s="1" t="n">
        <v>45600.47275462963</v>
      </c>
      <c r="C935" s="1" t="n">
        <v>45930</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2549-2022</t>
        </is>
      </c>
      <c r="B936" s="1" t="n">
        <v>44580</v>
      </c>
      <c r="C936" s="1" t="n">
        <v>45930</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31880-2025</t>
        </is>
      </c>
      <c r="B937" s="1" t="n">
        <v>45834.65538194445</v>
      </c>
      <c r="C937" s="1" t="n">
        <v>45930</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31140-2023</t>
        </is>
      </c>
      <c r="B938" s="1" t="n">
        <v>45113</v>
      </c>
      <c r="C938" s="1" t="n">
        <v>45930</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31149-2023</t>
        </is>
      </c>
      <c r="B939" s="1" t="n">
        <v>45113</v>
      </c>
      <c r="C939" s="1" t="n">
        <v>45930</v>
      </c>
      <c r="D939" t="inlineStr">
        <is>
          <t>STOCKHOLMS LÄN</t>
        </is>
      </c>
      <c r="E939" t="inlineStr">
        <is>
          <t>NORRTÄLJE</t>
        </is>
      </c>
      <c r="G939" t="n">
        <v>7.1</v>
      </c>
      <c r="H939" t="n">
        <v>0</v>
      </c>
      <c r="I939" t="n">
        <v>0</v>
      </c>
      <c r="J939" t="n">
        <v>0</v>
      </c>
      <c r="K939" t="n">
        <v>0</v>
      </c>
      <c r="L939" t="n">
        <v>0</v>
      </c>
      <c r="M939" t="n">
        <v>0</v>
      </c>
      <c r="N939" t="n">
        <v>0</v>
      </c>
      <c r="O939" t="n">
        <v>0</v>
      </c>
      <c r="P939" t="n">
        <v>0</v>
      </c>
      <c r="Q939" t="n">
        <v>0</v>
      </c>
      <c r="R939" s="2" t="inlineStr"/>
    </row>
    <row r="940" ht="15" customHeight="1">
      <c r="A940" t="inlineStr">
        <is>
          <t>A 16835-2022</t>
        </is>
      </c>
      <c r="B940" s="1" t="n">
        <v>44673</v>
      </c>
      <c r="C940" s="1" t="n">
        <v>45930</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32283-2025</t>
        </is>
      </c>
      <c r="B941" s="1" t="n">
        <v>45835.68076388889</v>
      </c>
      <c r="C941" s="1" t="n">
        <v>45930</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32122-2025</t>
        </is>
      </c>
      <c r="B942" s="1" t="n">
        <v>45835.4928125</v>
      </c>
      <c r="C942" s="1" t="n">
        <v>45930</v>
      </c>
      <c r="D942" t="inlineStr">
        <is>
          <t>STOCKHOLMS LÄN</t>
        </is>
      </c>
      <c r="E942" t="inlineStr">
        <is>
          <t>NORRTÄLJE</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13701-2022</t>
        </is>
      </c>
      <c r="B943" s="1" t="n">
        <v>44648</v>
      </c>
      <c r="C943" s="1" t="n">
        <v>45930</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13089-2022</t>
        </is>
      </c>
      <c r="B944" s="1" t="n">
        <v>44643</v>
      </c>
      <c r="C944" s="1" t="n">
        <v>45930</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32094-2025</t>
        </is>
      </c>
      <c r="B945" s="1" t="n">
        <v>45835.46034722222</v>
      </c>
      <c r="C945" s="1" t="n">
        <v>45930</v>
      </c>
      <c r="D945" t="inlineStr">
        <is>
          <t>STOCKHOLMS LÄN</t>
        </is>
      </c>
      <c r="E945" t="inlineStr">
        <is>
          <t>NORRTÄLJE</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32016-2025</t>
        </is>
      </c>
      <c r="B946" s="1" t="n">
        <v>45835</v>
      </c>
      <c r="C946" s="1" t="n">
        <v>45930</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32396-2025</t>
        </is>
      </c>
      <c r="B947" s="1" t="n">
        <v>45837</v>
      </c>
      <c r="C947" s="1" t="n">
        <v>45930</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32397-2025</t>
        </is>
      </c>
      <c r="B948" s="1" t="n">
        <v>45837.94081018519</v>
      </c>
      <c r="C948" s="1" t="n">
        <v>45930</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32480-2025</t>
        </is>
      </c>
      <c r="B949" s="1" t="n">
        <v>45838.43261574074</v>
      </c>
      <c r="C949" s="1" t="n">
        <v>45930</v>
      </c>
      <c r="D949" t="inlineStr">
        <is>
          <t>STOCKHOLMS LÄN</t>
        </is>
      </c>
      <c r="E949" t="inlineStr">
        <is>
          <t>NORRTÄLJE</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32395-2025</t>
        </is>
      </c>
      <c r="B950" s="1" t="n">
        <v>45837.93730324074</v>
      </c>
      <c r="C950" s="1" t="n">
        <v>45930</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33211-2025</t>
        </is>
      </c>
      <c r="B951" s="1" t="n">
        <v>45840.62755787037</v>
      </c>
      <c r="C951" s="1" t="n">
        <v>45930</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32903-2025</t>
        </is>
      </c>
      <c r="B952" s="1" t="n">
        <v>45839.62398148148</v>
      </c>
      <c r="C952" s="1" t="n">
        <v>45930</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45930</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32872-2025</t>
        </is>
      </c>
      <c r="B954" s="1" t="n">
        <v>45839</v>
      </c>
      <c r="C954" s="1" t="n">
        <v>45930</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33702-2025</t>
        </is>
      </c>
      <c r="B955" s="1" t="n">
        <v>45841.74596064815</v>
      </c>
      <c r="C955" s="1" t="n">
        <v>45930</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33336-2025</t>
        </is>
      </c>
      <c r="B956" s="1" t="n">
        <v>45841.35611111111</v>
      </c>
      <c r="C956" s="1" t="n">
        <v>45930</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33552-2025</t>
        </is>
      </c>
      <c r="B957" s="1" t="n">
        <v>45841.5737962963</v>
      </c>
      <c r="C957" s="1" t="n">
        <v>45930</v>
      </c>
      <c r="D957" t="inlineStr">
        <is>
          <t>STOCKHOLMS LÄN</t>
        </is>
      </c>
      <c r="E957" t="inlineStr">
        <is>
          <t>NORRTÄLJE</t>
        </is>
      </c>
      <c r="G957" t="n">
        <v>8.9</v>
      </c>
      <c r="H957" t="n">
        <v>0</v>
      </c>
      <c r="I957" t="n">
        <v>0</v>
      </c>
      <c r="J957" t="n">
        <v>0</v>
      </c>
      <c r="K957" t="n">
        <v>0</v>
      </c>
      <c r="L957" t="n">
        <v>0</v>
      </c>
      <c r="M957" t="n">
        <v>0</v>
      </c>
      <c r="N957" t="n">
        <v>0</v>
      </c>
      <c r="O957" t="n">
        <v>0</v>
      </c>
      <c r="P957" t="n">
        <v>0</v>
      </c>
      <c r="Q957" t="n">
        <v>0</v>
      </c>
      <c r="R957" s="2" t="inlineStr"/>
    </row>
    <row r="958" ht="15" customHeight="1">
      <c r="A958" t="inlineStr">
        <is>
          <t>A 33824-2025</t>
        </is>
      </c>
      <c r="B958" s="1" t="n">
        <v>45842.46885416667</v>
      </c>
      <c r="C958" s="1" t="n">
        <v>45930</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45930</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39149-2025</t>
        </is>
      </c>
      <c r="B960" s="1" t="n">
        <v>45888.60714120371</v>
      </c>
      <c r="C960" s="1" t="n">
        <v>45930</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23998-2024</t>
        </is>
      </c>
      <c r="B961" s="1" t="n">
        <v>45456</v>
      </c>
      <c r="C961" s="1" t="n">
        <v>45930</v>
      </c>
      <c r="D961" t="inlineStr">
        <is>
          <t>STOCKHOLMS LÄN</t>
        </is>
      </c>
      <c r="E961" t="inlineStr">
        <is>
          <t>NORRTÄLJE</t>
        </is>
      </c>
      <c r="G961" t="n">
        <v>2.3</v>
      </c>
      <c r="H961" t="n">
        <v>0</v>
      </c>
      <c r="I961" t="n">
        <v>0</v>
      </c>
      <c r="J961" t="n">
        <v>0</v>
      </c>
      <c r="K961" t="n">
        <v>0</v>
      </c>
      <c r="L961" t="n">
        <v>0</v>
      </c>
      <c r="M961" t="n">
        <v>0</v>
      </c>
      <c r="N961" t="n">
        <v>0</v>
      </c>
      <c r="O961" t="n">
        <v>0</v>
      </c>
      <c r="P961" t="n">
        <v>0</v>
      </c>
      <c r="Q961" t="n">
        <v>0</v>
      </c>
      <c r="R961" s="2" t="inlineStr"/>
    </row>
    <row r="962" ht="15" customHeight="1">
      <c r="A962" t="inlineStr">
        <is>
          <t>A 54504-2024</t>
        </is>
      </c>
      <c r="B962" s="1" t="n">
        <v>45617.58453703704</v>
      </c>
      <c r="C962" s="1" t="n">
        <v>45930</v>
      </c>
      <c r="D962" t="inlineStr">
        <is>
          <t>STOCKHOLMS LÄN</t>
        </is>
      </c>
      <c r="E962" t="inlineStr">
        <is>
          <t>NORRTÄLJE</t>
        </is>
      </c>
      <c r="G962" t="n">
        <v>3.4</v>
      </c>
      <c r="H962" t="n">
        <v>0</v>
      </c>
      <c r="I962" t="n">
        <v>0</v>
      </c>
      <c r="J962" t="n">
        <v>0</v>
      </c>
      <c r="K962" t="n">
        <v>0</v>
      </c>
      <c r="L962" t="n">
        <v>0</v>
      </c>
      <c r="M962" t="n">
        <v>0</v>
      </c>
      <c r="N962" t="n">
        <v>0</v>
      </c>
      <c r="O962" t="n">
        <v>0</v>
      </c>
      <c r="P962" t="n">
        <v>0</v>
      </c>
      <c r="Q962" t="n">
        <v>0</v>
      </c>
      <c r="R962" s="2" t="inlineStr"/>
    </row>
    <row r="963" ht="15" customHeight="1">
      <c r="A963" t="inlineStr">
        <is>
          <t>A 46073-2024</t>
        </is>
      </c>
      <c r="B963" s="1" t="n">
        <v>45581</v>
      </c>
      <c r="C963" s="1" t="n">
        <v>45930</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32595-2023</t>
        </is>
      </c>
      <c r="B964" s="1" t="n">
        <v>45121</v>
      </c>
      <c r="C964" s="1" t="n">
        <v>45930</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11332-2025</t>
        </is>
      </c>
      <c r="B965" s="1" t="n">
        <v>45726.48152777777</v>
      </c>
      <c r="C965" s="1" t="n">
        <v>45930</v>
      </c>
      <c r="D965" t="inlineStr">
        <is>
          <t>STOCKHOLMS LÄN</t>
        </is>
      </c>
      <c r="E965" t="inlineStr">
        <is>
          <t>NORRTÄLJE</t>
        </is>
      </c>
      <c r="G965" t="n">
        <v>4.6</v>
      </c>
      <c r="H965" t="n">
        <v>0</v>
      </c>
      <c r="I965" t="n">
        <v>0</v>
      </c>
      <c r="J965" t="n">
        <v>0</v>
      </c>
      <c r="K965" t="n">
        <v>0</v>
      </c>
      <c r="L965" t="n">
        <v>0</v>
      </c>
      <c r="M965" t="n">
        <v>0</v>
      </c>
      <c r="N965" t="n">
        <v>0</v>
      </c>
      <c r="O965" t="n">
        <v>0</v>
      </c>
      <c r="P965" t="n">
        <v>0</v>
      </c>
      <c r="Q965" t="n">
        <v>0</v>
      </c>
      <c r="R965" s="2" t="inlineStr"/>
    </row>
    <row r="966" ht="15" customHeight="1">
      <c r="A966" t="inlineStr">
        <is>
          <t>A 36689-2023</t>
        </is>
      </c>
      <c r="B966" s="1" t="n">
        <v>45152</v>
      </c>
      <c r="C966" s="1" t="n">
        <v>45930</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34139-2025</t>
        </is>
      </c>
      <c r="B967" s="1" t="n">
        <v>45845</v>
      </c>
      <c r="C967" s="1" t="n">
        <v>45930</v>
      </c>
      <c r="D967" t="inlineStr">
        <is>
          <t>STOCKHOLMS LÄN</t>
        </is>
      </c>
      <c r="E967" t="inlineStr">
        <is>
          <t>NORRTÄLJE</t>
        </is>
      </c>
      <c r="G967" t="n">
        <v>5.5</v>
      </c>
      <c r="H967" t="n">
        <v>0</v>
      </c>
      <c r="I967" t="n">
        <v>0</v>
      </c>
      <c r="J967" t="n">
        <v>0</v>
      </c>
      <c r="K967" t="n">
        <v>0</v>
      </c>
      <c r="L967" t="n">
        <v>0</v>
      </c>
      <c r="M967" t="n">
        <v>0</v>
      </c>
      <c r="N967" t="n">
        <v>0</v>
      </c>
      <c r="O967" t="n">
        <v>0</v>
      </c>
      <c r="P967" t="n">
        <v>0</v>
      </c>
      <c r="Q967" t="n">
        <v>0</v>
      </c>
      <c r="R967" s="2" t="inlineStr"/>
    </row>
    <row r="968" ht="15" customHeight="1">
      <c r="A968" t="inlineStr">
        <is>
          <t>A 34006-2025</t>
        </is>
      </c>
      <c r="B968" s="1" t="n">
        <v>45844.62609953704</v>
      </c>
      <c r="C968" s="1" t="n">
        <v>45930</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13718-2022</t>
        </is>
      </c>
      <c r="B969" s="1" t="n">
        <v>44649</v>
      </c>
      <c r="C969" s="1" t="n">
        <v>45930</v>
      </c>
      <c r="D969" t="inlineStr">
        <is>
          <t>STOCKHOLMS LÄN</t>
        </is>
      </c>
      <c r="E969" t="inlineStr">
        <is>
          <t>NORRTÄLJE</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61363-2020</t>
        </is>
      </c>
      <c r="B970" s="1" t="n">
        <v>44155.69458333333</v>
      </c>
      <c r="C970" s="1" t="n">
        <v>45930</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34010-2025</t>
        </is>
      </c>
      <c r="B971" s="1" t="n">
        <v>45844.91234953704</v>
      </c>
      <c r="C971" s="1" t="n">
        <v>45930</v>
      </c>
      <c r="D971" t="inlineStr">
        <is>
          <t>STOCKHOLMS LÄN</t>
        </is>
      </c>
      <c r="E971" t="inlineStr">
        <is>
          <t>NORRTÄLJE</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39610-2025</t>
        </is>
      </c>
      <c r="B972" s="1" t="n">
        <v>45890.56001157407</v>
      </c>
      <c r="C972" s="1" t="n">
        <v>45930</v>
      </c>
      <c r="D972" t="inlineStr">
        <is>
          <t>STOCKHOLMS LÄN</t>
        </is>
      </c>
      <c r="E972" t="inlineStr">
        <is>
          <t>NORRTÄLJE</t>
        </is>
      </c>
      <c r="G972" t="n">
        <v>28.6</v>
      </c>
      <c r="H972" t="n">
        <v>0</v>
      </c>
      <c r="I972" t="n">
        <v>0</v>
      </c>
      <c r="J972" t="n">
        <v>0</v>
      </c>
      <c r="K972" t="n">
        <v>0</v>
      </c>
      <c r="L972" t="n">
        <v>0</v>
      </c>
      <c r="M972" t="n">
        <v>0</v>
      </c>
      <c r="N972" t="n">
        <v>0</v>
      </c>
      <c r="O972" t="n">
        <v>0</v>
      </c>
      <c r="P972" t="n">
        <v>0</v>
      </c>
      <c r="Q972" t="n">
        <v>0</v>
      </c>
      <c r="R972" s="2" t="inlineStr"/>
    </row>
    <row r="973" ht="15" customHeight="1">
      <c r="A973" t="inlineStr">
        <is>
          <t>A 54259-2023</t>
        </is>
      </c>
      <c r="B973" s="1" t="n">
        <v>45232</v>
      </c>
      <c r="C973" s="1" t="n">
        <v>45930</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13171-2025</t>
        </is>
      </c>
      <c r="B974" s="1" t="n">
        <v>45735.36594907408</v>
      </c>
      <c r="C974" s="1" t="n">
        <v>45930</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45930</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11900-2024</t>
        </is>
      </c>
      <c r="B976" s="1" t="n">
        <v>45376.55484953704</v>
      </c>
      <c r="C976" s="1" t="n">
        <v>45930</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43300-2023</t>
        </is>
      </c>
      <c r="B977" s="1" t="n">
        <v>45183</v>
      </c>
      <c r="C977" s="1" t="n">
        <v>45930</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13276-2022</t>
        </is>
      </c>
      <c r="B978" s="1" t="n">
        <v>44644</v>
      </c>
      <c r="C978" s="1" t="n">
        <v>45930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15733-2025</t>
        </is>
      </c>
      <c r="B979" s="1" t="n">
        <v>45748</v>
      </c>
      <c r="C979" s="1" t="n">
        <v>45930</v>
      </c>
      <c r="D979" t="inlineStr">
        <is>
          <t>STOCKHOLMS LÄN</t>
        </is>
      </c>
      <c r="E979" t="inlineStr">
        <is>
          <t>NORRTÄLJE</t>
        </is>
      </c>
      <c r="G979" t="n">
        <v>13.3</v>
      </c>
      <c r="H979" t="n">
        <v>0</v>
      </c>
      <c r="I979" t="n">
        <v>0</v>
      </c>
      <c r="J979" t="n">
        <v>0</v>
      </c>
      <c r="K979" t="n">
        <v>0</v>
      </c>
      <c r="L979" t="n">
        <v>0</v>
      </c>
      <c r="M979" t="n">
        <v>0</v>
      </c>
      <c r="N979" t="n">
        <v>0</v>
      </c>
      <c r="O979" t="n">
        <v>0</v>
      </c>
      <c r="P979" t="n">
        <v>0</v>
      </c>
      <c r="Q979" t="n">
        <v>0</v>
      </c>
      <c r="R979" s="2" t="inlineStr"/>
    </row>
    <row r="980" ht="15" customHeight="1">
      <c r="A980" t="inlineStr">
        <is>
          <t>A 11900-2022</t>
        </is>
      </c>
      <c r="B980" s="1" t="n">
        <v>44635</v>
      </c>
      <c r="C980" s="1" t="n">
        <v>45930</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39692-2025</t>
        </is>
      </c>
      <c r="B981" s="1" t="n">
        <v>45890.68083333333</v>
      </c>
      <c r="C981" s="1" t="n">
        <v>45930</v>
      </c>
      <c r="D981" t="inlineStr">
        <is>
          <t>STOCKHOLMS LÄN</t>
        </is>
      </c>
      <c r="E981" t="inlineStr">
        <is>
          <t>NORRTÄLJE</t>
        </is>
      </c>
      <c r="G981" t="n">
        <v>10.5</v>
      </c>
      <c r="H981" t="n">
        <v>0</v>
      </c>
      <c r="I981" t="n">
        <v>0</v>
      </c>
      <c r="J981" t="n">
        <v>0</v>
      </c>
      <c r="K981" t="n">
        <v>0</v>
      </c>
      <c r="L981" t="n">
        <v>0</v>
      </c>
      <c r="M981" t="n">
        <v>0</v>
      </c>
      <c r="N981" t="n">
        <v>0</v>
      </c>
      <c r="O981" t="n">
        <v>0</v>
      </c>
      <c r="P981" t="n">
        <v>0</v>
      </c>
      <c r="Q981" t="n">
        <v>0</v>
      </c>
      <c r="R981" s="2" t="inlineStr"/>
    </row>
    <row r="982" ht="15" customHeight="1">
      <c r="A982" t="inlineStr">
        <is>
          <t>A 14724-2022</t>
        </is>
      </c>
      <c r="B982" s="1" t="n">
        <v>44656</v>
      </c>
      <c r="C982" s="1" t="n">
        <v>45930</v>
      </c>
      <c r="D982" t="inlineStr">
        <is>
          <t>STOCKHOLMS LÄN</t>
        </is>
      </c>
      <c r="E982" t="inlineStr">
        <is>
          <t>NORRTÄLJE</t>
        </is>
      </c>
      <c r="F982" t="inlineStr">
        <is>
          <t>Sveaskog</t>
        </is>
      </c>
      <c r="G982" t="n">
        <v>9</v>
      </c>
      <c r="H982" t="n">
        <v>0</v>
      </c>
      <c r="I982" t="n">
        <v>0</v>
      </c>
      <c r="J982" t="n">
        <v>0</v>
      </c>
      <c r="K982" t="n">
        <v>0</v>
      </c>
      <c r="L982" t="n">
        <v>0</v>
      </c>
      <c r="M982" t="n">
        <v>0</v>
      </c>
      <c r="N982" t="n">
        <v>0</v>
      </c>
      <c r="O982" t="n">
        <v>0</v>
      </c>
      <c r="P982" t="n">
        <v>0</v>
      </c>
      <c r="Q982" t="n">
        <v>0</v>
      </c>
      <c r="R982" s="2" t="inlineStr"/>
    </row>
    <row r="983" ht="15" customHeight="1">
      <c r="A983" t="inlineStr">
        <is>
          <t>A 4580-2025</t>
        </is>
      </c>
      <c r="B983" s="1" t="n">
        <v>45687.5038425926</v>
      </c>
      <c r="C983" s="1" t="n">
        <v>45930</v>
      </c>
      <c r="D983" t="inlineStr">
        <is>
          <t>STOCKHOLMS LÄN</t>
        </is>
      </c>
      <c r="E983" t="inlineStr">
        <is>
          <t>NORRTÄLJE</t>
        </is>
      </c>
      <c r="F983" t="inlineStr">
        <is>
          <t>Holmen skog AB</t>
        </is>
      </c>
      <c r="G983" t="n">
        <v>4.8</v>
      </c>
      <c r="H983" t="n">
        <v>0</v>
      </c>
      <c r="I983" t="n">
        <v>0</v>
      </c>
      <c r="J983" t="n">
        <v>0</v>
      </c>
      <c r="K983" t="n">
        <v>0</v>
      </c>
      <c r="L983" t="n">
        <v>0</v>
      </c>
      <c r="M983" t="n">
        <v>0</v>
      </c>
      <c r="N983" t="n">
        <v>0</v>
      </c>
      <c r="O983" t="n">
        <v>0</v>
      </c>
      <c r="P983" t="n">
        <v>0</v>
      </c>
      <c r="Q983" t="n">
        <v>0</v>
      </c>
      <c r="R983" s="2" t="inlineStr"/>
    </row>
    <row r="984" ht="15" customHeight="1">
      <c r="A984" t="inlineStr">
        <is>
          <t>A 16202-2022</t>
        </is>
      </c>
      <c r="B984" s="1" t="n">
        <v>44670</v>
      </c>
      <c r="C984" s="1" t="n">
        <v>45930</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6003-2025</t>
        </is>
      </c>
      <c r="B985" s="1" t="n">
        <v>45695.57881944445</v>
      </c>
      <c r="C985" s="1" t="n">
        <v>45930</v>
      </c>
      <c r="D985" t="inlineStr">
        <is>
          <t>STOCKHOLMS LÄN</t>
        </is>
      </c>
      <c r="E985" t="inlineStr">
        <is>
          <t>NORRTÄLJE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52321-2024</t>
        </is>
      </c>
      <c r="B986" s="1" t="n">
        <v>45608</v>
      </c>
      <c r="C986" s="1" t="n">
        <v>45930</v>
      </c>
      <c r="D986" t="inlineStr">
        <is>
          <t>STOCKHOLMS LÄN</t>
        </is>
      </c>
      <c r="E986" t="inlineStr">
        <is>
          <t>NORRTÄLJE</t>
        </is>
      </c>
      <c r="G986" t="n">
        <v>18.1</v>
      </c>
      <c r="H986" t="n">
        <v>0</v>
      </c>
      <c r="I986" t="n">
        <v>0</v>
      </c>
      <c r="J986" t="n">
        <v>0</v>
      </c>
      <c r="K986" t="n">
        <v>0</v>
      </c>
      <c r="L986" t="n">
        <v>0</v>
      </c>
      <c r="M986" t="n">
        <v>0</v>
      </c>
      <c r="N986" t="n">
        <v>0</v>
      </c>
      <c r="O986" t="n">
        <v>0</v>
      </c>
      <c r="P986" t="n">
        <v>0</v>
      </c>
      <c r="Q986" t="n">
        <v>0</v>
      </c>
      <c r="R986" s="2" t="inlineStr"/>
    </row>
    <row r="987" ht="15" customHeight="1">
      <c r="A987" t="inlineStr">
        <is>
          <t>A 40097-2025</t>
        </is>
      </c>
      <c r="B987" s="1" t="n">
        <v>45894.48322916667</v>
      </c>
      <c r="C987" s="1" t="n">
        <v>45930</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54558-2024</t>
        </is>
      </c>
      <c r="B988" s="1" t="n">
        <v>45617.62358796296</v>
      </c>
      <c r="C988" s="1" t="n">
        <v>45930</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22157-2023</t>
        </is>
      </c>
      <c r="B989" s="1" t="n">
        <v>45069</v>
      </c>
      <c r="C989" s="1" t="n">
        <v>45930</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c r="U989">
        <f>HYPERLINK("https://klasma.github.io/Logging_0188/knärot/A 22157-2023 karta knärot.png", "A 22157-2023")</f>
        <v/>
      </c>
      <c r="V989">
        <f>HYPERLINK("https://klasma.github.io/Logging_0188/klagomål/A 22157-2023 FSC-klagomål.docx", "A 22157-2023")</f>
        <v/>
      </c>
      <c r="W989">
        <f>HYPERLINK("https://klasma.github.io/Logging_0188/klagomålsmail/A 22157-2023 FSC-klagomål mail.docx", "A 22157-2023")</f>
        <v/>
      </c>
      <c r="X989">
        <f>HYPERLINK("https://klasma.github.io/Logging_0188/tillsyn/A 22157-2023 tillsynsbegäran.docx", "A 22157-2023")</f>
        <v/>
      </c>
      <c r="Y989">
        <f>HYPERLINK("https://klasma.github.io/Logging_0188/tillsynsmail/A 22157-2023 tillsynsbegäran mail.docx", "A 22157-2023")</f>
        <v/>
      </c>
    </row>
    <row r="990" ht="15" customHeight="1">
      <c r="A990" t="inlineStr">
        <is>
          <t>A 40033-2025</t>
        </is>
      </c>
      <c r="B990" s="1" t="n">
        <v>45893</v>
      </c>
      <c r="C990" s="1" t="n">
        <v>45930</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40217-2025</t>
        </is>
      </c>
      <c r="B991" s="1" t="n">
        <v>45894.68864583333</v>
      </c>
      <c r="C991" s="1" t="n">
        <v>45930</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48633-2023</t>
        </is>
      </c>
      <c r="B992" s="1" t="n">
        <v>45208.58004629629</v>
      </c>
      <c r="C992" s="1" t="n">
        <v>45930</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40032-2025</t>
        </is>
      </c>
      <c r="B993" s="1" t="n">
        <v>45893</v>
      </c>
      <c r="C993" s="1" t="n">
        <v>45930</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19057-2024</t>
        </is>
      </c>
      <c r="B994" s="1" t="n">
        <v>45427.88731481481</v>
      </c>
      <c r="C994" s="1" t="n">
        <v>45930</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40172-2025</t>
        </is>
      </c>
      <c r="B995" s="1" t="n">
        <v>45894.6353125</v>
      </c>
      <c r="C995" s="1" t="n">
        <v>45930</v>
      </c>
      <c r="D995" t="inlineStr">
        <is>
          <t>STOCKHOLMS LÄN</t>
        </is>
      </c>
      <c r="E995" t="inlineStr">
        <is>
          <t>NORRTÄLJE</t>
        </is>
      </c>
      <c r="G995" t="n">
        <v>6</v>
      </c>
      <c r="H995" t="n">
        <v>0</v>
      </c>
      <c r="I995" t="n">
        <v>0</v>
      </c>
      <c r="J995" t="n">
        <v>0</v>
      </c>
      <c r="K995" t="n">
        <v>0</v>
      </c>
      <c r="L995" t="n">
        <v>0</v>
      </c>
      <c r="M995" t="n">
        <v>0</v>
      </c>
      <c r="N995" t="n">
        <v>0</v>
      </c>
      <c r="O995" t="n">
        <v>0</v>
      </c>
      <c r="P995" t="n">
        <v>0</v>
      </c>
      <c r="Q995" t="n">
        <v>0</v>
      </c>
      <c r="R995" s="2" t="inlineStr"/>
    </row>
    <row r="996" ht="15" customHeight="1">
      <c r="A996" t="inlineStr">
        <is>
          <t>A 47419-2023</t>
        </is>
      </c>
      <c r="B996" s="1" t="n">
        <v>45202.65660879629</v>
      </c>
      <c r="C996" s="1" t="n">
        <v>45930</v>
      </c>
      <c r="D996" t="inlineStr">
        <is>
          <t>STOCKHOLMS LÄN</t>
        </is>
      </c>
      <c r="E996" t="inlineStr">
        <is>
          <t>NORRTÄLJE</t>
        </is>
      </c>
      <c r="G996" t="n">
        <v>11.4</v>
      </c>
      <c r="H996" t="n">
        <v>0</v>
      </c>
      <c r="I996" t="n">
        <v>0</v>
      </c>
      <c r="J996" t="n">
        <v>0</v>
      </c>
      <c r="K996" t="n">
        <v>0</v>
      </c>
      <c r="L996" t="n">
        <v>0</v>
      </c>
      <c r="M996" t="n">
        <v>0</v>
      </c>
      <c r="N996" t="n">
        <v>0</v>
      </c>
      <c r="O996" t="n">
        <v>0</v>
      </c>
      <c r="P996" t="n">
        <v>0</v>
      </c>
      <c r="Q996" t="n">
        <v>0</v>
      </c>
      <c r="R996" s="2" t="inlineStr"/>
    </row>
    <row r="997" ht="15" customHeight="1">
      <c r="A997" t="inlineStr">
        <is>
          <t>A 652-2025</t>
        </is>
      </c>
      <c r="B997" s="1" t="n">
        <v>45664</v>
      </c>
      <c r="C997" s="1" t="n">
        <v>45930</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10653-2022</t>
        </is>
      </c>
      <c r="B998" s="1" t="n">
        <v>44624.59434027778</v>
      </c>
      <c r="C998" s="1" t="n">
        <v>45930</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35695-2023</t>
        </is>
      </c>
      <c r="B999" s="1" t="n">
        <v>45147.65407407407</v>
      </c>
      <c r="C999" s="1" t="n">
        <v>45930</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18665-2022</t>
        </is>
      </c>
      <c r="B1000" s="1" t="n">
        <v>44687</v>
      </c>
      <c r="C1000" s="1" t="n">
        <v>45930</v>
      </c>
      <c r="D1000" t="inlineStr">
        <is>
          <t>STOCKHOLMS LÄN</t>
        </is>
      </c>
      <c r="E1000" t="inlineStr">
        <is>
          <t>NORRTÄLJE</t>
        </is>
      </c>
      <c r="F1000" t="inlineStr">
        <is>
          <t>Kyrkan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17574-2025</t>
        </is>
      </c>
      <c r="B1001" s="1" t="n">
        <v>45757.65178240741</v>
      </c>
      <c r="C1001" s="1" t="n">
        <v>45930</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20370-2025</t>
        </is>
      </c>
      <c r="B1002" s="1" t="n">
        <v>45775.41451388889</v>
      </c>
      <c r="C1002" s="1" t="n">
        <v>45930</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19982-2022</t>
        </is>
      </c>
      <c r="B1003" s="1" t="n">
        <v>44697</v>
      </c>
      <c r="C1003" s="1" t="n">
        <v>45930</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35438-2023</t>
        </is>
      </c>
      <c r="B1004" s="1" t="n">
        <v>45146</v>
      </c>
      <c r="C1004" s="1" t="n">
        <v>45930</v>
      </c>
      <c r="D1004" t="inlineStr">
        <is>
          <t>STOCKHOLMS LÄN</t>
        </is>
      </c>
      <c r="E1004" t="inlineStr">
        <is>
          <t>NORRTÄLJE</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33878-2024</t>
        </is>
      </c>
      <c r="B1005" s="1" t="n">
        <v>45522.44414351852</v>
      </c>
      <c r="C1005" s="1" t="n">
        <v>45930</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4183-2025</t>
        </is>
      </c>
      <c r="B1006" s="1" t="n">
        <v>45685.44592592592</v>
      </c>
      <c r="C1006" s="1" t="n">
        <v>45930</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17556-2025</t>
        </is>
      </c>
      <c r="B1007" s="1" t="n">
        <v>45757.62482638889</v>
      </c>
      <c r="C1007" s="1" t="n">
        <v>45930</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41335-2023</t>
        </is>
      </c>
      <c r="B1008" s="1" t="n">
        <v>45174.68702546296</v>
      </c>
      <c r="C1008" s="1" t="n">
        <v>45930</v>
      </c>
      <c r="D1008" t="inlineStr">
        <is>
          <t>STOCKHOLMS LÄN</t>
        </is>
      </c>
      <c r="E1008" t="inlineStr">
        <is>
          <t>NORRTÄLJE</t>
        </is>
      </c>
      <c r="F1008" t="inlineStr">
        <is>
          <t>Holmen skog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4484-2025</t>
        </is>
      </c>
      <c r="B1009" s="1" t="n">
        <v>45686.65545138889</v>
      </c>
      <c r="C1009" s="1" t="n">
        <v>45930</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10511-2025</t>
        </is>
      </c>
      <c r="B1010" s="1" t="n">
        <v>45721.40780092592</v>
      </c>
      <c r="C1010" s="1" t="n">
        <v>45930</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8419-2025</t>
        </is>
      </c>
      <c r="B1011" s="1" t="n">
        <v>45709.40231481481</v>
      </c>
      <c r="C1011" s="1" t="n">
        <v>45930</v>
      </c>
      <c r="D1011" t="inlineStr">
        <is>
          <t>STOCKHOLMS LÄN</t>
        </is>
      </c>
      <c r="E1011" t="inlineStr">
        <is>
          <t>NORRTÄLJE</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21480-2022</t>
        </is>
      </c>
      <c r="B1012" s="1" t="n">
        <v>44704</v>
      </c>
      <c r="C1012" s="1" t="n">
        <v>45930</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1654-2025</t>
        </is>
      </c>
      <c r="B1013" s="1" t="n">
        <v>45670.65921296296</v>
      </c>
      <c r="C1013" s="1" t="n">
        <v>45930</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48686-2023</t>
        </is>
      </c>
      <c r="B1014" s="1" t="n">
        <v>45208</v>
      </c>
      <c r="C1014" s="1" t="n">
        <v>45930</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48691-2023</t>
        </is>
      </c>
      <c r="B1015" s="1" t="n">
        <v>45208</v>
      </c>
      <c r="C1015" s="1" t="n">
        <v>45930</v>
      </c>
      <c r="D1015" t="inlineStr">
        <is>
          <t>STOCKHOLMS LÄN</t>
        </is>
      </c>
      <c r="E1015" t="inlineStr">
        <is>
          <t>NORRTÄLJE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55243-2023</t>
        </is>
      </c>
      <c r="B1016" s="1" t="n">
        <v>45237</v>
      </c>
      <c r="C1016" s="1" t="n">
        <v>45930</v>
      </c>
      <c r="D1016" t="inlineStr">
        <is>
          <t>STOCKHOLMS LÄN</t>
        </is>
      </c>
      <c r="E1016" t="inlineStr">
        <is>
          <t>NORRTÄLJE</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35210-2023</t>
        </is>
      </c>
      <c r="B1017" s="1" t="n">
        <v>45145.63584490741</v>
      </c>
      <c r="C1017" s="1" t="n">
        <v>45930</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6678-2025</t>
        </is>
      </c>
      <c r="B1018" s="1" t="n">
        <v>45700</v>
      </c>
      <c r="C1018" s="1" t="n">
        <v>45930</v>
      </c>
      <c r="D1018" t="inlineStr">
        <is>
          <t>STOCKHOLMS LÄN</t>
        </is>
      </c>
      <c r="E1018" t="inlineStr">
        <is>
          <t>NORRTÄLJE</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17612-2022</t>
        </is>
      </c>
      <c r="B1019" s="1" t="n">
        <v>44680</v>
      </c>
      <c r="C1019" s="1" t="n">
        <v>45930</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58297-2023</t>
        </is>
      </c>
      <c r="B1020" s="1" t="n">
        <v>45245</v>
      </c>
      <c r="C1020" s="1" t="n">
        <v>45930</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21726-2022</t>
        </is>
      </c>
      <c r="B1021" s="1" t="n">
        <v>44708</v>
      </c>
      <c r="C1021" s="1" t="n">
        <v>45930</v>
      </c>
      <c r="D1021" t="inlineStr">
        <is>
          <t>STOCKHOLMS LÄN</t>
        </is>
      </c>
      <c r="E1021" t="inlineStr">
        <is>
          <t>NORRTÄLJE</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21739-2022</t>
        </is>
      </c>
      <c r="B1022" s="1" t="n">
        <v>44708.36708333333</v>
      </c>
      <c r="C1022" s="1" t="n">
        <v>45930</v>
      </c>
      <c r="D1022" t="inlineStr">
        <is>
          <t>STOCKHOLMS LÄN</t>
        </is>
      </c>
      <c r="E1022" t="inlineStr">
        <is>
          <t>NORRTÄLJE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28182-2022</t>
        </is>
      </c>
      <c r="B1023" s="1" t="n">
        <v>44746.58530092592</v>
      </c>
      <c r="C1023" s="1" t="n">
        <v>45930</v>
      </c>
      <c r="D1023" t="inlineStr">
        <is>
          <t>STOCKHOLMS LÄN</t>
        </is>
      </c>
      <c r="E1023" t="inlineStr">
        <is>
          <t>NORRTÄLJE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3283-2025</t>
        </is>
      </c>
      <c r="B1024" s="1" t="n">
        <v>45679</v>
      </c>
      <c r="C1024" s="1" t="n">
        <v>45930</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18092-2022</t>
        </is>
      </c>
      <c r="B1025" s="1" t="n">
        <v>44684</v>
      </c>
      <c r="C1025" s="1" t="n">
        <v>45930</v>
      </c>
      <c r="D1025" t="inlineStr">
        <is>
          <t>STOCKHOLMS LÄN</t>
        </is>
      </c>
      <c r="E1025" t="inlineStr">
        <is>
          <t>NORRTÄLJE</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33295-2023</t>
        </is>
      </c>
      <c r="B1026" s="1" t="n">
        <v>45127.69371527778</v>
      </c>
      <c r="C1026" s="1" t="n">
        <v>45930</v>
      </c>
      <c r="D1026" t="inlineStr">
        <is>
          <t>STOCKHOLMS LÄN</t>
        </is>
      </c>
      <c r="E1026" t="inlineStr">
        <is>
          <t>NORRTÄLJE</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58404-2023</t>
        </is>
      </c>
      <c r="B1027" s="1" t="n">
        <v>45245</v>
      </c>
      <c r="C1027" s="1" t="n">
        <v>45930</v>
      </c>
      <c r="D1027" t="inlineStr">
        <is>
          <t>STOCKHOLMS LÄN</t>
        </is>
      </c>
      <c r="E1027" t="inlineStr">
        <is>
          <t>NORRTÄLJE</t>
        </is>
      </c>
      <c r="G1027" t="n">
        <v>53.5</v>
      </c>
      <c r="H1027" t="n">
        <v>0</v>
      </c>
      <c r="I1027" t="n">
        <v>0</v>
      </c>
      <c r="J1027" t="n">
        <v>0</v>
      </c>
      <c r="K1027" t="n">
        <v>0</v>
      </c>
      <c r="L1027" t="n">
        <v>0</v>
      </c>
      <c r="M1027" t="n">
        <v>0</v>
      </c>
      <c r="N1027" t="n">
        <v>0</v>
      </c>
      <c r="O1027" t="n">
        <v>0</v>
      </c>
      <c r="P1027" t="n">
        <v>0</v>
      </c>
      <c r="Q1027" t="n">
        <v>0</v>
      </c>
      <c r="R1027" s="2" t="inlineStr"/>
    </row>
    <row r="1028" ht="15" customHeight="1">
      <c r="A1028" t="inlineStr">
        <is>
          <t>A 27885-2022</t>
        </is>
      </c>
      <c r="B1028" s="1" t="n">
        <v>44743.67418981482</v>
      </c>
      <c r="C1028" s="1" t="n">
        <v>45930</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25525-2022</t>
        </is>
      </c>
      <c r="B1029" s="1" t="n">
        <v>44732</v>
      </c>
      <c r="C1029" s="1" t="n">
        <v>45930</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48722-2023</t>
        </is>
      </c>
      <c r="B1030" s="1" t="n">
        <v>45208.70996527778</v>
      </c>
      <c r="C1030" s="1" t="n">
        <v>45930</v>
      </c>
      <c r="D1030" t="inlineStr">
        <is>
          <t>STOCKHOLMS LÄN</t>
        </is>
      </c>
      <c r="E1030" t="inlineStr">
        <is>
          <t>NORRTÄLJE</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67393-2020</t>
        </is>
      </c>
      <c r="B1031" s="1" t="n">
        <v>44181</v>
      </c>
      <c r="C1031" s="1" t="n">
        <v>45930</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23801-2022</t>
        </is>
      </c>
      <c r="B1032" s="1" t="n">
        <v>44722</v>
      </c>
      <c r="C1032" s="1" t="n">
        <v>45930</v>
      </c>
      <c r="D1032" t="inlineStr">
        <is>
          <t>STOCKHOLMS LÄN</t>
        </is>
      </c>
      <c r="E1032" t="inlineStr">
        <is>
          <t>NORRTÄLJE</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33353-2023</t>
        </is>
      </c>
      <c r="B1033" s="1" t="n">
        <v>45128</v>
      </c>
      <c r="C1033" s="1" t="n">
        <v>45930</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35708-2022</t>
        </is>
      </c>
      <c r="B1034" s="1" t="n">
        <v>44799.65013888889</v>
      </c>
      <c r="C1034" s="1" t="n">
        <v>45930</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3426-2025</t>
        </is>
      </c>
      <c r="B1035" s="1" t="n">
        <v>45680.42665509259</v>
      </c>
      <c r="C1035" s="1" t="n">
        <v>45930</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9-2024</t>
        </is>
      </c>
      <c r="B1036" s="1" t="n">
        <v>45293</v>
      </c>
      <c r="C1036" s="1" t="n">
        <v>45930</v>
      </c>
      <c r="D1036" t="inlineStr">
        <is>
          <t>STOCKHOLMS LÄN</t>
        </is>
      </c>
      <c r="E1036" t="inlineStr">
        <is>
          <t>NORRTÄLJE</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51312-2023</t>
        </is>
      </c>
      <c r="B1037" s="1" t="n">
        <v>45219.56697916667</v>
      </c>
      <c r="C1037" s="1" t="n">
        <v>45930</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11849-2025</t>
        </is>
      </c>
      <c r="B1038" s="1" t="n">
        <v>45728.38409722222</v>
      </c>
      <c r="C1038" s="1" t="n">
        <v>45930</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38610-2022</t>
        </is>
      </c>
      <c r="B1039" s="1" t="n">
        <v>44813.59915509259</v>
      </c>
      <c r="C1039" s="1" t="n">
        <v>45930</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22816-2021</t>
        </is>
      </c>
      <c r="B1040" s="1" t="n">
        <v>44325</v>
      </c>
      <c r="C1040" s="1" t="n">
        <v>45930</v>
      </c>
      <c r="D1040" t="inlineStr">
        <is>
          <t>STOCKHOLMS LÄN</t>
        </is>
      </c>
      <c r="E1040" t="inlineStr">
        <is>
          <t>NORRTÄLJE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59468-2023</t>
        </is>
      </c>
      <c r="B1041" s="1" t="n">
        <v>45254.41509259259</v>
      </c>
      <c r="C1041" s="1" t="n">
        <v>45930</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18846-2022</t>
        </is>
      </c>
      <c r="B1042" s="1" t="n">
        <v>44690</v>
      </c>
      <c r="C1042" s="1" t="n">
        <v>45930</v>
      </c>
      <c r="D1042" t="inlineStr">
        <is>
          <t>STOCKHOLMS LÄN</t>
        </is>
      </c>
      <c r="E1042" t="inlineStr">
        <is>
          <t>NORRTÄLJE</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12535-2025</t>
        </is>
      </c>
      <c r="B1043" s="1" t="n">
        <v>45730.69502314815</v>
      </c>
      <c r="C1043" s="1" t="n">
        <v>45930</v>
      </c>
      <c r="D1043" t="inlineStr">
        <is>
          <t>STOCKHOLMS LÄN</t>
        </is>
      </c>
      <c r="E1043" t="inlineStr">
        <is>
          <t>NORRTÄLJE</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574-2023</t>
        </is>
      </c>
      <c r="B1044" s="1" t="n">
        <v>44925</v>
      </c>
      <c r="C1044" s="1" t="n">
        <v>45930</v>
      </c>
      <c r="D1044" t="inlineStr">
        <is>
          <t>STOCKHOLMS LÄN</t>
        </is>
      </c>
      <c r="E1044" t="inlineStr">
        <is>
          <t>NORRTÄLJE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50738-2020</t>
        </is>
      </c>
      <c r="B1045" s="1" t="n">
        <v>44111.44373842593</v>
      </c>
      <c r="C1045" s="1" t="n">
        <v>45930</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37010-2022</t>
        </is>
      </c>
      <c r="B1046" s="1" t="n">
        <v>44806.41576388889</v>
      </c>
      <c r="C1046" s="1" t="n">
        <v>45930</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32705-2022</t>
        </is>
      </c>
      <c r="B1047" s="1" t="n">
        <v>44783</v>
      </c>
      <c r="C1047" s="1" t="n">
        <v>45930</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33149-2022</t>
        </is>
      </c>
      <c r="B1048" s="1" t="n">
        <v>44785</v>
      </c>
      <c r="C1048" s="1" t="n">
        <v>45930</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14559-2024</t>
        </is>
      </c>
      <c r="B1049" s="1" t="n">
        <v>45394.72869212963</v>
      </c>
      <c r="C1049" s="1" t="n">
        <v>45930</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11-2024</t>
        </is>
      </c>
      <c r="B1050" s="1" t="n">
        <v>45293</v>
      </c>
      <c r="C1050" s="1" t="n">
        <v>45930</v>
      </c>
      <c r="D1050" t="inlineStr">
        <is>
          <t>STOCKHOLMS LÄN</t>
        </is>
      </c>
      <c r="E1050" t="inlineStr">
        <is>
          <t>NORRTÄLJE</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15256-2023</t>
        </is>
      </c>
      <c r="B1051" s="1" t="n">
        <v>45019.3959837963</v>
      </c>
      <c r="C1051" s="1" t="n">
        <v>45930</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45930</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45930</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45930</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31057-2022</t>
        </is>
      </c>
      <c r="B1055" s="1" t="n">
        <v>44769</v>
      </c>
      <c r="C1055" s="1" t="n">
        <v>45930</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3143-2021</t>
        </is>
      </c>
      <c r="B1056" s="1" t="n">
        <v>44217.40149305556</v>
      </c>
      <c r="C1056" s="1" t="n">
        <v>45930</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25619-2022</t>
        </is>
      </c>
      <c r="B1057" s="1" t="n">
        <v>44732</v>
      </c>
      <c r="C1057" s="1" t="n">
        <v>45930</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c r="A1058" t="inlineStr">
        <is>
          <t>A 15422-2024</t>
        </is>
      </c>
      <c r="B1058" s="1" t="n">
        <v>45401.3653125</v>
      </c>
      <c r="C1058" s="1" t="n">
        <v>45930</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2025-09-30T12:19:09Z</dcterms:created>
  <dcterms:modified xmlns:dcterms="http://purl.org/dc/terms/" xmlns:xsi="http://www.w3.org/2001/XMLSchema-instance" xsi:type="dcterms:W3CDTF">2025-09-30T12:19:10Z</dcterms:modified>
</cp:coreProperties>
</file>