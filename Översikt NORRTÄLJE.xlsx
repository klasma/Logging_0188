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46104</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46104</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46104</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46104</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46104</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46104</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46104</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46104</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46104</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46104</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46104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46104</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46104</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46104</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46104</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46104</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46104</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46104</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46104</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46104</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46104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10430-2026</t>
        </is>
      </c>
      <c r="B36" s="1" t="n">
        <v>46077</v>
      </c>
      <c r="C36" s="1" t="n">
        <v>46104</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46104</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46104</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46104</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46104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46104</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46104</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46104</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46104</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46104</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46104</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46104</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47212-2025</t>
        </is>
      </c>
      <c r="B48" s="1" t="n">
        <v>45930</v>
      </c>
      <c r="C48" s="1" t="n">
        <v>46104</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46104</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25687-2025</t>
        </is>
      </c>
      <c r="B50" s="1" t="n">
        <v>45800</v>
      </c>
      <c r="C50" s="1" t="n">
        <v>46104</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34521-2025</t>
        </is>
      </c>
      <c r="B51" s="1" t="n">
        <v>45847.47052083333</v>
      </c>
      <c r="C51" s="1" t="n">
        <v>46104</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24052-2021</t>
        </is>
      </c>
      <c r="B52" s="1" t="n">
        <v>44336</v>
      </c>
      <c r="C52" s="1" t="n">
        <v>46104</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46104</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46104</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46104</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46104</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46104</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46104</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46104</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46104</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2851-2023</t>
        </is>
      </c>
      <c r="B61" s="1" t="n">
        <v>44945</v>
      </c>
      <c r="C61" s="1" t="n">
        <v>46104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25270-2025</t>
        </is>
      </c>
      <c r="B62" s="1" t="n">
        <v>45800</v>
      </c>
      <c r="C62" s="1" t="n">
        <v>46104</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52726-2025</t>
        </is>
      </c>
      <c r="B63" s="1" t="n">
        <v>45957.34722222222</v>
      </c>
      <c r="C63" s="1" t="n">
        <v>46104</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27870-2022</t>
        </is>
      </c>
      <c r="B64" s="1" t="n">
        <v>44743.64592592593</v>
      </c>
      <c r="C64" s="1" t="n">
        <v>46104</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29185-2025</t>
        </is>
      </c>
      <c r="B65" s="1" t="n">
        <v>45821</v>
      </c>
      <c r="C65" s="1" t="n">
        <v>46104</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50618-2022</t>
        </is>
      </c>
      <c r="B66" s="1" t="n">
        <v>44866</v>
      </c>
      <c r="C66" s="1" t="n">
        <v>46104</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34524-2025</t>
        </is>
      </c>
      <c r="B67" s="1" t="n">
        <v>45847.47685185185</v>
      </c>
      <c r="C67" s="1" t="n">
        <v>46104</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20185-2022</t>
        </is>
      </c>
      <c r="B68" s="1" t="n">
        <v>44698</v>
      </c>
      <c r="C68" s="1" t="n">
        <v>46104</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46104</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46104</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46104</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46104</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46104</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53608-2025</t>
        </is>
      </c>
      <c r="B74" s="1" t="n">
        <v>45960</v>
      </c>
      <c r="C74" s="1" t="n">
        <v>46104</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11031-2025</t>
        </is>
      </c>
      <c r="B75" s="1" t="n">
        <v>45723</v>
      </c>
      <c r="C75" s="1" t="n">
        <v>46104</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46104</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46104</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46104</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46104</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33548-2025</t>
        </is>
      </c>
      <c r="B80" s="1" t="n">
        <v>45841.5721875</v>
      </c>
      <c r="C80" s="1" t="n">
        <v>46104</v>
      </c>
      <c r="D80" t="inlineStr">
        <is>
          <t>STOCKHOLMS LÄN</t>
        </is>
      </c>
      <c r="E80" t="inlineStr">
        <is>
          <t>NORRTÄLJE</t>
        </is>
      </c>
      <c r="G80" t="n">
        <v>12.2</v>
      </c>
      <c r="H80" t="n">
        <v>1</v>
      </c>
      <c r="I80" t="n">
        <v>0</v>
      </c>
      <c r="J80" t="n">
        <v>1</v>
      </c>
      <c r="K80" t="n">
        <v>0</v>
      </c>
      <c r="L80" t="n">
        <v>0</v>
      </c>
      <c r="M80" t="n">
        <v>0</v>
      </c>
      <c r="N80" t="n">
        <v>0</v>
      </c>
      <c r="O80" t="n">
        <v>1</v>
      </c>
      <c r="P80" t="n">
        <v>0</v>
      </c>
      <c r="Q80" t="n">
        <v>2</v>
      </c>
      <c r="R80" s="2" t="inlineStr">
        <is>
          <t>Dofttaggsvamp
Sparvuggla</t>
        </is>
      </c>
      <c r="S80">
        <f>HYPERLINK("https://klasma.github.io/Logging_0188/artfynd/A 33548-2025 artfynd.xlsx", "A 33548-2025")</f>
        <v/>
      </c>
      <c r="T80">
        <f>HYPERLINK("https://klasma.github.io/Logging_0188/kartor/A 33548-2025 karta.png", "A 33548-2025")</f>
        <v/>
      </c>
      <c r="V80">
        <f>HYPERLINK("https://klasma.github.io/Logging_0188/klagomål/A 33548-2025 FSC-klagomål.docx", "A 33548-2025")</f>
        <v/>
      </c>
      <c r="W80">
        <f>HYPERLINK("https://klasma.github.io/Logging_0188/klagomålsmail/A 33548-2025 FSC-klagomål mail.docx", "A 33548-2025")</f>
        <v/>
      </c>
      <c r="X80">
        <f>HYPERLINK("https://klasma.github.io/Logging_0188/tillsyn/A 33548-2025 tillsynsbegäran.docx", "A 33548-2025")</f>
        <v/>
      </c>
      <c r="Y80">
        <f>HYPERLINK("https://klasma.github.io/Logging_0188/tillsynsmail/A 33548-2025 tillsynsbegäran mail.docx", "A 33548-2025")</f>
        <v/>
      </c>
      <c r="Z80">
        <f>HYPERLINK("https://klasma.github.io/Logging_0188/fåglar/A 33548-2025 prioriterade fågelarter.docx", "A 33548-2025")</f>
        <v/>
      </c>
    </row>
    <row r="81" ht="15" customHeight="1">
      <c r="A81" t="inlineStr">
        <is>
          <t>A 51220-2023</t>
        </is>
      </c>
      <c r="B81" s="1" t="n">
        <v>45219</v>
      </c>
      <c r="C81" s="1" t="n">
        <v>46104</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46104</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46104</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46104</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46104</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46104</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46104</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46104</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46104</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46104</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46104</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9955-2022</t>
        </is>
      </c>
      <c r="B92" s="1" t="n">
        <v>44620</v>
      </c>
      <c r="C92" s="1" t="n">
        <v>46104</v>
      </c>
      <c r="D92" t="inlineStr">
        <is>
          <t>STOCKHOLMS LÄN</t>
        </is>
      </c>
      <c r="E92" t="inlineStr">
        <is>
          <t>NORRTÄLJE</t>
        </is>
      </c>
      <c r="G92" t="n">
        <v>7.8</v>
      </c>
      <c r="H92" t="n">
        <v>1</v>
      </c>
      <c r="I92" t="n">
        <v>0</v>
      </c>
      <c r="J92" t="n">
        <v>0</v>
      </c>
      <c r="K92" t="n">
        <v>0</v>
      </c>
      <c r="L92" t="n">
        <v>0</v>
      </c>
      <c r="M92" t="n">
        <v>0</v>
      </c>
      <c r="N92" t="n">
        <v>0</v>
      </c>
      <c r="O92" t="n">
        <v>0</v>
      </c>
      <c r="P92" t="n">
        <v>0</v>
      </c>
      <c r="Q92" t="n">
        <v>1</v>
      </c>
      <c r="R92" s="2" t="inlineStr">
        <is>
          <t>Åkergroda</t>
        </is>
      </c>
      <c r="S92">
        <f>HYPERLINK("https://klasma.github.io/Logging_0188/artfynd/A 9955-2022 artfynd.xlsx", "A 9955-2022")</f>
        <v/>
      </c>
      <c r="T92">
        <f>HYPERLINK("https://klasma.github.io/Logging_0188/kartor/A 9955-2022 karta.png", "A 9955-2022")</f>
        <v/>
      </c>
      <c r="V92">
        <f>HYPERLINK("https://klasma.github.io/Logging_0188/klagomål/A 9955-2022 FSC-klagomål.docx", "A 9955-2022")</f>
        <v/>
      </c>
      <c r="W92">
        <f>HYPERLINK("https://klasma.github.io/Logging_0188/klagomålsmail/A 9955-2022 FSC-klagomål mail.docx", "A 9955-2022")</f>
        <v/>
      </c>
      <c r="X92">
        <f>HYPERLINK("https://klasma.github.io/Logging_0188/tillsyn/A 9955-2022 tillsynsbegäran.docx", "A 9955-2022")</f>
        <v/>
      </c>
      <c r="Y92">
        <f>HYPERLINK("https://klasma.github.io/Logging_0188/tillsynsmail/A 9955-2022 tillsynsbegäran mail.docx", "A 9955-2022")</f>
        <v/>
      </c>
    </row>
    <row r="93" ht="15" customHeight="1">
      <c r="A93" t="inlineStr">
        <is>
          <t>A 4595-2023</t>
        </is>
      </c>
      <c r="B93" s="1" t="n">
        <v>44956</v>
      </c>
      <c r="C93" s="1" t="n">
        <v>46104</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59682-2025</t>
        </is>
      </c>
      <c r="B94" s="1" t="n">
        <v>45992.47116898148</v>
      </c>
      <c r="C94" s="1" t="n">
        <v>46104</v>
      </c>
      <c r="D94" t="inlineStr">
        <is>
          <t>STOCKHOLMS LÄN</t>
        </is>
      </c>
      <c r="E94" t="inlineStr">
        <is>
          <t>NORRTÄLJE</t>
        </is>
      </c>
      <c r="G94" t="n">
        <v>1.6</v>
      </c>
      <c r="H94" t="n">
        <v>0</v>
      </c>
      <c r="I94" t="n">
        <v>1</v>
      </c>
      <c r="J94" t="n">
        <v>0</v>
      </c>
      <c r="K94" t="n">
        <v>0</v>
      </c>
      <c r="L94" t="n">
        <v>0</v>
      </c>
      <c r="M94" t="n">
        <v>0</v>
      </c>
      <c r="N94" t="n">
        <v>0</v>
      </c>
      <c r="O94" t="n">
        <v>0</v>
      </c>
      <c r="P94" t="n">
        <v>0</v>
      </c>
      <c r="Q94" t="n">
        <v>1</v>
      </c>
      <c r="R94" s="2" t="inlineStr">
        <is>
          <t>Grönpyrola</t>
        </is>
      </c>
      <c r="S94">
        <f>HYPERLINK("https://klasma.github.io/Logging_0188/artfynd/A 59682-2025 artfynd.xlsx", "A 59682-2025")</f>
        <v/>
      </c>
      <c r="T94">
        <f>HYPERLINK("https://klasma.github.io/Logging_0188/kartor/A 59682-2025 karta.png", "A 59682-2025")</f>
        <v/>
      </c>
      <c r="V94">
        <f>HYPERLINK("https://klasma.github.io/Logging_0188/klagomål/A 59682-2025 FSC-klagomål.docx", "A 59682-2025")</f>
        <v/>
      </c>
      <c r="W94">
        <f>HYPERLINK("https://klasma.github.io/Logging_0188/klagomålsmail/A 59682-2025 FSC-klagomål mail.docx", "A 59682-2025")</f>
        <v/>
      </c>
      <c r="X94">
        <f>HYPERLINK("https://klasma.github.io/Logging_0188/tillsyn/A 59682-2025 tillsynsbegäran.docx", "A 59682-2025")</f>
        <v/>
      </c>
      <c r="Y94">
        <f>HYPERLINK("https://klasma.github.io/Logging_0188/tillsynsmail/A 59682-2025 tillsynsbegäran mail.docx", "A 59682-2025")</f>
        <v/>
      </c>
    </row>
    <row r="95" ht="15" customHeight="1">
      <c r="A95" t="inlineStr">
        <is>
          <t>A 40861-2025</t>
        </is>
      </c>
      <c r="B95" s="1" t="n">
        <v>45897.56356481482</v>
      </c>
      <c r="C95" s="1" t="n">
        <v>46104</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13271-2025</t>
        </is>
      </c>
      <c r="B96" s="1" t="n">
        <v>45735.54510416667</v>
      </c>
      <c r="C96" s="1" t="n">
        <v>46104</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24535-2023</t>
        </is>
      </c>
      <c r="B97" s="1" t="n">
        <v>45082</v>
      </c>
      <c r="C97" s="1" t="n">
        <v>46104</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42313-2025</t>
        </is>
      </c>
      <c r="B98" s="1" t="n">
        <v>45904.6575</v>
      </c>
      <c r="C98" s="1" t="n">
        <v>46104</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4532-2025</t>
        </is>
      </c>
      <c r="B99" s="1" t="n">
        <v>45687.34177083334</v>
      </c>
      <c r="C99" s="1" t="n">
        <v>46104</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35691-2023</t>
        </is>
      </c>
      <c r="B100" s="1" t="n">
        <v>45147.65222222222</v>
      </c>
      <c r="C100" s="1" t="n">
        <v>46104</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46104</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62715-2025</t>
        </is>
      </c>
      <c r="B102" s="1" t="n">
        <v>46008.52034722222</v>
      </c>
      <c r="C102" s="1" t="n">
        <v>46104</v>
      </c>
      <c r="D102" t="inlineStr">
        <is>
          <t>STOCKHOLMS LÄN</t>
        </is>
      </c>
      <c r="E102" t="inlineStr">
        <is>
          <t>NORRTÄLJE</t>
        </is>
      </c>
      <c r="G102" t="n">
        <v>0.8</v>
      </c>
      <c r="H102" t="n">
        <v>0</v>
      </c>
      <c r="I102" t="n">
        <v>1</v>
      </c>
      <c r="J102" t="n">
        <v>0</v>
      </c>
      <c r="K102" t="n">
        <v>0</v>
      </c>
      <c r="L102" t="n">
        <v>0</v>
      </c>
      <c r="M102" t="n">
        <v>0</v>
      </c>
      <c r="N102" t="n">
        <v>0</v>
      </c>
      <c r="O102" t="n">
        <v>0</v>
      </c>
      <c r="P102" t="n">
        <v>0</v>
      </c>
      <c r="Q102" t="n">
        <v>1</v>
      </c>
      <c r="R102" s="2" t="inlineStr">
        <is>
          <t>Granbarkgnagare</t>
        </is>
      </c>
      <c r="S102">
        <f>HYPERLINK("https://klasma.github.io/Logging_0188/artfynd/A 62715-2025 artfynd.xlsx", "A 62715-2025")</f>
        <v/>
      </c>
      <c r="T102">
        <f>HYPERLINK("https://klasma.github.io/Logging_0188/kartor/A 62715-2025 karta.png", "A 62715-2025")</f>
        <v/>
      </c>
      <c r="V102">
        <f>HYPERLINK("https://klasma.github.io/Logging_0188/klagomål/A 62715-2025 FSC-klagomål.docx", "A 62715-2025")</f>
        <v/>
      </c>
      <c r="W102">
        <f>HYPERLINK("https://klasma.github.io/Logging_0188/klagomålsmail/A 62715-2025 FSC-klagomål mail.docx", "A 62715-2025")</f>
        <v/>
      </c>
      <c r="X102">
        <f>HYPERLINK("https://klasma.github.io/Logging_0188/tillsyn/A 62715-2025 tillsynsbegäran.docx", "A 62715-2025")</f>
        <v/>
      </c>
      <c r="Y102">
        <f>HYPERLINK("https://klasma.github.io/Logging_0188/tillsynsmail/A 62715-2025 tillsynsbegäran mail.docx", "A 62715-2025")</f>
        <v/>
      </c>
    </row>
    <row r="103" ht="15" customHeight="1">
      <c r="A103" t="inlineStr">
        <is>
          <t>A 23905-2025</t>
        </is>
      </c>
      <c r="B103" s="1" t="n">
        <v>45794.63298611111</v>
      </c>
      <c r="C103" s="1" t="n">
        <v>46104</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63292-2025</t>
        </is>
      </c>
      <c r="B104" s="1" t="n">
        <v>46010.59232638889</v>
      </c>
      <c r="C104" s="1" t="n">
        <v>46104</v>
      </c>
      <c r="D104" t="inlineStr">
        <is>
          <t>STOCKHOLMS LÄN</t>
        </is>
      </c>
      <c r="E104" t="inlineStr">
        <is>
          <t>NORRTÄLJE</t>
        </is>
      </c>
      <c r="G104" t="n">
        <v>11.1</v>
      </c>
      <c r="H104" t="n">
        <v>1</v>
      </c>
      <c r="I104" t="n">
        <v>1</v>
      </c>
      <c r="J104" t="n">
        <v>0</v>
      </c>
      <c r="K104" t="n">
        <v>0</v>
      </c>
      <c r="L104" t="n">
        <v>0</v>
      </c>
      <c r="M104" t="n">
        <v>0</v>
      </c>
      <c r="N104" t="n">
        <v>0</v>
      </c>
      <c r="O104" t="n">
        <v>0</v>
      </c>
      <c r="P104" t="n">
        <v>0</v>
      </c>
      <c r="Q104" t="n">
        <v>1</v>
      </c>
      <c r="R104" s="2" t="inlineStr">
        <is>
          <t>Nästrot</t>
        </is>
      </c>
      <c r="S104">
        <f>HYPERLINK("https://klasma.github.io/Logging_0188/artfynd/A 63292-2025 artfynd.xlsx", "A 63292-2025")</f>
        <v/>
      </c>
      <c r="T104">
        <f>HYPERLINK("https://klasma.github.io/Logging_0188/kartor/A 63292-2025 karta.png", "A 63292-2025")</f>
        <v/>
      </c>
      <c r="V104">
        <f>HYPERLINK("https://klasma.github.io/Logging_0188/klagomål/A 63292-2025 FSC-klagomål.docx", "A 63292-2025")</f>
        <v/>
      </c>
      <c r="W104">
        <f>HYPERLINK("https://klasma.github.io/Logging_0188/klagomålsmail/A 63292-2025 FSC-klagomål mail.docx", "A 63292-2025")</f>
        <v/>
      </c>
      <c r="X104">
        <f>HYPERLINK("https://klasma.github.io/Logging_0188/tillsyn/A 63292-2025 tillsynsbegäran.docx", "A 63292-2025")</f>
        <v/>
      </c>
      <c r="Y104">
        <f>HYPERLINK("https://klasma.github.io/Logging_0188/tillsynsmail/A 63292-2025 tillsynsbegäran mail.docx", "A 63292-2025")</f>
        <v/>
      </c>
    </row>
    <row r="105" ht="15" customHeight="1">
      <c r="A105" t="inlineStr">
        <is>
          <t>A 7734-2026</t>
        </is>
      </c>
      <c r="B105" s="1" t="n">
        <v>46062.52902777777</v>
      </c>
      <c r="C105" s="1" t="n">
        <v>46104</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50854-2022</t>
        </is>
      </c>
      <c r="B106" s="1" t="n">
        <v>44863</v>
      </c>
      <c r="C106" s="1" t="n">
        <v>46104</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364-2026</t>
        </is>
      </c>
      <c r="B107" s="1" t="n">
        <v>46027.67134259259</v>
      </c>
      <c r="C107" s="1" t="n">
        <v>46104</v>
      </c>
      <c r="D107" t="inlineStr">
        <is>
          <t>STOCKHOLMS LÄN</t>
        </is>
      </c>
      <c r="E107" t="inlineStr">
        <is>
          <t>NORRTÄLJE</t>
        </is>
      </c>
      <c r="F107" t="inlineStr">
        <is>
          <t>Holmen skog AB</t>
        </is>
      </c>
      <c r="G107" t="n">
        <v>4.3</v>
      </c>
      <c r="H107" t="n">
        <v>1</v>
      </c>
      <c r="I107" t="n">
        <v>0</v>
      </c>
      <c r="J107" t="n">
        <v>0</v>
      </c>
      <c r="K107" t="n">
        <v>0</v>
      </c>
      <c r="L107" t="n">
        <v>1</v>
      </c>
      <c r="M107" t="n">
        <v>0</v>
      </c>
      <c r="N107" t="n">
        <v>0</v>
      </c>
      <c r="O107" t="n">
        <v>1</v>
      </c>
      <c r="P107" t="n">
        <v>1</v>
      </c>
      <c r="Q107" t="n">
        <v>1</v>
      </c>
      <c r="R107" s="2" t="inlineStr">
        <is>
          <t>Asknätfjäril</t>
        </is>
      </c>
      <c r="S107">
        <f>HYPERLINK("https://klasma.github.io/Logging_0188/artfynd/A 364-2026 artfynd.xlsx", "A 364-2026")</f>
        <v/>
      </c>
      <c r="T107">
        <f>HYPERLINK("https://klasma.github.io/Logging_0188/kartor/A 364-2026 karta.png", "A 364-2026")</f>
        <v/>
      </c>
      <c r="V107">
        <f>HYPERLINK("https://klasma.github.io/Logging_0188/klagomål/A 364-2026 FSC-klagomål.docx", "A 364-2026")</f>
        <v/>
      </c>
      <c r="W107">
        <f>HYPERLINK("https://klasma.github.io/Logging_0188/klagomålsmail/A 364-2026 FSC-klagomål mail.docx", "A 364-2026")</f>
        <v/>
      </c>
      <c r="X107">
        <f>HYPERLINK("https://klasma.github.io/Logging_0188/tillsyn/A 364-2026 tillsynsbegäran.docx", "A 364-2026")</f>
        <v/>
      </c>
      <c r="Y107">
        <f>HYPERLINK("https://klasma.github.io/Logging_0188/tillsynsmail/A 364-2026 tillsynsbegäran mail.docx", "A 364-2026")</f>
        <v/>
      </c>
    </row>
    <row r="108" ht="15" customHeight="1">
      <c r="A108" t="inlineStr">
        <is>
          <t>A 39158-2025</t>
        </is>
      </c>
      <c r="B108" s="1" t="n">
        <v>45888</v>
      </c>
      <c r="C108" s="1" t="n">
        <v>46104</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25669-2025</t>
        </is>
      </c>
      <c r="B109" s="1" t="n">
        <v>45803.62766203703</v>
      </c>
      <c r="C109" s="1" t="n">
        <v>46104</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35764-2024</t>
        </is>
      </c>
      <c r="B110" s="1" t="n">
        <v>45532</v>
      </c>
      <c r="C110" s="1" t="n">
        <v>46104</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25725-2025</t>
        </is>
      </c>
      <c r="B111" s="1" t="n">
        <v>45800</v>
      </c>
      <c r="C111" s="1" t="n">
        <v>46104</v>
      </c>
      <c r="D111" t="inlineStr">
        <is>
          <t>STOCKHOLMS LÄN</t>
        </is>
      </c>
      <c r="E111" t="inlineStr">
        <is>
          <t>NORRTÄLJE</t>
        </is>
      </c>
      <c r="G111" t="n">
        <v>5.2</v>
      </c>
      <c r="H111" t="n">
        <v>0</v>
      </c>
      <c r="I111" t="n">
        <v>0</v>
      </c>
      <c r="J111" t="n">
        <v>1</v>
      </c>
      <c r="K111" t="n">
        <v>0</v>
      </c>
      <c r="L111" t="n">
        <v>0</v>
      </c>
      <c r="M111" t="n">
        <v>0</v>
      </c>
      <c r="N111" t="n">
        <v>0</v>
      </c>
      <c r="O111" t="n">
        <v>1</v>
      </c>
      <c r="P111" t="n">
        <v>0</v>
      </c>
      <c r="Q111" t="n">
        <v>1</v>
      </c>
      <c r="R111" s="2" t="inlineStr">
        <is>
          <t>Tallticka</t>
        </is>
      </c>
      <c r="S111">
        <f>HYPERLINK("https://klasma.github.io/Logging_0188/artfynd/A 25725-2025 artfynd.xlsx", "A 25725-2025")</f>
        <v/>
      </c>
      <c r="T111">
        <f>HYPERLINK("https://klasma.github.io/Logging_0188/kartor/A 25725-2025 karta.png", "A 25725-2025")</f>
        <v/>
      </c>
      <c r="V111">
        <f>HYPERLINK("https://klasma.github.io/Logging_0188/klagomål/A 25725-2025 FSC-klagomål.docx", "A 25725-2025")</f>
        <v/>
      </c>
      <c r="W111">
        <f>HYPERLINK("https://klasma.github.io/Logging_0188/klagomålsmail/A 25725-2025 FSC-klagomål mail.docx", "A 25725-2025")</f>
        <v/>
      </c>
      <c r="X111">
        <f>HYPERLINK("https://klasma.github.io/Logging_0188/tillsyn/A 25725-2025 tillsynsbegäran.docx", "A 25725-2025")</f>
        <v/>
      </c>
      <c r="Y111">
        <f>HYPERLINK("https://klasma.github.io/Logging_0188/tillsynsmail/A 25725-2025 tillsynsbegäran mail.docx", "A 25725-2025")</f>
        <v/>
      </c>
    </row>
    <row r="112" ht="15" customHeight="1">
      <c r="A112" t="inlineStr">
        <is>
          <t>A 25709-2025</t>
        </is>
      </c>
      <c r="B112" s="1" t="n">
        <v>45800</v>
      </c>
      <c r="C112" s="1" t="n">
        <v>46104</v>
      </c>
      <c r="D112" t="inlineStr">
        <is>
          <t>STOCKHOLMS LÄN</t>
        </is>
      </c>
      <c r="E112" t="inlineStr">
        <is>
          <t>NORRTÄLJE</t>
        </is>
      </c>
      <c r="G112" t="n">
        <v>4.6</v>
      </c>
      <c r="H112" t="n">
        <v>0</v>
      </c>
      <c r="I112" t="n">
        <v>0</v>
      </c>
      <c r="J112" t="n">
        <v>1</v>
      </c>
      <c r="K112" t="n">
        <v>0</v>
      </c>
      <c r="L112" t="n">
        <v>0</v>
      </c>
      <c r="M112" t="n">
        <v>0</v>
      </c>
      <c r="N112" t="n">
        <v>0</v>
      </c>
      <c r="O112" t="n">
        <v>1</v>
      </c>
      <c r="P112" t="n">
        <v>0</v>
      </c>
      <c r="Q112" t="n">
        <v>1</v>
      </c>
      <c r="R112" s="2" t="inlineStr">
        <is>
          <t>Ullticka</t>
        </is>
      </c>
      <c r="S112">
        <f>HYPERLINK("https://klasma.github.io/Logging_0188/artfynd/A 25709-2025 artfynd.xlsx", "A 25709-2025")</f>
        <v/>
      </c>
      <c r="T112">
        <f>HYPERLINK("https://klasma.github.io/Logging_0188/kartor/A 25709-2025 karta.png", "A 25709-2025")</f>
        <v/>
      </c>
      <c r="V112">
        <f>HYPERLINK("https://klasma.github.io/Logging_0188/klagomål/A 25709-2025 FSC-klagomål.docx", "A 25709-2025")</f>
        <v/>
      </c>
      <c r="W112">
        <f>HYPERLINK("https://klasma.github.io/Logging_0188/klagomålsmail/A 25709-2025 FSC-klagomål mail.docx", "A 25709-2025")</f>
        <v/>
      </c>
      <c r="X112">
        <f>HYPERLINK("https://klasma.github.io/Logging_0188/tillsyn/A 25709-2025 tillsynsbegäran.docx", "A 25709-2025")</f>
        <v/>
      </c>
      <c r="Y112">
        <f>HYPERLINK("https://klasma.github.io/Logging_0188/tillsynsmail/A 25709-2025 tillsynsbegäran mail.docx", "A 25709-2025")</f>
        <v/>
      </c>
    </row>
    <row r="113" ht="15" customHeight="1">
      <c r="A113" t="inlineStr">
        <is>
          <t>A 26120-2024</t>
        </is>
      </c>
      <c r="B113" s="1" t="n">
        <v>45468.45995370371</v>
      </c>
      <c r="C113" s="1" t="n">
        <v>46104</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46104</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46104</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52775-2025</t>
        </is>
      </c>
      <c r="B116" s="1" t="n">
        <v>45957.41608796296</v>
      </c>
      <c r="C116" s="1" t="n">
        <v>46104</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46104</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16870-2025</t>
        </is>
      </c>
      <c r="B118" s="1" t="n">
        <v>45754</v>
      </c>
      <c r="C118" s="1" t="n">
        <v>46104</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35649-2023</t>
        </is>
      </c>
      <c r="B119" s="1" t="n">
        <v>45146</v>
      </c>
      <c r="C119" s="1" t="n">
        <v>46104</v>
      </c>
      <c r="D119" t="inlineStr">
        <is>
          <t>STOCKHOLMS LÄN</t>
        </is>
      </c>
      <c r="E119" t="inlineStr">
        <is>
          <t>NORRTÄLJE</t>
        </is>
      </c>
      <c r="G119" t="n">
        <v>25.1</v>
      </c>
      <c r="H119" t="n">
        <v>0</v>
      </c>
      <c r="I119" t="n">
        <v>0</v>
      </c>
      <c r="J119" t="n">
        <v>1</v>
      </c>
      <c r="K119" t="n">
        <v>0</v>
      </c>
      <c r="L119" t="n">
        <v>0</v>
      </c>
      <c r="M119" t="n">
        <v>0</v>
      </c>
      <c r="N119" t="n">
        <v>0</v>
      </c>
      <c r="O119" t="n">
        <v>1</v>
      </c>
      <c r="P119" t="n">
        <v>0</v>
      </c>
      <c r="Q119" t="n">
        <v>1</v>
      </c>
      <c r="R119" s="2" t="inlineStr">
        <is>
          <t>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24330-2023</t>
        </is>
      </c>
      <c r="B120" s="1" t="n">
        <v>45081</v>
      </c>
      <c r="C120" s="1" t="n">
        <v>46104</v>
      </c>
      <c r="D120" t="inlineStr">
        <is>
          <t>STOCKHOLMS LÄN</t>
        </is>
      </c>
      <c r="E120" t="inlineStr">
        <is>
          <t>NORRTÄLJE</t>
        </is>
      </c>
      <c r="G120" t="n">
        <v>5</v>
      </c>
      <c r="H120" t="n">
        <v>1</v>
      </c>
      <c r="I120" t="n">
        <v>0</v>
      </c>
      <c r="J120" t="n">
        <v>1</v>
      </c>
      <c r="K120" t="n">
        <v>0</v>
      </c>
      <c r="L120" t="n">
        <v>0</v>
      </c>
      <c r="M120" t="n">
        <v>0</v>
      </c>
      <c r="N120" t="n">
        <v>0</v>
      </c>
      <c r="O120" t="n">
        <v>1</v>
      </c>
      <c r="P120" t="n">
        <v>0</v>
      </c>
      <c r="Q120" t="n">
        <v>1</v>
      </c>
      <c r="R120" s="2" t="inlineStr">
        <is>
          <t>Mindre hackspett</t>
        </is>
      </c>
      <c r="S120">
        <f>HYPERLINK("https://klasma.github.io/Logging_0188/artfynd/A 24330-2023 artfynd.xlsx", "A 24330-2023")</f>
        <v/>
      </c>
      <c r="T120">
        <f>HYPERLINK("https://klasma.github.io/Logging_0188/kartor/A 24330-2023 karta.png", "A 24330-2023")</f>
        <v/>
      </c>
      <c r="V120">
        <f>HYPERLINK("https://klasma.github.io/Logging_0188/klagomål/A 24330-2023 FSC-klagomål.docx", "A 24330-2023")</f>
        <v/>
      </c>
      <c r="W120">
        <f>HYPERLINK("https://klasma.github.io/Logging_0188/klagomålsmail/A 24330-2023 FSC-klagomål mail.docx", "A 24330-2023")</f>
        <v/>
      </c>
      <c r="X120">
        <f>HYPERLINK("https://klasma.github.io/Logging_0188/tillsyn/A 24330-2023 tillsynsbegäran.docx", "A 24330-2023")</f>
        <v/>
      </c>
      <c r="Y120">
        <f>HYPERLINK("https://klasma.github.io/Logging_0188/tillsynsmail/A 24330-2023 tillsynsbegäran mail.docx", "A 24330-2023")</f>
        <v/>
      </c>
      <c r="Z120">
        <f>HYPERLINK("https://klasma.github.io/Logging_0188/fåglar/A 24330-2023 prioriterade fågelarter.docx", "A 24330-2023")</f>
        <v/>
      </c>
    </row>
    <row r="121" ht="15" customHeight="1">
      <c r="A121" t="inlineStr">
        <is>
          <t>A 21744-2023</t>
        </is>
      </c>
      <c r="B121" s="1" t="n">
        <v>45065</v>
      </c>
      <c r="C121" s="1" t="n">
        <v>46104</v>
      </c>
      <c r="D121" t="inlineStr">
        <is>
          <t>STOCKHOLMS LÄN</t>
        </is>
      </c>
      <c r="E121" t="inlineStr">
        <is>
          <t>NORRTÄLJE</t>
        </is>
      </c>
      <c r="F121" t="inlineStr">
        <is>
          <t>Holmen skog AB</t>
        </is>
      </c>
      <c r="G121" t="n">
        <v>4.2</v>
      </c>
      <c r="H121" t="n">
        <v>0</v>
      </c>
      <c r="I121" t="n">
        <v>1</v>
      </c>
      <c r="J121" t="n">
        <v>0</v>
      </c>
      <c r="K121" t="n">
        <v>0</v>
      </c>
      <c r="L121" t="n">
        <v>0</v>
      </c>
      <c r="M121" t="n">
        <v>0</v>
      </c>
      <c r="N121" t="n">
        <v>0</v>
      </c>
      <c r="O121" t="n">
        <v>0</v>
      </c>
      <c r="P121" t="n">
        <v>0</v>
      </c>
      <c r="Q121" t="n">
        <v>1</v>
      </c>
      <c r="R121" s="2" t="inlineStr">
        <is>
          <t>Korallblylav</t>
        </is>
      </c>
      <c r="S121">
        <f>HYPERLINK("https://klasma.github.io/Logging_0188/artfynd/A 21744-2023 artfynd.xlsx", "A 21744-2023")</f>
        <v/>
      </c>
      <c r="T121">
        <f>HYPERLINK("https://klasma.github.io/Logging_0188/kartor/A 21744-2023 karta.png", "A 21744-2023")</f>
        <v/>
      </c>
      <c r="V121">
        <f>HYPERLINK("https://klasma.github.io/Logging_0188/klagomål/A 21744-2023 FSC-klagomål.docx", "A 21744-2023")</f>
        <v/>
      </c>
      <c r="W121">
        <f>HYPERLINK("https://klasma.github.io/Logging_0188/klagomålsmail/A 21744-2023 FSC-klagomål mail.docx", "A 21744-2023")</f>
        <v/>
      </c>
      <c r="X121">
        <f>HYPERLINK("https://klasma.github.io/Logging_0188/tillsyn/A 21744-2023 tillsynsbegäran.docx", "A 21744-2023")</f>
        <v/>
      </c>
      <c r="Y121">
        <f>HYPERLINK("https://klasma.github.io/Logging_0188/tillsynsmail/A 21744-2023 tillsynsbegäran mail.docx", "A 21744-2023")</f>
        <v/>
      </c>
    </row>
    <row r="122" ht="15" customHeight="1">
      <c r="A122" t="inlineStr">
        <is>
          <t>A 52611-2024</t>
        </is>
      </c>
      <c r="B122" s="1" t="n">
        <v>45609.83747685186</v>
      </c>
      <c r="C122" s="1" t="n">
        <v>46104</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6381-2023</t>
        </is>
      </c>
      <c r="B123" s="1" t="n">
        <v>44965</v>
      </c>
      <c r="C123" s="1" t="n">
        <v>46104</v>
      </c>
      <c r="D123" t="inlineStr">
        <is>
          <t>STOCKHOLMS LÄN</t>
        </is>
      </c>
      <c r="E123" t="inlineStr">
        <is>
          <t>NORRTÄLJE</t>
        </is>
      </c>
      <c r="G123" t="n">
        <v>3.5</v>
      </c>
      <c r="H123" t="n">
        <v>1</v>
      </c>
      <c r="I123" t="n">
        <v>1</v>
      </c>
      <c r="J123" t="n">
        <v>0</v>
      </c>
      <c r="K123" t="n">
        <v>0</v>
      </c>
      <c r="L123" t="n">
        <v>0</v>
      </c>
      <c r="M123" t="n">
        <v>0</v>
      </c>
      <c r="N123" t="n">
        <v>0</v>
      </c>
      <c r="O123" t="n">
        <v>0</v>
      </c>
      <c r="P123" t="n">
        <v>0</v>
      </c>
      <c r="Q123" t="n">
        <v>1</v>
      </c>
      <c r="R123" s="2" t="inlineStr">
        <is>
          <t>Guckusko</t>
        </is>
      </c>
      <c r="S123">
        <f>HYPERLINK("https://klasma.github.io/Logging_0188/artfynd/A 6381-2023 artfynd.xlsx", "A 6381-2023")</f>
        <v/>
      </c>
      <c r="T123">
        <f>HYPERLINK("https://klasma.github.io/Logging_0188/kartor/A 6381-2023 karta.png", "A 6381-2023")</f>
        <v/>
      </c>
      <c r="V123">
        <f>HYPERLINK("https://klasma.github.io/Logging_0188/klagomål/A 6381-2023 FSC-klagomål.docx", "A 6381-2023")</f>
        <v/>
      </c>
      <c r="W123">
        <f>HYPERLINK("https://klasma.github.io/Logging_0188/klagomålsmail/A 6381-2023 FSC-klagomål mail.docx", "A 6381-2023")</f>
        <v/>
      </c>
      <c r="X123">
        <f>HYPERLINK("https://klasma.github.io/Logging_0188/tillsyn/A 6381-2023 tillsynsbegäran.docx", "A 6381-2023")</f>
        <v/>
      </c>
      <c r="Y123">
        <f>HYPERLINK("https://klasma.github.io/Logging_0188/tillsynsmail/A 6381-2023 tillsynsbegäran mail.docx", "A 6381-2023")</f>
        <v/>
      </c>
    </row>
    <row r="124" ht="15" customHeight="1">
      <c r="A124" t="inlineStr">
        <is>
          <t>A 29946-2025</t>
        </is>
      </c>
      <c r="B124" s="1" t="n">
        <v>45826.46392361111</v>
      </c>
      <c r="C124" s="1" t="n">
        <v>46104</v>
      </c>
      <c r="D124" t="inlineStr">
        <is>
          <t>STOCKHOLMS LÄN</t>
        </is>
      </c>
      <c r="E124" t="inlineStr">
        <is>
          <t>NORRTÄLJE</t>
        </is>
      </c>
      <c r="F124" t="inlineStr">
        <is>
          <t>Holmen skog AB</t>
        </is>
      </c>
      <c r="G124" t="n">
        <v>3.6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29946-2025 artfynd.xlsx", "A 29946-2025")</f>
        <v/>
      </c>
      <c r="T124">
        <f>HYPERLINK("https://klasma.github.io/Logging_0188/kartor/A 29946-2025 karta.png", "A 29946-2025")</f>
        <v/>
      </c>
      <c r="V124">
        <f>HYPERLINK("https://klasma.github.io/Logging_0188/klagomål/A 29946-2025 FSC-klagomål.docx", "A 29946-2025")</f>
        <v/>
      </c>
      <c r="W124">
        <f>HYPERLINK("https://klasma.github.io/Logging_0188/klagomålsmail/A 29946-2025 FSC-klagomål mail.docx", "A 29946-2025")</f>
        <v/>
      </c>
      <c r="X124">
        <f>HYPERLINK("https://klasma.github.io/Logging_0188/tillsyn/A 29946-2025 tillsynsbegäran.docx", "A 29946-2025")</f>
        <v/>
      </c>
      <c r="Y124">
        <f>HYPERLINK("https://klasma.github.io/Logging_0188/tillsynsmail/A 29946-2025 tillsynsbegäran mail.docx", "A 29946-2025")</f>
        <v/>
      </c>
    </row>
    <row r="125" ht="15" customHeight="1">
      <c r="A125" t="inlineStr">
        <is>
          <t>A 26635-2023</t>
        </is>
      </c>
      <c r="B125" s="1" t="n">
        <v>45092</v>
      </c>
      <c r="C125" s="1" t="n">
        <v>46104</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33546-2025</t>
        </is>
      </c>
      <c r="B126" s="1" t="n">
        <v>45841.56996527778</v>
      </c>
      <c r="C126" s="1" t="n">
        <v>46104</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47898-2022</t>
        </is>
      </c>
      <c r="B127" s="1" t="n">
        <v>44855</v>
      </c>
      <c r="C127" s="1" t="n">
        <v>46104</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8371-2025</t>
        </is>
      </c>
      <c r="B128" s="1" t="n">
        <v>45708</v>
      </c>
      <c r="C128" s="1" t="n">
        <v>46104</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14365-2025</t>
        </is>
      </c>
      <c r="B129" s="1" t="n">
        <v>45741.38688657407</v>
      </c>
      <c r="C129" s="1" t="n">
        <v>46104</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46104</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46104</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4860-2022</t>
        </is>
      </c>
      <c r="B132" s="1" t="n">
        <v>44592</v>
      </c>
      <c r="C132" s="1" t="n">
        <v>46104</v>
      </c>
      <c r="D132" t="inlineStr">
        <is>
          <t>STOCKHOLMS LÄN</t>
        </is>
      </c>
      <c r="E132" t="inlineStr">
        <is>
          <t>NORRTÄLJE</t>
        </is>
      </c>
      <c r="G132" t="n">
        <v>22.3</v>
      </c>
      <c r="H132" t="n">
        <v>0</v>
      </c>
      <c r="I132" t="n">
        <v>0</v>
      </c>
      <c r="J132" t="n">
        <v>1</v>
      </c>
      <c r="K132" t="n">
        <v>0</v>
      </c>
      <c r="L132" t="n">
        <v>0</v>
      </c>
      <c r="M132" t="n">
        <v>0</v>
      </c>
      <c r="N132" t="n">
        <v>0</v>
      </c>
      <c r="O132" t="n">
        <v>1</v>
      </c>
      <c r="P132" t="n">
        <v>0</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19829-2022</t>
        </is>
      </c>
      <c r="B133" s="1" t="n">
        <v>44695.43527777777</v>
      </c>
      <c r="C133" s="1" t="n">
        <v>46104</v>
      </c>
      <c r="D133" t="inlineStr">
        <is>
          <t>STOCKHOLMS LÄN</t>
        </is>
      </c>
      <c r="E133" t="inlineStr">
        <is>
          <t>NORRTÄLJE</t>
        </is>
      </c>
      <c r="G133" t="n">
        <v>2</v>
      </c>
      <c r="H133" t="n">
        <v>1</v>
      </c>
      <c r="I133" t="n">
        <v>1</v>
      </c>
      <c r="J133" t="n">
        <v>0</v>
      </c>
      <c r="K133" t="n">
        <v>0</v>
      </c>
      <c r="L133" t="n">
        <v>0</v>
      </c>
      <c r="M133" t="n">
        <v>0</v>
      </c>
      <c r="N133" t="n">
        <v>0</v>
      </c>
      <c r="O133" t="n">
        <v>0</v>
      </c>
      <c r="P133" t="n">
        <v>0</v>
      </c>
      <c r="Q133" t="n">
        <v>1</v>
      </c>
      <c r="R133" s="2" t="inlineStr">
        <is>
          <t>Guckusko</t>
        </is>
      </c>
      <c r="S133">
        <f>HYPERLINK("https://klasma.github.io/Logging_0188/artfynd/A 19829-2022 artfynd.xlsx", "A 19829-2022")</f>
        <v/>
      </c>
      <c r="T133">
        <f>HYPERLINK("https://klasma.github.io/Logging_0188/kartor/A 19829-2022 karta.png", "A 19829-2022")</f>
        <v/>
      </c>
      <c r="V133">
        <f>HYPERLINK("https://klasma.github.io/Logging_0188/klagomål/A 19829-2022 FSC-klagomål.docx", "A 19829-2022")</f>
        <v/>
      </c>
      <c r="W133">
        <f>HYPERLINK("https://klasma.github.io/Logging_0188/klagomålsmail/A 19829-2022 FSC-klagomål mail.docx", "A 19829-2022")</f>
        <v/>
      </c>
      <c r="X133">
        <f>HYPERLINK("https://klasma.github.io/Logging_0188/tillsyn/A 19829-2022 tillsynsbegäran.docx", "A 19829-2022")</f>
        <v/>
      </c>
      <c r="Y133">
        <f>HYPERLINK("https://klasma.github.io/Logging_0188/tillsynsmail/A 19829-2022 tillsynsbegäran mail.docx", "A 19829-2022")</f>
        <v/>
      </c>
    </row>
    <row r="134" ht="15" customHeight="1">
      <c r="A134" t="inlineStr">
        <is>
          <t>A 28816-2023</t>
        </is>
      </c>
      <c r="B134" s="1" t="n">
        <v>45104</v>
      </c>
      <c r="C134" s="1" t="n">
        <v>46104</v>
      </c>
      <c r="D134" t="inlineStr">
        <is>
          <t>STOCKHOLMS LÄN</t>
        </is>
      </c>
      <c r="E134" t="inlineStr">
        <is>
          <t>NORRTÄLJE</t>
        </is>
      </c>
      <c r="F134" t="inlineStr">
        <is>
          <t>Kommuner</t>
        </is>
      </c>
      <c r="G134" t="n">
        <v>0.5</v>
      </c>
      <c r="H134" t="n">
        <v>1</v>
      </c>
      <c r="I134" t="n">
        <v>0</v>
      </c>
      <c r="J134" t="n">
        <v>0</v>
      </c>
      <c r="K134" t="n">
        <v>0</v>
      </c>
      <c r="L134" t="n">
        <v>0</v>
      </c>
      <c r="M134" t="n">
        <v>0</v>
      </c>
      <c r="N134" t="n">
        <v>0</v>
      </c>
      <c r="O134" t="n">
        <v>0</v>
      </c>
      <c r="P134" t="n">
        <v>0</v>
      </c>
      <c r="Q134" t="n">
        <v>1</v>
      </c>
      <c r="R134" s="2" t="inlineStr">
        <is>
          <t>Kungsfågel</t>
        </is>
      </c>
      <c r="S134">
        <f>HYPERLINK("https://klasma.github.io/Logging_0188/artfynd/A 28816-2023 artfynd.xlsx", "A 28816-2023")</f>
        <v/>
      </c>
      <c r="T134">
        <f>HYPERLINK("https://klasma.github.io/Logging_0188/kartor/A 28816-2023 karta.png", "A 28816-2023")</f>
        <v/>
      </c>
      <c r="V134">
        <f>HYPERLINK("https://klasma.github.io/Logging_0188/klagomål/A 28816-2023 FSC-klagomål.docx", "A 28816-2023")</f>
        <v/>
      </c>
      <c r="W134">
        <f>HYPERLINK("https://klasma.github.io/Logging_0188/klagomålsmail/A 28816-2023 FSC-klagomål mail.docx", "A 28816-2023")</f>
        <v/>
      </c>
      <c r="X134">
        <f>HYPERLINK("https://klasma.github.io/Logging_0188/tillsyn/A 28816-2023 tillsynsbegäran.docx", "A 28816-2023")</f>
        <v/>
      </c>
      <c r="Y134">
        <f>HYPERLINK("https://klasma.github.io/Logging_0188/tillsynsmail/A 28816-2023 tillsynsbegäran mail.docx", "A 28816-2023")</f>
        <v/>
      </c>
      <c r="Z134">
        <f>HYPERLINK("https://klasma.github.io/Logging_0188/fåglar/A 28816-2023 prioriterade fågelarter.docx", "A 28816-2023")</f>
        <v/>
      </c>
    </row>
    <row r="135" ht="15" customHeight="1">
      <c r="A135" t="inlineStr">
        <is>
          <t>A 52508-2023</t>
        </is>
      </c>
      <c r="B135" s="1" t="n">
        <v>45225</v>
      </c>
      <c r="C135" s="1" t="n">
        <v>46104</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46104</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46104</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46104</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46104</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46104</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46104</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18580-2021</t>
        </is>
      </c>
      <c r="B142" s="1" t="n">
        <v>44306</v>
      </c>
      <c r="C142" s="1" t="n">
        <v>46104</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46104</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46104</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46104</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46104</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46104</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46104</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46104</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46104</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46104</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46104</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46104</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46104</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74468-2021</t>
        </is>
      </c>
      <c r="B155" s="1" t="n">
        <v>44560</v>
      </c>
      <c r="C155" s="1" t="n">
        <v>46104</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46104</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54272-2021</t>
        </is>
      </c>
      <c r="B157" s="1" t="n">
        <v>44470.72148148148</v>
      </c>
      <c r="C157" s="1" t="n">
        <v>46104</v>
      </c>
      <c r="D157" t="inlineStr">
        <is>
          <t>STOCKHOLMS LÄN</t>
        </is>
      </c>
      <c r="E157" t="inlineStr">
        <is>
          <t>NORRTÄLJE</t>
        </is>
      </c>
      <c r="G157" t="n">
        <v>5.8</v>
      </c>
      <c r="H157" t="n">
        <v>0</v>
      </c>
      <c r="I157" t="n">
        <v>0</v>
      </c>
      <c r="J157" t="n">
        <v>0</v>
      </c>
      <c r="K157" t="n">
        <v>0</v>
      </c>
      <c r="L157" t="n">
        <v>0</v>
      </c>
      <c r="M157" t="n">
        <v>0</v>
      </c>
      <c r="N157" t="n">
        <v>0</v>
      </c>
      <c r="O157" t="n">
        <v>0</v>
      </c>
      <c r="P157" t="n">
        <v>0</v>
      </c>
      <c r="Q157" t="n">
        <v>0</v>
      </c>
      <c r="R157" s="2" t="inlineStr"/>
    </row>
    <row r="158" ht="15" customHeight="1">
      <c r="A158" t="inlineStr">
        <is>
          <t>A 31283-2022</t>
        </is>
      </c>
      <c r="B158" s="1" t="n">
        <v>44771</v>
      </c>
      <c r="C158" s="1" t="n">
        <v>46104</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46104</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46104</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46104</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46104</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46104</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46104</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46104</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46104</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46104</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46104</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46104</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46104</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46104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46104</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46104</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46104</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46104</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46104</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46104</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46104</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46104</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46104</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46104</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46104</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46104</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46104</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46104</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46104</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46104</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46104</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46104</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46104</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46104</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46104</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46104</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46104</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46104</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46104</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46104</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46104</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46104</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46104</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46104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46104</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46104</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46104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46104</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46104</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46104</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46104</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46104</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46104</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46104</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46104</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46104</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46104</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46104</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46104</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46104</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46104</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46104</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46104</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46104</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46104</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46104</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46104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46104</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46104</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46104</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46104</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46104</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46104</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15441-2021</t>
        </is>
      </c>
      <c r="B233" s="1" t="n">
        <v>44284</v>
      </c>
      <c r="C233" s="1" t="n">
        <v>46104</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46104</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46104</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46104</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46104</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46104</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46104</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46104</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46104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46104</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46104</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46104</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46104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46104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46104</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46104</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46104</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46104</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46104</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46104</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46104</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46104</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46104</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46104</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46104</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46104</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46104</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46104</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46104</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46104</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46104</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46104</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46104</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46104</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46104</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46104</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46104</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46104</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46104</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46104</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46104</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46104</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46104</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46104</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46104</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46104</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46104</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17772-2022</t>
        </is>
      </c>
      <c r="B280" s="1" t="n">
        <v>44682.76528935185</v>
      </c>
      <c r="C280" s="1" t="n">
        <v>46104</v>
      </c>
      <c r="D280" t="inlineStr">
        <is>
          <t>STOCKHOLMS LÄN</t>
        </is>
      </c>
      <c r="E280" t="inlineStr">
        <is>
          <t>NORRTÄLJE</t>
        </is>
      </c>
      <c r="G280" t="n">
        <v>4</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46104</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46104</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46104</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46104</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46104</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46104</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46104</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27828-2022</t>
        </is>
      </c>
      <c r="B288" s="1" t="n">
        <v>44743.59765046297</v>
      </c>
      <c r="C288" s="1" t="n">
        <v>46104</v>
      </c>
      <c r="D288" t="inlineStr">
        <is>
          <t>STOCKHOLMS LÄN</t>
        </is>
      </c>
      <c r="E288" t="inlineStr">
        <is>
          <t>NORRTÄLJE</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16229-2022</t>
        </is>
      </c>
      <c r="B289" s="1" t="n">
        <v>44670.4190162037</v>
      </c>
      <c r="C289" s="1" t="n">
        <v>46104</v>
      </c>
      <c r="D289" t="inlineStr">
        <is>
          <t>STOCKHOLMS LÄN</t>
        </is>
      </c>
      <c r="E289" t="inlineStr">
        <is>
          <t>NORRTÄLJE</t>
        </is>
      </c>
      <c r="G289" t="n">
        <v>7.4</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46104</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46104</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46104</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52260-2022</t>
        </is>
      </c>
      <c r="B293" s="1" t="n">
        <v>44869</v>
      </c>
      <c r="C293" s="1" t="n">
        <v>46104</v>
      </c>
      <c r="D293" t="inlineStr">
        <is>
          <t>STOCKHOLMS LÄN</t>
        </is>
      </c>
      <c r="E293" t="inlineStr">
        <is>
          <t>NORRTÄLJE</t>
        </is>
      </c>
      <c r="G293" t="n">
        <v>3.1</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46104</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46104</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22412-2021</t>
        </is>
      </c>
      <c r="B296" s="1" t="n">
        <v>44326.61967592593</v>
      </c>
      <c r="C296" s="1" t="n">
        <v>46104</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46104</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46104</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64137-2021</t>
        </is>
      </c>
      <c r="B299" s="1" t="n">
        <v>44510.51422453704</v>
      </c>
      <c r="C299" s="1" t="n">
        <v>46104</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46104</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46104</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46104</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46104</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46104</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46104</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46104</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46104</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46104</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46104</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46104</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13172-2025</t>
        </is>
      </c>
      <c r="B311" s="1" t="n">
        <v>45735.36873842592</v>
      </c>
      <c r="C311" s="1" t="n">
        <v>46104</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46104</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64145-2021</t>
        </is>
      </c>
      <c r="B313" s="1" t="n">
        <v>44510</v>
      </c>
      <c r="C313" s="1" t="n">
        <v>46104</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1740-2023</t>
        </is>
      </c>
      <c r="B314" s="1" t="n">
        <v>44938</v>
      </c>
      <c r="C314" s="1" t="n">
        <v>46104</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4596-2023</t>
        </is>
      </c>
      <c r="B315" s="1" t="n">
        <v>44956</v>
      </c>
      <c r="C315" s="1" t="n">
        <v>46104</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46104</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17785-2024</t>
        </is>
      </c>
      <c r="B317" s="1" t="n">
        <v>45418.6968287037</v>
      </c>
      <c r="C317" s="1" t="n">
        <v>46104</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10676-2025</t>
        </is>
      </c>
      <c r="B318" s="1" t="n">
        <v>45721.88684027778</v>
      </c>
      <c r="C318" s="1" t="n">
        <v>46104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20852-2023</t>
        </is>
      </c>
      <c r="B319" s="1" t="n">
        <v>45058.78607638889</v>
      </c>
      <c r="C319" s="1" t="n">
        <v>46104</v>
      </c>
      <c r="D319" t="inlineStr">
        <is>
          <t>STOCKHOLMS LÄN</t>
        </is>
      </c>
      <c r="E319" t="inlineStr">
        <is>
          <t>NORRTÄLJE</t>
        </is>
      </c>
      <c r="G319" t="n">
        <v>3.5</v>
      </c>
      <c r="H319" t="n">
        <v>0</v>
      </c>
      <c r="I319" t="n">
        <v>0</v>
      </c>
      <c r="J319" t="n">
        <v>0</v>
      </c>
      <c r="K319" t="n">
        <v>0</v>
      </c>
      <c r="L319" t="n">
        <v>0</v>
      </c>
      <c r="M319" t="n">
        <v>0</v>
      </c>
      <c r="N319" t="n">
        <v>0</v>
      </c>
      <c r="O319" t="n">
        <v>0</v>
      </c>
      <c r="P319" t="n">
        <v>0</v>
      </c>
      <c r="Q319" t="n">
        <v>0</v>
      </c>
      <c r="R319" s="2" t="inlineStr"/>
    </row>
    <row r="320" ht="15" customHeight="1">
      <c r="A320" t="inlineStr">
        <is>
          <t>A 6678-2025</t>
        </is>
      </c>
      <c r="B320" s="1" t="n">
        <v>45700</v>
      </c>
      <c r="C320" s="1" t="n">
        <v>46104</v>
      </c>
      <c r="D320" t="inlineStr">
        <is>
          <t>STOCKHOLMS LÄN</t>
        </is>
      </c>
      <c r="E320" t="inlineStr">
        <is>
          <t>NORRTÄLJE</t>
        </is>
      </c>
      <c r="F320" t="inlineStr">
        <is>
          <t>Övriga Aktiebolag</t>
        </is>
      </c>
      <c r="G320" t="n">
        <v>6.6</v>
      </c>
      <c r="H320" t="n">
        <v>0</v>
      </c>
      <c r="I320" t="n">
        <v>0</v>
      </c>
      <c r="J320" t="n">
        <v>0</v>
      </c>
      <c r="K320" t="n">
        <v>0</v>
      </c>
      <c r="L320" t="n">
        <v>0</v>
      </c>
      <c r="M320" t="n">
        <v>0</v>
      </c>
      <c r="N320" t="n">
        <v>0</v>
      </c>
      <c r="O320" t="n">
        <v>0</v>
      </c>
      <c r="P320" t="n">
        <v>0</v>
      </c>
      <c r="Q320" t="n">
        <v>0</v>
      </c>
      <c r="R320" s="2" t="inlineStr"/>
    </row>
    <row r="321" ht="15" customHeight="1">
      <c r="A321" t="inlineStr">
        <is>
          <t>A 19982-2022</t>
        </is>
      </c>
      <c r="B321" s="1" t="n">
        <v>44697</v>
      </c>
      <c r="C321" s="1" t="n">
        <v>46104</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46104</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50108-2021</t>
        </is>
      </c>
      <c r="B323" s="1" t="n">
        <v>44456</v>
      </c>
      <c r="C323" s="1" t="n">
        <v>46104</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16620-2024</t>
        </is>
      </c>
      <c r="B324" s="1" t="n">
        <v>45408.57707175926</v>
      </c>
      <c r="C324" s="1" t="n">
        <v>46104</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22416-2025</t>
        </is>
      </c>
      <c r="B325" s="1" t="n">
        <v>45786.55645833333</v>
      </c>
      <c r="C325" s="1" t="n">
        <v>46104</v>
      </c>
      <c r="D325" t="inlineStr">
        <is>
          <t>STOCKHOLMS LÄN</t>
        </is>
      </c>
      <c r="E325" t="inlineStr">
        <is>
          <t>NORRTÄLJE</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58785-2024</t>
        </is>
      </c>
      <c r="B326" s="1" t="n">
        <v>45635.88849537037</v>
      </c>
      <c r="C326" s="1" t="n">
        <v>46104</v>
      </c>
      <c r="D326" t="inlineStr">
        <is>
          <t>STOCKHOLMS LÄN</t>
        </is>
      </c>
      <c r="E326" t="inlineStr">
        <is>
          <t>NORRTÄLJE</t>
        </is>
      </c>
      <c r="G326" t="n">
        <v>3.3</v>
      </c>
      <c r="H326" t="n">
        <v>0</v>
      </c>
      <c r="I326" t="n">
        <v>0</v>
      </c>
      <c r="J326" t="n">
        <v>0</v>
      </c>
      <c r="K326" t="n">
        <v>0</v>
      </c>
      <c r="L326" t="n">
        <v>0</v>
      </c>
      <c r="M326" t="n">
        <v>0</v>
      </c>
      <c r="N326" t="n">
        <v>0</v>
      </c>
      <c r="O326" t="n">
        <v>0</v>
      </c>
      <c r="P326" t="n">
        <v>0</v>
      </c>
      <c r="Q326" t="n">
        <v>0</v>
      </c>
      <c r="R326" s="2" t="inlineStr"/>
    </row>
    <row r="327" ht="15" customHeight="1">
      <c r="A327" t="inlineStr">
        <is>
          <t>A 50355-2024</t>
        </is>
      </c>
      <c r="B327" s="1" t="n">
        <v>45600.86128472222</v>
      </c>
      <c r="C327" s="1" t="n">
        <v>46104</v>
      </c>
      <c r="D327" t="inlineStr">
        <is>
          <t>STOCKHOLMS LÄN</t>
        </is>
      </c>
      <c r="E327" t="inlineStr">
        <is>
          <t>NORRTÄLJE</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2182-2022</t>
        </is>
      </c>
      <c r="B328" s="1" t="n">
        <v>44578</v>
      </c>
      <c r="C328" s="1" t="n">
        <v>46104</v>
      </c>
      <c r="D328" t="inlineStr">
        <is>
          <t>STOCKHOLMS LÄN</t>
        </is>
      </c>
      <c r="E328" t="inlineStr">
        <is>
          <t>NORRTÄLJE</t>
        </is>
      </c>
      <c r="G328" t="n">
        <v>7.2</v>
      </c>
      <c r="H328" t="n">
        <v>0</v>
      </c>
      <c r="I328" t="n">
        <v>0</v>
      </c>
      <c r="J328" t="n">
        <v>0</v>
      </c>
      <c r="K328" t="n">
        <v>0</v>
      </c>
      <c r="L328" t="n">
        <v>0</v>
      </c>
      <c r="M328" t="n">
        <v>0</v>
      </c>
      <c r="N328" t="n">
        <v>0</v>
      </c>
      <c r="O328" t="n">
        <v>0</v>
      </c>
      <c r="P328" t="n">
        <v>0</v>
      </c>
      <c r="Q328" t="n">
        <v>0</v>
      </c>
      <c r="R328" s="2" t="inlineStr"/>
    </row>
    <row r="329" ht="15" customHeight="1">
      <c r="A329" t="inlineStr">
        <is>
          <t>A 55599-2025</t>
        </is>
      </c>
      <c r="B329" s="1" t="n">
        <v>45971.76810185185</v>
      </c>
      <c r="C329" s="1" t="n">
        <v>46104</v>
      </c>
      <c r="D329" t="inlineStr">
        <is>
          <t>STOCKHOLMS LÄN</t>
        </is>
      </c>
      <c r="E329" t="inlineStr">
        <is>
          <t>NORRTÄLJE</t>
        </is>
      </c>
      <c r="F329" t="inlineStr">
        <is>
          <t>Holmen skog AB</t>
        </is>
      </c>
      <c r="G329" t="n">
        <v>6.4</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46104</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13268-2025</t>
        </is>
      </c>
      <c r="B331" s="1" t="n">
        <v>45735</v>
      </c>
      <c r="C331" s="1" t="n">
        <v>46104</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56114-2025</t>
        </is>
      </c>
      <c r="B332" s="1" t="n">
        <v>45973.74474537037</v>
      </c>
      <c r="C332" s="1" t="n">
        <v>46104</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8414-2025</t>
        </is>
      </c>
      <c r="B333" s="1" t="n">
        <v>45709.39361111111</v>
      </c>
      <c r="C333" s="1" t="n">
        <v>46104</v>
      </c>
      <c r="D333" t="inlineStr">
        <is>
          <t>STOCKHOLMS LÄN</t>
        </is>
      </c>
      <c r="E333" t="inlineStr">
        <is>
          <t>NORRTÄLJE</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38720-2025</t>
        </is>
      </c>
      <c r="B334" s="1" t="n">
        <v>45886</v>
      </c>
      <c r="C334" s="1" t="n">
        <v>46104</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46104</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36625-2024</t>
        </is>
      </c>
      <c r="B336" s="1" t="n">
        <v>45537</v>
      </c>
      <c r="C336" s="1" t="n">
        <v>46104</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44891-2023</t>
        </is>
      </c>
      <c r="B337" s="1" t="n">
        <v>45187</v>
      </c>
      <c r="C337" s="1" t="n">
        <v>46104</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12902-2024</t>
        </is>
      </c>
      <c r="B338" s="1" t="n">
        <v>45385.38146990741</v>
      </c>
      <c r="C338" s="1" t="n">
        <v>46104</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44032-2024</t>
        </is>
      </c>
      <c r="B339" s="1" t="n">
        <v>45572.57828703704</v>
      </c>
      <c r="C339" s="1" t="n">
        <v>46104</v>
      </c>
      <c r="D339" t="inlineStr">
        <is>
          <t>STOCKHOLMS LÄN</t>
        </is>
      </c>
      <c r="E339" t="inlineStr">
        <is>
          <t>NORRTÄLJE</t>
        </is>
      </c>
      <c r="G339" t="n">
        <v>8.6</v>
      </c>
      <c r="H339" t="n">
        <v>0</v>
      </c>
      <c r="I339" t="n">
        <v>0</v>
      </c>
      <c r="J339" t="n">
        <v>0</v>
      </c>
      <c r="K339" t="n">
        <v>0</v>
      </c>
      <c r="L339" t="n">
        <v>0</v>
      </c>
      <c r="M339" t="n">
        <v>0</v>
      </c>
      <c r="N339" t="n">
        <v>0</v>
      </c>
      <c r="O339" t="n">
        <v>0</v>
      </c>
      <c r="P339" t="n">
        <v>0</v>
      </c>
      <c r="Q339" t="n">
        <v>0</v>
      </c>
      <c r="R339" s="2" t="inlineStr"/>
    </row>
    <row r="340" ht="15" customHeight="1">
      <c r="A340" t="inlineStr">
        <is>
          <t>A 55012-2024</t>
        </is>
      </c>
      <c r="B340" s="1" t="n">
        <v>45621.34813657407</v>
      </c>
      <c r="C340" s="1" t="n">
        <v>46104</v>
      </c>
      <c r="D340" t="inlineStr">
        <is>
          <t>STOCKHOLMS LÄN</t>
        </is>
      </c>
      <c r="E340" t="inlineStr">
        <is>
          <t>NORRTÄLJE</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24563-2024</t>
        </is>
      </c>
      <c r="B341" s="1" t="n">
        <v>45460.44347222222</v>
      </c>
      <c r="C341" s="1" t="n">
        <v>46104</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39237-2024</t>
        </is>
      </c>
      <c r="B342" s="1" t="n">
        <v>45549</v>
      </c>
      <c r="C342" s="1" t="n">
        <v>46104</v>
      </c>
      <c r="D342" t="inlineStr">
        <is>
          <t>STOCKHOLMS LÄN</t>
        </is>
      </c>
      <c r="E342" t="inlineStr">
        <is>
          <t>NORRTÄLJE</t>
        </is>
      </c>
      <c r="G342" t="n">
        <v>13.3</v>
      </c>
      <c r="H342" t="n">
        <v>0</v>
      </c>
      <c r="I342" t="n">
        <v>0</v>
      </c>
      <c r="J342" t="n">
        <v>0</v>
      </c>
      <c r="K342" t="n">
        <v>0</v>
      </c>
      <c r="L342" t="n">
        <v>0</v>
      </c>
      <c r="M342" t="n">
        <v>0</v>
      </c>
      <c r="N342" t="n">
        <v>0</v>
      </c>
      <c r="O342" t="n">
        <v>0</v>
      </c>
      <c r="P342" t="n">
        <v>0</v>
      </c>
      <c r="Q342" t="n">
        <v>0</v>
      </c>
      <c r="R342" s="2" t="inlineStr"/>
    </row>
    <row r="343" ht="15" customHeight="1">
      <c r="A343" t="inlineStr">
        <is>
          <t>A 45746-2024</t>
        </is>
      </c>
      <c r="B343" s="1" t="n">
        <v>45579</v>
      </c>
      <c r="C343" s="1" t="n">
        <v>46104</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8400-2024</t>
        </is>
      </c>
      <c r="B344" s="1" t="n">
        <v>45352.74090277778</v>
      </c>
      <c r="C344" s="1" t="n">
        <v>46104</v>
      </c>
      <c r="D344" t="inlineStr">
        <is>
          <t>STOCKHOLMS LÄN</t>
        </is>
      </c>
      <c r="E344" t="inlineStr">
        <is>
          <t>NORRTÄLJE</t>
        </is>
      </c>
      <c r="G344" t="n">
        <v>4.7</v>
      </c>
      <c r="H344" t="n">
        <v>0</v>
      </c>
      <c r="I344" t="n">
        <v>0</v>
      </c>
      <c r="J344" t="n">
        <v>0</v>
      </c>
      <c r="K344" t="n">
        <v>0</v>
      </c>
      <c r="L344" t="n">
        <v>0</v>
      </c>
      <c r="M344" t="n">
        <v>0</v>
      </c>
      <c r="N344" t="n">
        <v>0</v>
      </c>
      <c r="O344" t="n">
        <v>0</v>
      </c>
      <c r="P344" t="n">
        <v>0</v>
      </c>
      <c r="Q344" t="n">
        <v>0</v>
      </c>
      <c r="R344" s="2" t="inlineStr"/>
    </row>
    <row r="345" ht="15" customHeight="1">
      <c r="A345" t="inlineStr">
        <is>
          <t>A 7413-2024</t>
        </is>
      </c>
      <c r="B345" s="1" t="n">
        <v>45345.6059837963</v>
      </c>
      <c r="C345" s="1" t="n">
        <v>46104</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12251-2025</t>
        </is>
      </c>
      <c r="B346" s="1" t="n">
        <v>45729.60859953704</v>
      </c>
      <c r="C346" s="1" t="n">
        <v>46104</v>
      </c>
      <c r="D346" t="inlineStr">
        <is>
          <t>STOCKHOLMS LÄN</t>
        </is>
      </c>
      <c r="E346" t="inlineStr">
        <is>
          <t>NORRTÄLJE</t>
        </is>
      </c>
      <c r="F346" t="inlineStr">
        <is>
          <t>Holmen skog AB</t>
        </is>
      </c>
      <c r="G346" t="n">
        <v>5.9</v>
      </c>
      <c r="H346" t="n">
        <v>0</v>
      </c>
      <c r="I346" t="n">
        <v>0</v>
      </c>
      <c r="J346" t="n">
        <v>0</v>
      </c>
      <c r="K346" t="n">
        <v>0</v>
      </c>
      <c r="L346" t="n">
        <v>0</v>
      </c>
      <c r="M346" t="n">
        <v>0</v>
      </c>
      <c r="N346" t="n">
        <v>0</v>
      </c>
      <c r="O346" t="n">
        <v>0</v>
      </c>
      <c r="P346" t="n">
        <v>0</v>
      </c>
      <c r="Q346" t="n">
        <v>0</v>
      </c>
      <c r="R346" s="2" t="inlineStr"/>
    </row>
    <row r="347" ht="15" customHeight="1">
      <c r="A347" t="inlineStr">
        <is>
          <t>A 56207-2025</t>
        </is>
      </c>
      <c r="B347" s="1" t="n">
        <v>45974.47329861111</v>
      </c>
      <c r="C347" s="1" t="n">
        <v>46104</v>
      </c>
      <c r="D347" t="inlineStr">
        <is>
          <t>STOCKHOLMS LÄN</t>
        </is>
      </c>
      <c r="E347" t="inlineStr">
        <is>
          <t>NORRTÄLJE</t>
        </is>
      </c>
      <c r="G347" t="n">
        <v>3.2</v>
      </c>
      <c r="H347" t="n">
        <v>0</v>
      </c>
      <c r="I347" t="n">
        <v>0</v>
      </c>
      <c r="J347" t="n">
        <v>0</v>
      </c>
      <c r="K347" t="n">
        <v>0</v>
      </c>
      <c r="L347" t="n">
        <v>0</v>
      </c>
      <c r="M347" t="n">
        <v>0</v>
      </c>
      <c r="N347" t="n">
        <v>0</v>
      </c>
      <c r="O347" t="n">
        <v>0</v>
      </c>
      <c r="P347" t="n">
        <v>0</v>
      </c>
      <c r="Q347" t="n">
        <v>0</v>
      </c>
      <c r="R347" s="2" t="inlineStr"/>
    </row>
    <row r="348" ht="15" customHeight="1">
      <c r="A348" t="inlineStr">
        <is>
          <t>A 58863-2024</t>
        </is>
      </c>
      <c r="B348" s="1" t="n">
        <v>45636.41572916666</v>
      </c>
      <c r="C348" s="1" t="n">
        <v>46104</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50154-2024</t>
        </is>
      </c>
      <c r="B349" s="1" t="n">
        <v>45600.4558912037</v>
      </c>
      <c r="C349" s="1" t="n">
        <v>46104</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38593-2025</t>
        </is>
      </c>
      <c r="B350" s="1" t="n">
        <v>45884.48696759259</v>
      </c>
      <c r="C350" s="1" t="n">
        <v>46104</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11900-2024</t>
        </is>
      </c>
      <c r="B351" s="1" t="n">
        <v>45376.55484953704</v>
      </c>
      <c r="C351" s="1" t="n">
        <v>46104</v>
      </c>
      <c r="D351" t="inlineStr">
        <is>
          <t>STOCKHOLMS LÄN</t>
        </is>
      </c>
      <c r="E351" t="inlineStr">
        <is>
          <t>NORRTÄLJE</t>
        </is>
      </c>
      <c r="G351" t="n">
        <v>4.2</v>
      </c>
      <c r="H351" t="n">
        <v>0</v>
      </c>
      <c r="I351" t="n">
        <v>0</v>
      </c>
      <c r="J351" t="n">
        <v>0</v>
      </c>
      <c r="K351" t="n">
        <v>0</v>
      </c>
      <c r="L351" t="n">
        <v>0</v>
      </c>
      <c r="M351" t="n">
        <v>0</v>
      </c>
      <c r="N351" t="n">
        <v>0</v>
      </c>
      <c r="O351" t="n">
        <v>0</v>
      </c>
      <c r="P351" t="n">
        <v>0</v>
      </c>
      <c r="Q351" t="n">
        <v>0</v>
      </c>
      <c r="R351" s="2" t="inlineStr"/>
    </row>
    <row r="352" ht="15" customHeight="1">
      <c r="A352" t="inlineStr">
        <is>
          <t>A 42867-2022</t>
        </is>
      </c>
      <c r="B352" s="1" t="n">
        <v>44832</v>
      </c>
      <c r="C352" s="1" t="n">
        <v>46104</v>
      </c>
      <c r="D352" t="inlineStr">
        <is>
          <t>STOCKHOLMS LÄN</t>
        </is>
      </c>
      <c r="E352" t="inlineStr">
        <is>
          <t>NORRTÄLJE</t>
        </is>
      </c>
      <c r="G352" t="n">
        <v>6.4</v>
      </c>
      <c r="H352" t="n">
        <v>0</v>
      </c>
      <c r="I352" t="n">
        <v>0</v>
      </c>
      <c r="J352" t="n">
        <v>0</v>
      </c>
      <c r="K352" t="n">
        <v>0</v>
      </c>
      <c r="L352" t="n">
        <v>0</v>
      </c>
      <c r="M352" t="n">
        <v>0</v>
      </c>
      <c r="N352" t="n">
        <v>0</v>
      </c>
      <c r="O352" t="n">
        <v>0</v>
      </c>
      <c r="P352" t="n">
        <v>0</v>
      </c>
      <c r="Q352" t="n">
        <v>0</v>
      </c>
      <c r="R352" s="2" t="inlineStr"/>
    </row>
    <row r="353" ht="15" customHeight="1">
      <c r="A353" t="inlineStr">
        <is>
          <t>A 23749-2024</t>
        </is>
      </c>
      <c r="B353" s="1" t="n">
        <v>45455.33037037037</v>
      </c>
      <c r="C353" s="1" t="n">
        <v>46104</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58277-2023</t>
        </is>
      </c>
      <c r="B354" s="1" t="n">
        <v>45245</v>
      </c>
      <c r="C354" s="1" t="n">
        <v>46104</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45813.63650462963</v>
      </c>
      <c r="C355" s="1" t="n">
        <v>46104</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39152-2025</t>
        </is>
      </c>
      <c r="B356" s="1" t="n">
        <v>45888</v>
      </c>
      <c r="C356" s="1" t="n">
        <v>46104</v>
      </c>
      <c r="D356" t="inlineStr">
        <is>
          <t>STOCKHOLMS LÄN</t>
        </is>
      </c>
      <c r="E356" t="inlineStr">
        <is>
          <t>NORRTÄLJE</t>
        </is>
      </c>
      <c r="G356" t="n">
        <v>4.6</v>
      </c>
      <c r="H356" t="n">
        <v>0</v>
      </c>
      <c r="I356" t="n">
        <v>0</v>
      </c>
      <c r="J356" t="n">
        <v>0</v>
      </c>
      <c r="K356" t="n">
        <v>0</v>
      </c>
      <c r="L356" t="n">
        <v>0</v>
      </c>
      <c r="M356" t="n">
        <v>0</v>
      </c>
      <c r="N356" t="n">
        <v>0</v>
      </c>
      <c r="O356" t="n">
        <v>0</v>
      </c>
      <c r="P356" t="n">
        <v>0</v>
      </c>
      <c r="Q356" t="n">
        <v>0</v>
      </c>
      <c r="R356" s="2" t="inlineStr"/>
    </row>
    <row r="357" ht="15" customHeight="1">
      <c r="A357" t="inlineStr">
        <is>
          <t>A 32705-2022</t>
        </is>
      </c>
      <c r="B357" s="1" t="n">
        <v>44783</v>
      </c>
      <c r="C357" s="1" t="n">
        <v>46104</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47481-2024</t>
        </is>
      </c>
      <c r="B358" s="1" t="n">
        <v>45587</v>
      </c>
      <c r="C358" s="1" t="n">
        <v>46104</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46104</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11940-2023</t>
        </is>
      </c>
      <c r="B360" s="1" t="n">
        <v>44995</v>
      </c>
      <c r="C360" s="1" t="n">
        <v>46104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58403-2025</t>
        </is>
      </c>
      <c r="B361" s="1" t="n">
        <v>45985.56777777777</v>
      </c>
      <c r="C361" s="1" t="n">
        <v>46104</v>
      </c>
      <c r="D361" t="inlineStr">
        <is>
          <t>STOCKHOLMS LÄN</t>
        </is>
      </c>
      <c r="E361" t="inlineStr">
        <is>
          <t>NORRTÄLJE</t>
        </is>
      </c>
      <c r="F361" t="inlineStr">
        <is>
          <t>Naturvårdsverket</t>
        </is>
      </c>
      <c r="G361" t="n">
        <v>13.5</v>
      </c>
      <c r="H361" t="n">
        <v>0</v>
      </c>
      <c r="I361" t="n">
        <v>0</v>
      </c>
      <c r="J361" t="n">
        <v>0</v>
      </c>
      <c r="K361" t="n">
        <v>0</v>
      </c>
      <c r="L361" t="n">
        <v>0</v>
      </c>
      <c r="M361" t="n">
        <v>0</v>
      </c>
      <c r="N361" t="n">
        <v>0</v>
      </c>
      <c r="O361" t="n">
        <v>0</v>
      </c>
      <c r="P361" t="n">
        <v>0</v>
      </c>
      <c r="Q361" t="n">
        <v>0</v>
      </c>
      <c r="R361" s="2" t="inlineStr"/>
    </row>
    <row r="362" ht="15" customHeight="1">
      <c r="A362" t="inlineStr">
        <is>
          <t>A 39149-2025</t>
        </is>
      </c>
      <c r="B362" s="1" t="n">
        <v>45888.60714120371</v>
      </c>
      <c r="C362" s="1" t="n">
        <v>46104</v>
      </c>
      <c r="D362" t="inlineStr">
        <is>
          <t>STOCKHOLMS LÄN</t>
        </is>
      </c>
      <c r="E362" t="inlineStr">
        <is>
          <t>NORRTÄLJE</t>
        </is>
      </c>
      <c r="G362" t="n">
        <v>3.5</v>
      </c>
      <c r="H362" t="n">
        <v>0</v>
      </c>
      <c r="I362" t="n">
        <v>0</v>
      </c>
      <c r="J362" t="n">
        <v>0</v>
      </c>
      <c r="K362" t="n">
        <v>0</v>
      </c>
      <c r="L362" t="n">
        <v>0</v>
      </c>
      <c r="M362" t="n">
        <v>0</v>
      </c>
      <c r="N362" t="n">
        <v>0</v>
      </c>
      <c r="O362" t="n">
        <v>0</v>
      </c>
      <c r="P362" t="n">
        <v>0</v>
      </c>
      <c r="Q362" t="n">
        <v>0</v>
      </c>
      <c r="R362" s="2" t="inlineStr"/>
    </row>
    <row r="363" ht="15" customHeight="1">
      <c r="A363" t="inlineStr">
        <is>
          <t>A 2281-2024</t>
        </is>
      </c>
      <c r="B363" s="1" t="n">
        <v>45310.40628472222</v>
      </c>
      <c r="C363" s="1" t="n">
        <v>46104</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58142-2025</t>
        </is>
      </c>
      <c r="B364" s="1" t="n">
        <v>45982.63791666667</v>
      </c>
      <c r="C364" s="1" t="n">
        <v>46104</v>
      </c>
      <c r="D364" t="inlineStr">
        <is>
          <t>STOCKHOLMS LÄN</t>
        </is>
      </c>
      <c r="E364" t="inlineStr">
        <is>
          <t>NORRTÄLJE</t>
        </is>
      </c>
      <c r="G364" t="n">
        <v>3.3</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46104</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57953-2025</t>
        </is>
      </c>
      <c r="B366" s="1" t="n">
        <v>45982.35016203704</v>
      </c>
      <c r="C366" s="1" t="n">
        <v>46104</v>
      </c>
      <c r="D366" t="inlineStr">
        <is>
          <t>STOCKHOLMS LÄN</t>
        </is>
      </c>
      <c r="E366" t="inlineStr">
        <is>
          <t>NORRTÄLJE</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39692-2025</t>
        </is>
      </c>
      <c r="B367" s="1" t="n">
        <v>45890.68083333333</v>
      </c>
      <c r="C367" s="1" t="n">
        <v>46104</v>
      </c>
      <c r="D367" t="inlineStr">
        <is>
          <t>STOCKHOLMS LÄN</t>
        </is>
      </c>
      <c r="E367" t="inlineStr">
        <is>
          <t>NORRTÄLJE</t>
        </is>
      </c>
      <c r="G367" t="n">
        <v>10.5</v>
      </c>
      <c r="H367" t="n">
        <v>0</v>
      </c>
      <c r="I367" t="n">
        <v>0</v>
      </c>
      <c r="J367" t="n">
        <v>0</v>
      </c>
      <c r="K367" t="n">
        <v>0</v>
      </c>
      <c r="L367" t="n">
        <v>0</v>
      </c>
      <c r="M367" t="n">
        <v>0</v>
      </c>
      <c r="N367" t="n">
        <v>0</v>
      </c>
      <c r="O367" t="n">
        <v>0</v>
      </c>
      <c r="P367" t="n">
        <v>0</v>
      </c>
      <c r="Q367" t="n">
        <v>0</v>
      </c>
      <c r="R367" s="2" t="inlineStr"/>
    </row>
    <row r="368" ht="15" customHeight="1">
      <c r="A368" t="inlineStr">
        <is>
          <t>A 58939-2025</t>
        </is>
      </c>
      <c r="B368" s="1" t="n">
        <v>45987.5681712963</v>
      </c>
      <c r="C368" s="1" t="n">
        <v>46104</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39213-2022</t>
        </is>
      </c>
      <c r="B369" s="1" t="n">
        <v>44817.56120370371</v>
      </c>
      <c r="C369" s="1" t="n">
        <v>46104</v>
      </c>
      <c r="D369" t="inlineStr">
        <is>
          <t>STOCKHOLMS LÄN</t>
        </is>
      </c>
      <c r="E369" t="inlineStr">
        <is>
          <t>NORRTÄLJE</t>
        </is>
      </c>
      <c r="G369" t="n">
        <v>3.4</v>
      </c>
      <c r="H369" t="n">
        <v>0</v>
      </c>
      <c r="I369" t="n">
        <v>0</v>
      </c>
      <c r="J369" t="n">
        <v>0</v>
      </c>
      <c r="K369" t="n">
        <v>0</v>
      </c>
      <c r="L369" t="n">
        <v>0</v>
      </c>
      <c r="M369" t="n">
        <v>0</v>
      </c>
      <c r="N369" t="n">
        <v>0</v>
      </c>
      <c r="O369" t="n">
        <v>0</v>
      </c>
      <c r="P369" t="n">
        <v>0</v>
      </c>
      <c r="Q369" t="n">
        <v>0</v>
      </c>
      <c r="R369" s="2" t="inlineStr"/>
    </row>
    <row r="370" ht="15" customHeight="1">
      <c r="A370" t="inlineStr">
        <is>
          <t>A 35639-2025</t>
        </is>
      </c>
      <c r="B370" s="1" t="n">
        <v>45859</v>
      </c>
      <c r="C370" s="1" t="n">
        <v>46104</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46104</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51325-2023</t>
        </is>
      </c>
      <c r="B372" s="1" t="n">
        <v>45219</v>
      </c>
      <c r="C372" s="1" t="n">
        <v>46104</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35636-2025</t>
        </is>
      </c>
      <c r="B373" s="1" t="n">
        <v>45859</v>
      </c>
      <c r="C373" s="1" t="n">
        <v>46104</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59534-2024</t>
        </is>
      </c>
      <c r="B374" s="1" t="n">
        <v>45638.5987037037</v>
      </c>
      <c r="C374" s="1" t="n">
        <v>46104</v>
      </c>
      <c r="D374" t="inlineStr">
        <is>
          <t>STOCKHOLMS LÄN</t>
        </is>
      </c>
      <c r="E374" t="inlineStr">
        <is>
          <t>NORRTÄLJE</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31107-2022</t>
        </is>
      </c>
      <c r="B375" s="1" t="n">
        <v>44769.66864583334</v>
      </c>
      <c r="C375" s="1" t="n">
        <v>46104</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13860-2023</t>
        </is>
      </c>
      <c r="B376" s="1" t="n">
        <v>45007</v>
      </c>
      <c r="C376" s="1" t="n">
        <v>46104</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6855-2025</t>
        </is>
      </c>
      <c r="B377" s="1" t="n">
        <v>45700</v>
      </c>
      <c r="C377" s="1" t="n">
        <v>46104</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40172-2025</t>
        </is>
      </c>
      <c r="B378" s="1" t="n">
        <v>45894.6353125</v>
      </c>
      <c r="C378" s="1" t="n">
        <v>46104</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40033-2025</t>
        </is>
      </c>
      <c r="B379" s="1" t="n">
        <v>45893</v>
      </c>
      <c r="C379" s="1" t="n">
        <v>46104</v>
      </c>
      <c r="D379" t="inlineStr">
        <is>
          <t>STOCKHOLMS LÄN</t>
        </is>
      </c>
      <c r="E379" t="inlineStr">
        <is>
          <t>NORRTÄLJE</t>
        </is>
      </c>
      <c r="G379" t="n">
        <v>1.7</v>
      </c>
      <c r="H379" t="n">
        <v>0</v>
      </c>
      <c r="I379" t="n">
        <v>0</v>
      </c>
      <c r="J379" t="n">
        <v>0</v>
      </c>
      <c r="K379" t="n">
        <v>0</v>
      </c>
      <c r="L379" t="n">
        <v>0</v>
      </c>
      <c r="M379" t="n">
        <v>0</v>
      </c>
      <c r="N379" t="n">
        <v>0</v>
      </c>
      <c r="O379" t="n">
        <v>0</v>
      </c>
      <c r="P379" t="n">
        <v>0</v>
      </c>
      <c r="Q379" t="n">
        <v>0</v>
      </c>
      <c r="R379" s="2" t="inlineStr"/>
    </row>
    <row r="380" ht="15" customHeight="1">
      <c r="A380" t="inlineStr">
        <is>
          <t>A 40032-2025</t>
        </is>
      </c>
      <c r="B380" s="1" t="n">
        <v>45893</v>
      </c>
      <c r="C380" s="1" t="n">
        <v>46104</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40292-2025</t>
        </is>
      </c>
      <c r="B381" s="1" t="n">
        <v>45895.3867824074</v>
      </c>
      <c r="C381" s="1" t="n">
        <v>46104</v>
      </c>
      <c r="D381" t="inlineStr">
        <is>
          <t>STOCKHOLMS LÄN</t>
        </is>
      </c>
      <c r="E381" t="inlineStr">
        <is>
          <t>NORRTÄLJE</t>
        </is>
      </c>
      <c r="G381" t="n">
        <v>3.5</v>
      </c>
      <c r="H381" t="n">
        <v>0</v>
      </c>
      <c r="I381" t="n">
        <v>0</v>
      </c>
      <c r="J381" t="n">
        <v>0</v>
      </c>
      <c r="K381" t="n">
        <v>0</v>
      </c>
      <c r="L381" t="n">
        <v>0</v>
      </c>
      <c r="M381" t="n">
        <v>0</v>
      </c>
      <c r="N381" t="n">
        <v>0</v>
      </c>
      <c r="O381" t="n">
        <v>0</v>
      </c>
      <c r="P381" t="n">
        <v>0</v>
      </c>
      <c r="Q381" t="n">
        <v>0</v>
      </c>
      <c r="R381" s="2" t="inlineStr"/>
    </row>
    <row r="382" ht="15" customHeight="1">
      <c r="A382" t="inlineStr">
        <is>
          <t>A 40294-2025</t>
        </is>
      </c>
      <c r="B382" s="1" t="n">
        <v>45895.38778935185</v>
      </c>
      <c r="C382" s="1" t="n">
        <v>46104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13314-2025</t>
        </is>
      </c>
      <c r="B383" s="1" t="n">
        <v>45735.59287037037</v>
      </c>
      <c r="C383" s="1" t="n">
        <v>46104</v>
      </c>
      <c r="D383" t="inlineStr">
        <is>
          <t>STOCKHOLMS LÄN</t>
        </is>
      </c>
      <c r="E383" t="inlineStr">
        <is>
          <t>NORRTÄLJE</t>
        </is>
      </c>
      <c r="G383" t="n">
        <v>2.4</v>
      </c>
      <c r="H383" t="n">
        <v>0</v>
      </c>
      <c r="I383" t="n">
        <v>0</v>
      </c>
      <c r="J383" t="n">
        <v>0</v>
      </c>
      <c r="K383" t="n">
        <v>0</v>
      </c>
      <c r="L383" t="n">
        <v>0</v>
      </c>
      <c r="M383" t="n">
        <v>0</v>
      </c>
      <c r="N383" t="n">
        <v>0</v>
      </c>
      <c r="O383" t="n">
        <v>0</v>
      </c>
      <c r="P383" t="n">
        <v>0</v>
      </c>
      <c r="Q383" t="n">
        <v>0</v>
      </c>
      <c r="R383" s="2" t="inlineStr"/>
    </row>
    <row r="384" ht="15" customHeight="1">
      <c r="A384" t="inlineStr">
        <is>
          <t>A 40228-2025</t>
        </is>
      </c>
      <c r="B384" s="1" t="n">
        <v>45894.70854166667</v>
      </c>
      <c r="C384" s="1" t="n">
        <v>46104</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34432-2021</t>
        </is>
      </c>
      <c r="B385" s="1" t="n">
        <v>44380.77346064815</v>
      </c>
      <c r="C385" s="1" t="n">
        <v>46104</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40230-2025</t>
        </is>
      </c>
      <c r="B386" s="1" t="n">
        <v>45894.71101851852</v>
      </c>
      <c r="C386" s="1" t="n">
        <v>46104</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40217-2025</t>
        </is>
      </c>
      <c r="B387" s="1" t="n">
        <v>45894.68864583333</v>
      </c>
      <c r="C387" s="1" t="n">
        <v>46104</v>
      </c>
      <c r="D387" t="inlineStr">
        <is>
          <t>STOCKHOLMS LÄN</t>
        </is>
      </c>
      <c r="E387" t="inlineStr">
        <is>
          <t>NORRTÄLJE</t>
        </is>
      </c>
      <c r="G387" t="n">
        <v>0.8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46104</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40829-2025</t>
        </is>
      </c>
      <c r="B389" s="1" t="n">
        <v>45897.50802083333</v>
      </c>
      <c r="C389" s="1" t="n">
        <v>46104</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40837-2025</t>
        </is>
      </c>
      <c r="B390" s="1" t="n">
        <v>45897.51328703704</v>
      </c>
      <c r="C390" s="1" t="n">
        <v>46104</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40529-2025</t>
        </is>
      </c>
      <c r="B391" s="1" t="n">
        <v>45896.38466435186</v>
      </c>
      <c r="C391" s="1" t="n">
        <v>46104</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40831-2025</t>
        </is>
      </c>
      <c r="B392" s="1" t="n">
        <v>45897.51077546296</v>
      </c>
      <c r="C392" s="1" t="n">
        <v>46104</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59041-2025</t>
        </is>
      </c>
      <c r="B393" s="1" t="n">
        <v>45988</v>
      </c>
      <c r="C393" s="1" t="n">
        <v>46104</v>
      </c>
      <c r="D393" t="inlineStr">
        <is>
          <t>STOCKHOLMS LÄN</t>
        </is>
      </c>
      <c r="E393" t="inlineStr">
        <is>
          <t>NORRTÄLJE</t>
        </is>
      </c>
      <c r="G393" t="n">
        <v>6.6</v>
      </c>
      <c r="H393" t="n">
        <v>0</v>
      </c>
      <c r="I393" t="n">
        <v>0</v>
      </c>
      <c r="J393" t="n">
        <v>0</v>
      </c>
      <c r="K393" t="n">
        <v>0</v>
      </c>
      <c r="L393" t="n">
        <v>0</v>
      </c>
      <c r="M393" t="n">
        <v>0</v>
      </c>
      <c r="N393" t="n">
        <v>0</v>
      </c>
      <c r="O393" t="n">
        <v>0</v>
      </c>
      <c r="P393" t="n">
        <v>0</v>
      </c>
      <c r="Q393" t="n">
        <v>0</v>
      </c>
      <c r="R393" s="2" t="inlineStr"/>
    </row>
    <row r="394" ht="15" customHeight="1">
      <c r="A394" t="inlineStr">
        <is>
          <t>A 59914-2025</t>
        </is>
      </c>
      <c r="B394" s="1" t="n">
        <v>45993.37056712963</v>
      </c>
      <c r="C394" s="1" t="n">
        <v>46104</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59672-2025</t>
        </is>
      </c>
      <c r="B395" s="1" t="n">
        <v>45992.45884259259</v>
      </c>
      <c r="C395" s="1" t="n">
        <v>46104</v>
      </c>
      <c r="D395" t="inlineStr">
        <is>
          <t>STOCKHOLMS LÄN</t>
        </is>
      </c>
      <c r="E395" t="inlineStr">
        <is>
          <t>NORRTÄLJE</t>
        </is>
      </c>
      <c r="G395" t="n">
        <v>4</v>
      </c>
      <c r="H395" t="n">
        <v>0</v>
      </c>
      <c r="I395" t="n">
        <v>0</v>
      </c>
      <c r="J395" t="n">
        <v>0</v>
      </c>
      <c r="K395" t="n">
        <v>0</v>
      </c>
      <c r="L395" t="n">
        <v>0</v>
      </c>
      <c r="M395" t="n">
        <v>0</v>
      </c>
      <c r="N395" t="n">
        <v>0</v>
      </c>
      <c r="O395" t="n">
        <v>0</v>
      </c>
      <c r="P395" t="n">
        <v>0</v>
      </c>
      <c r="Q395" t="n">
        <v>0</v>
      </c>
      <c r="R395" s="2" t="inlineStr"/>
    </row>
    <row r="396" ht="15" customHeight="1">
      <c r="A396" t="inlineStr">
        <is>
          <t>A 23149-2024</t>
        </is>
      </c>
      <c r="B396" s="1" t="n">
        <v>45450.64208333333</v>
      </c>
      <c r="C396" s="1" t="n">
        <v>46104</v>
      </c>
      <c r="D396" t="inlineStr">
        <is>
          <t>STOCKHOLMS LÄN</t>
        </is>
      </c>
      <c r="E396" t="inlineStr">
        <is>
          <t>NORRTÄLJE</t>
        </is>
      </c>
      <c r="F396" t="inlineStr">
        <is>
          <t>Kommuner</t>
        </is>
      </c>
      <c r="G396" t="n">
        <v>1.3</v>
      </c>
      <c r="H396" t="n">
        <v>0</v>
      </c>
      <c r="I396" t="n">
        <v>0</v>
      </c>
      <c r="J396" t="n">
        <v>0</v>
      </c>
      <c r="K396" t="n">
        <v>0</v>
      </c>
      <c r="L396" t="n">
        <v>0</v>
      </c>
      <c r="M396" t="n">
        <v>0</v>
      </c>
      <c r="N396" t="n">
        <v>0</v>
      </c>
      <c r="O396" t="n">
        <v>0</v>
      </c>
      <c r="P396" t="n">
        <v>0</v>
      </c>
      <c r="Q396" t="n">
        <v>0</v>
      </c>
      <c r="R396" s="2" t="inlineStr"/>
    </row>
    <row r="397" ht="15" customHeight="1">
      <c r="A397" t="inlineStr">
        <is>
          <t>A 23151-2024</t>
        </is>
      </c>
      <c r="B397" s="1" t="n">
        <v>45450</v>
      </c>
      <c r="C397" s="1" t="n">
        <v>46104</v>
      </c>
      <c r="D397" t="inlineStr">
        <is>
          <t>STOCKHOLMS LÄN</t>
        </is>
      </c>
      <c r="E397" t="inlineStr">
        <is>
          <t>NORRTÄLJE</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57788-2025</t>
        </is>
      </c>
      <c r="B398" s="1" t="n">
        <v>45981.5778125</v>
      </c>
      <c r="C398" s="1" t="n">
        <v>46104</v>
      </c>
      <c r="D398" t="inlineStr">
        <is>
          <t>STOCKHOLMS LÄN</t>
        </is>
      </c>
      <c r="E398" t="inlineStr">
        <is>
          <t>NORRTÄLJE</t>
        </is>
      </c>
      <c r="G398" t="n">
        <v>1.6</v>
      </c>
      <c r="H398" t="n">
        <v>0</v>
      </c>
      <c r="I398" t="n">
        <v>0</v>
      </c>
      <c r="J398" t="n">
        <v>0</v>
      </c>
      <c r="K398" t="n">
        <v>0</v>
      </c>
      <c r="L398" t="n">
        <v>0</v>
      </c>
      <c r="M398" t="n">
        <v>0</v>
      </c>
      <c r="N398" t="n">
        <v>0</v>
      </c>
      <c r="O398" t="n">
        <v>0</v>
      </c>
      <c r="P398" t="n">
        <v>0</v>
      </c>
      <c r="Q398" t="n">
        <v>0</v>
      </c>
      <c r="R398" s="2" t="inlineStr"/>
    </row>
    <row r="399" ht="15" customHeight="1">
      <c r="A399" t="inlineStr">
        <is>
          <t>A 59907-2025</t>
        </is>
      </c>
      <c r="B399" s="1" t="n">
        <v>45993.35350694445</v>
      </c>
      <c r="C399" s="1" t="n">
        <v>46104</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41158-2025</t>
        </is>
      </c>
      <c r="B400" s="1" t="n">
        <v>45898.5315625</v>
      </c>
      <c r="C400" s="1" t="n">
        <v>46104</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15733-2025</t>
        </is>
      </c>
      <c r="B401" s="1" t="n">
        <v>45748</v>
      </c>
      <c r="C401" s="1" t="n">
        <v>46104</v>
      </c>
      <c r="D401" t="inlineStr">
        <is>
          <t>STOCKHOLMS LÄN</t>
        </is>
      </c>
      <c r="E401" t="inlineStr">
        <is>
          <t>NORRTÄLJE</t>
        </is>
      </c>
      <c r="G401" t="n">
        <v>13.3</v>
      </c>
      <c r="H401" t="n">
        <v>0</v>
      </c>
      <c r="I401" t="n">
        <v>0</v>
      </c>
      <c r="J401" t="n">
        <v>0</v>
      </c>
      <c r="K401" t="n">
        <v>0</v>
      </c>
      <c r="L401" t="n">
        <v>0</v>
      </c>
      <c r="M401" t="n">
        <v>0</v>
      </c>
      <c r="N401" t="n">
        <v>0</v>
      </c>
      <c r="O401" t="n">
        <v>0</v>
      </c>
      <c r="P401" t="n">
        <v>0</v>
      </c>
      <c r="Q401" t="n">
        <v>0</v>
      </c>
      <c r="R401" s="2" t="inlineStr"/>
    </row>
    <row r="402" ht="15" customHeight="1">
      <c r="A402" t="inlineStr">
        <is>
          <t>A 52001-2023</t>
        </is>
      </c>
      <c r="B402" s="1" t="n">
        <v>45223</v>
      </c>
      <c r="C402" s="1" t="n">
        <v>46104</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46104</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60185-2024</t>
        </is>
      </c>
      <c r="B404" s="1" t="n">
        <v>45642.64634259259</v>
      </c>
      <c r="C404" s="1" t="n">
        <v>46104</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41053-2025</t>
        </is>
      </c>
      <c r="B405" s="1" t="n">
        <v>45898.40480324074</v>
      </c>
      <c r="C405" s="1" t="n">
        <v>46104</v>
      </c>
      <c r="D405" t="inlineStr">
        <is>
          <t>STOCKHOLMS LÄN</t>
        </is>
      </c>
      <c r="E405" t="inlineStr">
        <is>
          <t>NORRTÄLJE</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41275-2025</t>
        </is>
      </c>
      <c r="B406" s="1" t="n">
        <v>45898.62625</v>
      </c>
      <c r="C406" s="1" t="n">
        <v>46104</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48686-2023</t>
        </is>
      </c>
      <c r="B407" s="1" t="n">
        <v>45208</v>
      </c>
      <c r="C407" s="1" t="n">
        <v>46104</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48691-2023</t>
        </is>
      </c>
      <c r="B408" s="1" t="n">
        <v>45208</v>
      </c>
      <c r="C408" s="1" t="n">
        <v>46104</v>
      </c>
      <c r="D408" t="inlineStr">
        <is>
          <t>STOCKHOLMS LÄN</t>
        </is>
      </c>
      <c r="E408" t="inlineStr">
        <is>
          <t>NORRTÄLJE</t>
        </is>
      </c>
      <c r="G408" t="n">
        <v>5.8</v>
      </c>
      <c r="H408" t="n">
        <v>0</v>
      </c>
      <c r="I408" t="n">
        <v>0</v>
      </c>
      <c r="J408" t="n">
        <v>0</v>
      </c>
      <c r="K408" t="n">
        <v>0</v>
      </c>
      <c r="L408" t="n">
        <v>0</v>
      </c>
      <c r="M408" t="n">
        <v>0</v>
      </c>
      <c r="N408" t="n">
        <v>0</v>
      </c>
      <c r="O408" t="n">
        <v>0</v>
      </c>
      <c r="P408" t="n">
        <v>0</v>
      </c>
      <c r="Q408" t="n">
        <v>0</v>
      </c>
      <c r="R408" s="2" t="inlineStr"/>
    </row>
    <row r="409" ht="15" customHeight="1">
      <c r="A409" t="inlineStr">
        <is>
          <t>A 41272-2025</t>
        </is>
      </c>
      <c r="B409" s="1" t="n">
        <v>45898.62373842593</v>
      </c>
      <c r="C409" s="1" t="n">
        <v>46104</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59924-2025</t>
        </is>
      </c>
      <c r="B410" s="1" t="n">
        <v>45993.38928240741</v>
      </c>
      <c r="C410" s="1" t="n">
        <v>46104</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41301-2025</t>
        </is>
      </c>
      <c r="B411" s="1" t="n">
        <v>45898.68826388889</v>
      </c>
      <c r="C411" s="1" t="n">
        <v>46104</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60253-2025</t>
        </is>
      </c>
      <c r="B412" s="1" t="n">
        <v>45994.59827546297</v>
      </c>
      <c r="C412" s="1" t="n">
        <v>46104</v>
      </c>
      <c r="D412" t="inlineStr">
        <is>
          <t>STOCKHOLMS LÄN</t>
        </is>
      </c>
      <c r="E412" t="inlineStr">
        <is>
          <t>NORRTÄLJE</t>
        </is>
      </c>
      <c r="F412" t="inlineStr">
        <is>
          <t>Holmen skog AB</t>
        </is>
      </c>
      <c r="G412" t="n">
        <v>3.6</v>
      </c>
      <c r="H412" t="n">
        <v>0</v>
      </c>
      <c r="I412" t="n">
        <v>0</v>
      </c>
      <c r="J412" t="n">
        <v>0</v>
      </c>
      <c r="K412" t="n">
        <v>0</v>
      </c>
      <c r="L412" t="n">
        <v>0</v>
      </c>
      <c r="M412" t="n">
        <v>0</v>
      </c>
      <c r="N412" t="n">
        <v>0</v>
      </c>
      <c r="O412" t="n">
        <v>0</v>
      </c>
      <c r="P412" t="n">
        <v>0</v>
      </c>
      <c r="Q412" t="n">
        <v>0</v>
      </c>
      <c r="R412" s="2" t="inlineStr"/>
    </row>
    <row r="413" ht="15" customHeight="1">
      <c r="A413" t="inlineStr">
        <is>
          <t>A 41174-2025</t>
        </is>
      </c>
      <c r="B413" s="1" t="n">
        <v>45898.54921296296</v>
      </c>
      <c r="C413" s="1" t="n">
        <v>46104</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46104</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21726-2022</t>
        </is>
      </c>
      <c r="B415" s="1" t="n">
        <v>44708</v>
      </c>
      <c r="C415" s="1" t="n">
        <v>46104</v>
      </c>
      <c r="D415" t="inlineStr">
        <is>
          <t>STOCKHOLMS LÄN</t>
        </is>
      </c>
      <c r="E415" t="inlineStr">
        <is>
          <t>NORRTÄLJE</t>
        </is>
      </c>
      <c r="G415" t="n">
        <v>0.2</v>
      </c>
      <c r="H415" t="n">
        <v>0</v>
      </c>
      <c r="I415" t="n">
        <v>0</v>
      </c>
      <c r="J415" t="n">
        <v>0</v>
      </c>
      <c r="K415" t="n">
        <v>0</v>
      </c>
      <c r="L415" t="n">
        <v>0</v>
      </c>
      <c r="M415" t="n">
        <v>0</v>
      </c>
      <c r="N415" t="n">
        <v>0</v>
      </c>
      <c r="O415" t="n">
        <v>0</v>
      </c>
      <c r="P415" t="n">
        <v>0</v>
      </c>
      <c r="Q415" t="n">
        <v>0</v>
      </c>
      <c r="R415" s="2" t="inlineStr"/>
    </row>
    <row r="416" ht="15" customHeight="1">
      <c r="A416" t="inlineStr">
        <is>
          <t>A 21739-2022</t>
        </is>
      </c>
      <c r="B416" s="1" t="n">
        <v>44708.36708333333</v>
      </c>
      <c r="C416" s="1" t="n">
        <v>46104</v>
      </c>
      <c r="D416" t="inlineStr">
        <is>
          <t>STOCKHOLMS LÄN</t>
        </is>
      </c>
      <c r="E416" t="inlineStr">
        <is>
          <t>NORRTÄLJE</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41036-2025</t>
        </is>
      </c>
      <c r="B417" s="1" t="n">
        <v>45898.38552083333</v>
      </c>
      <c r="C417" s="1" t="n">
        <v>46104</v>
      </c>
      <c r="D417" t="inlineStr">
        <is>
          <t>STOCKHOLMS LÄN</t>
        </is>
      </c>
      <c r="E417" t="inlineStr">
        <is>
          <t>NORRTÄLJE</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41106-2025</t>
        </is>
      </c>
      <c r="B418" s="1" t="n">
        <v>45898.45636574074</v>
      </c>
      <c r="C418" s="1" t="n">
        <v>46104</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60214-2025</t>
        </is>
      </c>
      <c r="B419" s="1" t="n">
        <v>45994.53761574074</v>
      </c>
      <c r="C419" s="1" t="n">
        <v>46104</v>
      </c>
      <c r="D419" t="inlineStr">
        <is>
          <t>STOCKHOLMS LÄN</t>
        </is>
      </c>
      <c r="E419" t="inlineStr">
        <is>
          <t>NORRTÄLJE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41110-2025</t>
        </is>
      </c>
      <c r="B420" s="1" t="n">
        <v>45898.45976851852</v>
      </c>
      <c r="C420" s="1" t="n">
        <v>46104</v>
      </c>
      <c r="D420" t="inlineStr">
        <is>
          <t>STOCKHOLMS LÄN</t>
        </is>
      </c>
      <c r="E420" t="inlineStr">
        <is>
          <t>NORRTÄLJE</t>
        </is>
      </c>
      <c r="F420" t="inlineStr">
        <is>
          <t>Holmen skog AB</t>
        </is>
      </c>
      <c r="G420" t="n">
        <v>6.7</v>
      </c>
      <c r="H420" t="n">
        <v>0</v>
      </c>
      <c r="I420" t="n">
        <v>0</v>
      </c>
      <c r="J420" t="n">
        <v>0</v>
      </c>
      <c r="K420" t="n">
        <v>0</v>
      </c>
      <c r="L420" t="n">
        <v>0</v>
      </c>
      <c r="M420" t="n">
        <v>0</v>
      </c>
      <c r="N420" t="n">
        <v>0</v>
      </c>
      <c r="O420" t="n">
        <v>0</v>
      </c>
      <c r="P420" t="n">
        <v>0</v>
      </c>
      <c r="Q420" t="n">
        <v>0</v>
      </c>
      <c r="R420" s="2" t="inlineStr"/>
    </row>
    <row r="421" ht="15" customHeight="1">
      <c r="A421" t="inlineStr">
        <is>
          <t>A 35210-2023</t>
        </is>
      </c>
      <c r="B421" s="1" t="n">
        <v>45145.63584490741</v>
      </c>
      <c r="C421" s="1" t="n">
        <v>46104</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41259-2025</t>
        </is>
      </c>
      <c r="B422" s="1" t="n">
        <v>45898.61054398148</v>
      </c>
      <c r="C422" s="1" t="n">
        <v>46104</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10511-2025</t>
        </is>
      </c>
      <c r="B423" s="1" t="n">
        <v>45721.40780092592</v>
      </c>
      <c r="C423" s="1" t="n">
        <v>46104</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59767-2022</t>
        </is>
      </c>
      <c r="B424" s="1" t="n">
        <v>44900</v>
      </c>
      <c r="C424" s="1" t="n">
        <v>46104</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60223-2025</t>
        </is>
      </c>
      <c r="B425" s="1" t="n">
        <v>45994.54497685185</v>
      </c>
      <c r="C425" s="1" t="n">
        <v>46104</v>
      </c>
      <c r="D425" t="inlineStr">
        <is>
          <t>STOCKHOLMS LÄN</t>
        </is>
      </c>
      <c r="E425" t="inlineStr">
        <is>
          <t>NORRTÄLJE</t>
        </is>
      </c>
      <c r="G425" t="n">
        <v>2.4</v>
      </c>
      <c r="H425" t="n">
        <v>0</v>
      </c>
      <c r="I425" t="n">
        <v>0</v>
      </c>
      <c r="J425" t="n">
        <v>0</v>
      </c>
      <c r="K425" t="n">
        <v>0</v>
      </c>
      <c r="L425" t="n">
        <v>0</v>
      </c>
      <c r="M425" t="n">
        <v>0</v>
      </c>
      <c r="N425" t="n">
        <v>0</v>
      </c>
      <c r="O425" t="n">
        <v>0</v>
      </c>
      <c r="P425" t="n">
        <v>0</v>
      </c>
      <c r="Q425" t="n">
        <v>0</v>
      </c>
      <c r="R425" s="2" t="inlineStr"/>
    </row>
    <row r="426" ht="15" customHeight="1">
      <c r="A426" t="inlineStr">
        <is>
          <t>A 19057-2024</t>
        </is>
      </c>
      <c r="B426" s="1" t="n">
        <v>45427.88731481481</v>
      </c>
      <c r="C426" s="1" t="n">
        <v>46104</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5823-2023</t>
        </is>
      </c>
      <c r="B427" s="1" t="n">
        <v>44963</v>
      </c>
      <c r="C427" s="1" t="n">
        <v>46104</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19915-2024</t>
        </is>
      </c>
      <c r="B428" s="1" t="n">
        <v>45433.58431712963</v>
      </c>
      <c r="C428" s="1" t="n">
        <v>46104</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15217-2023</t>
        </is>
      </c>
      <c r="B429" s="1" t="n">
        <v>45019.28847222222</v>
      </c>
      <c r="C429" s="1" t="n">
        <v>46104</v>
      </c>
      <c r="D429" t="inlineStr">
        <is>
          <t>STOCKHOLMS LÄN</t>
        </is>
      </c>
      <c r="E429" t="inlineStr">
        <is>
          <t>NORRTÄLJE</t>
        </is>
      </c>
      <c r="G429" t="n">
        <v>3.6</v>
      </c>
      <c r="H429" t="n">
        <v>0</v>
      </c>
      <c r="I429" t="n">
        <v>0</v>
      </c>
      <c r="J429" t="n">
        <v>0</v>
      </c>
      <c r="K429" t="n">
        <v>0</v>
      </c>
      <c r="L429" t="n">
        <v>0</v>
      </c>
      <c r="M429" t="n">
        <v>0</v>
      </c>
      <c r="N429" t="n">
        <v>0</v>
      </c>
      <c r="O429" t="n">
        <v>0</v>
      </c>
      <c r="P429" t="n">
        <v>0</v>
      </c>
      <c r="Q429" t="n">
        <v>0</v>
      </c>
      <c r="R429" s="2" t="inlineStr"/>
    </row>
    <row r="430" ht="15" customHeight="1">
      <c r="A430" t="inlineStr">
        <is>
          <t>A 60745-2025</t>
        </is>
      </c>
      <c r="B430" s="1" t="n">
        <v>45999.37753472223</v>
      </c>
      <c r="C430" s="1" t="n">
        <v>46104</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60649-2025</t>
        </is>
      </c>
      <c r="B431" s="1" t="n">
        <v>45996.4560300926</v>
      </c>
      <c r="C431" s="1" t="n">
        <v>46104</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41966-2025</t>
        </is>
      </c>
      <c r="B432" s="1" t="n">
        <v>45903.47456018518</v>
      </c>
      <c r="C432" s="1" t="n">
        <v>46104</v>
      </c>
      <c r="D432" t="inlineStr">
        <is>
          <t>STOCKHOLMS LÄN</t>
        </is>
      </c>
      <c r="E432" t="inlineStr">
        <is>
          <t>NORRTÄLJE</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50143-2023</t>
        </is>
      </c>
      <c r="B433" s="1" t="n">
        <v>45215</v>
      </c>
      <c r="C433" s="1" t="n">
        <v>46104</v>
      </c>
      <c r="D433" t="inlineStr">
        <is>
          <t>STOCKHOLMS LÄN</t>
        </is>
      </c>
      <c r="E433" t="inlineStr">
        <is>
          <t>NORRTÄLJE</t>
        </is>
      </c>
      <c r="G433" t="n">
        <v>10.3</v>
      </c>
      <c r="H433" t="n">
        <v>0</v>
      </c>
      <c r="I433" t="n">
        <v>0</v>
      </c>
      <c r="J433" t="n">
        <v>0</v>
      </c>
      <c r="K433" t="n">
        <v>0</v>
      </c>
      <c r="L433" t="n">
        <v>0</v>
      </c>
      <c r="M433" t="n">
        <v>0</v>
      </c>
      <c r="N433" t="n">
        <v>0</v>
      </c>
      <c r="O433" t="n">
        <v>0</v>
      </c>
      <c r="P433" t="n">
        <v>0</v>
      </c>
      <c r="Q433" t="n">
        <v>0</v>
      </c>
      <c r="R433" s="2" t="inlineStr"/>
    </row>
    <row r="434" ht="15" customHeight="1">
      <c r="A434" t="inlineStr">
        <is>
          <t>A 60948-2025</t>
        </is>
      </c>
      <c r="B434" s="1" t="n">
        <v>45999.650625</v>
      </c>
      <c r="C434" s="1" t="n">
        <v>46104</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42038-2025</t>
        </is>
      </c>
      <c r="B435" s="1" t="n">
        <v>45903.61431712963</v>
      </c>
      <c r="C435" s="1" t="n">
        <v>46104</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29176-2024</t>
        </is>
      </c>
      <c r="B436" s="1" t="n">
        <v>45482.53388888889</v>
      </c>
      <c r="C436" s="1" t="n">
        <v>46104</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36430-2024</t>
        </is>
      </c>
      <c r="B437" s="1" t="n">
        <v>45536</v>
      </c>
      <c r="C437" s="1" t="n">
        <v>46104</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60928-2025</t>
        </is>
      </c>
      <c r="B438" s="1" t="n">
        <v>45999.633125</v>
      </c>
      <c r="C438" s="1" t="n">
        <v>46104</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51312-2023</t>
        </is>
      </c>
      <c r="B439" s="1" t="n">
        <v>45219.56697916667</v>
      </c>
      <c r="C439" s="1" t="n">
        <v>46104</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35640-2024</t>
        </is>
      </c>
      <c r="B440" s="1" t="n">
        <v>45531</v>
      </c>
      <c r="C440" s="1" t="n">
        <v>46104</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41964-2025</t>
        </is>
      </c>
      <c r="B441" s="1" t="n">
        <v>45903.47270833333</v>
      </c>
      <c r="C441" s="1" t="n">
        <v>46104</v>
      </c>
      <c r="D441" t="inlineStr">
        <is>
          <t>STOCKHOLMS LÄN</t>
        </is>
      </c>
      <c r="E441" t="inlineStr">
        <is>
          <t>NORRTÄLJE</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61160-2025</t>
        </is>
      </c>
      <c r="B442" s="1" t="n">
        <v>46000.55262731481</v>
      </c>
      <c r="C442" s="1" t="n">
        <v>46104</v>
      </c>
      <c r="D442" t="inlineStr">
        <is>
          <t>STOCKHOLMS LÄN</t>
        </is>
      </c>
      <c r="E442" t="inlineStr">
        <is>
          <t>NORRTÄLJE</t>
        </is>
      </c>
      <c r="G442" t="n">
        <v>5.3</v>
      </c>
      <c r="H442" t="n">
        <v>0</v>
      </c>
      <c r="I442" t="n">
        <v>0</v>
      </c>
      <c r="J442" t="n">
        <v>0</v>
      </c>
      <c r="K442" t="n">
        <v>0</v>
      </c>
      <c r="L442" t="n">
        <v>0</v>
      </c>
      <c r="M442" t="n">
        <v>0</v>
      </c>
      <c r="N442" t="n">
        <v>0</v>
      </c>
      <c r="O442" t="n">
        <v>0</v>
      </c>
      <c r="P442" t="n">
        <v>0</v>
      </c>
      <c r="Q442" t="n">
        <v>0</v>
      </c>
      <c r="R442" s="2" t="inlineStr"/>
    </row>
    <row r="443" ht="15" customHeight="1">
      <c r="A443" t="inlineStr">
        <is>
          <t>A 43212-2022</t>
        </is>
      </c>
      <c r="B443" s="1" t="n">
        <v>44834.38636574074</v>
      </c>
      <c r="C443" s="1" t="n">
        <v>46104</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51653-2022</t>
        </is>
      </c>
      <c r="B444" s="1" t="n">
        <v>44867</v>
      </c>
      <c r="C444" s="1" t="n">
        <v>46104</v>
      </c>
      <c r="D444" t="inlineStr">
        <is>
          <t>STOCKHOLMS LÄN</t>
        </is>
      </c>
      <c r="E444" t="inlineStr">
        <is>
          <t>NORRTÄLJE</t>
        </is>
      </c>
      <c r="G444" t="n">
        <v>6.6</v>
      </c>
      <c r="H444" t="n">
        <v>0</v>
      </c>
      <c r="I444" t="n">
        <v>0</v>
      </c>
      <c r="J444" t="n">
        <v>0</v>
      </c>
      <c r="K444" t="n">
        <v>0</v>
      </c>
      <c r="L444" t="n">
        <v>0</v>
      </c>
      <c r="M444" t="n">
        <v>0</v>
      </c>
      <c r="N444" t="n">
        <v>0</v>
      </c>
      <c r="O444" t="n">
        <v>0</v>
      </c>
      <c r="P444" t="n">
        <v>0</v>
      </c>
      <c r="Q444" t="n">
        <v>0</v>
      </c>
      <c r="R444" s="2" t="inlineStr"/>
    </row>
    <row r="445" ht="15" customHeight="1">
      <c r="A445" t="inlineStr">
        <is>
          <t>A 61419-2025</t>
        </is>
      </c>
      <c r="B445" s="1" t="n">
        <v>46001.54137731482</v>
      </c>
      <c r="C445" s="1" t="n">
        <v>46104</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61430-2025</t>
        </is>
      </c>
      <c r="B446" s="1" t="n">
        <v>46001.55583333333</v>
      </c>
      <c r="C446" s="1" t="n">
        <v>46104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46104</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46104</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30699-2025</t>
        </is>
      </c>
      <c r="B449" s="1" t="n">
        <v>45831.54618055555</v>
      </c>
      <c r="C449" s="1" t="n">
        <v>46104</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46104</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46104</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20011-2025</t>
        </is>
      </c>
      <c r="B452" s="1" t="n">
        <v>45772.29622685185</v>
      </c>
      <c r="C452" s="1" t="n">
        <v>46104</v>
      </c>
      <c r="D452" t="inlineStr">
        <is>
          <t>STOCKHOLMS LÄN</t>
        </is>
      </c>
      <c r="E452" t="inlineStr">
        <is>
          <t>NORRTÄLJE</t>
        </is>
      </c>
      <c r="G452" t="n">
        <v>3.5</v>
      </c>
      <c r="H452" t="n">
        <v>0</v>
      </c>
      <c r="I452" t="n">
        <v>0</v>
      </c>
      <c r="J452" t="n">
        <v>0</v>
      </c>
      <c r="K452" t="n">
        <v>0</v>
      </c>
      <c r="L452" t="n">
        <v>0</v>
      </c>
      <c r="M452" t="n">
        <v>0</v>
      </c>
      <c r="N452" t="n">
        <v>0</v>
      </c>
      <c r="O452" t="n">
        <v>0</v>
      </c>
      <c r="P452" t="n">
        <v>0</v>
      </c>
      <c r="Q452" t="n">
        <v>0</v>
      </c>
      <c r="R452" s="2" t="inlineStr"/>
    </row>
    <row r="453" ht="15" customHeight="1">
      <c r="A453" t="inlineStr">
        <is>
          <t>A 33175-2024</t>
        </is>
      </c>
      <c r="B453" s="1" t="n">
        <v>45518</v>
      </c>
      <c r="C453" s="1" t="n">
        <v>46104</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42856-2025</t>
        </is>
      </c>
      <c r="B454" s="1" t="n">
        <v>45908</v>
      </c>
      <c r="C454" s="1" t="n">
        <v>46104</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38990-2022</t>
        </is>
      </c>
      <c r="B455" s="1" t="n">
        <v>44816</v>
      </c>
      <c r="C455" s="1" t="n">
        <v>46104</v>
      </c>
      <c r="D455" t="inlineStr">
        <is>
          <t>STOCKHOLMS LÄN</t>
        </is>
      </c>
      <c r="E455" t="inlineStr">
        <is>
          <t>NORRTÄLJE</t>
        </is>
      </c>
      <c r="G455" t="n">
        <v>5.7</v>
      </c>
      <c r="H455" t="n">
        <v>0</v>
      </c>
      <c r="I455" t="n">
        <v>0</v>
      </c>
      <c r="J455" t="n">
        <v>0</v>
      </c>
      <c r="K455" t="n">
        <v>0</v>
      </c>
      <c r="L455" t="n">
        <v>0</v>
      </c>
      <c r="M455" t="n">
        <v>0</v>
      </c>
      <c r="N455" t="n">
        <v>0</v>
      </c>
      <c r="O455" t="n">
        <v>0</v>
      </c>
      <c r="P455" t="n">
        <v>0</v>
      </c>
      <c r="Q455" t="n">
        <v>0</v>
      </c>
      <c r="R455" s="2" t="inlineStr"/>
    </row>
    <row r="456" ht="15" customHeight="1">
      <c r="A456" t="inlineStr">
        <is>
          <t>A 21803-2022</t>
        </is>
      </c>
      <c r="B456" s="1" t="n">
        <v>44708.67822916667</v>
      </c>
      <c r="C456" s="1" t="n">
        <v>46104</v>
      </c>
      <c r="D456" t="inlineStr">
        <is>
          <t>STOCKHOLMS LÄN</t>
        </is>
      </c>
      <c r="E456" t="inlineStr">
        <is>
          <t>NORRTÄLJE</t>
        </is>
      </c>
      <c r="G456" t="n">
        <v>1.8</v>
      </c>
      <c r="H456" t="n">
        <v>0</v>
      </c>
      <c r="I456" t="n">
        <v>0</v>
      </c>
      <c r="J456" t="n">
        <v>0</v>
      </c>
      <c r="K456" t="n">
        <v>0</v>
      </c>
      <c r="L456" t="n">
        <v>0</v>
      </c>
      <c r="M456" t="n">
        <v>0</v>
      </c>
      <c r="N456" t="n">
        <v>0</v>
      </c>
      <c r="O456" t="n">
        <v>0</v>
      </c>
      <c r="P456" t="n">
        <v>0</v>
      </c>
      <c r="Q456" t="n">
        <v>0</v>
      </c>
      <c r="R456" s="2" t="inlineStr"/>
    </row>
    <row r="457" ht="15" customHeight="1">
      <c r="A457" t="inlineStr">
        <is>
          <t>A 17956-2025</t>
        </is>
      </c>
      <c r="B457" s="1" t="n">
        <v>45760.91174768518</v>
      </c>
      <c r="C457" s="1" t="n">
        <v>46104</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20730-2024</t>
        </is>
      </c>
      <c r="B458" s="1" t="n">
        <v>45436</v>
      </c>
      <c r="C458" s="1" t="n">
        <v>46104</v>
      </c>
      <c r="D458" t="inlineStr">
        <is>
          <t>STOCKHOLMS LÄN</t>
        </is>
      </c>
      <c r="E458" t="inlineStr">
        <is>
          <t>NORRTÄLJE</t>
        </is>
      </c>
      <c r="G458" t="n">
        <v>7.3</v>
      </c>
      <c r="H458" t="n">
        <v>0</v>
      </c>
      <c r="I458" t="n">
        <v>0</v>
      </c>
      <c r="J458" t="n">
        <v>0</v>
      </c>
      <c r="K458" t="n">
        <v>0</v>
      </c>
      <c r="L458" t="n">
        <v>0</v>
      </c>
      <c r="M458" t="n">
        <v>0</v>
      </c>
      <c r="N458" t="n">
        <v>0</v>
      </c>
      <c r="O458" t="n">
        <v>0</v>
      </c>
      <c r="P458" t="n">
        <v>0</v>
      </c>
      <c r="Q458" t="n">
        <v>0</v>
      </c>
      <c r="R458" s="2" t="inlineStr"/>
    </row>
    <row r="459" ht="15" customHeight="1">
      <c r="A459" t="inlineStr">
        <is>
          <t>A 875-2023</t>
        </is>
      </c>
      <c r="B459" s="1" t="n">
        <v>44931.65626157408</v>
      </c>
      <c r="C459" s="1" t="n">
        <v>46104</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31236-2022</t>
        </is>
      </c>
      <c r="B460" s="1" t="n">
        <v>44771</v>
      </c>
      <c r="C460" s="1" t="n">
        <v>46104</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8315-2025</t>
        </is>
      </c>
      <c r="B461" s="1" t="n">
        <v>45708.61761574074</v>
      </c>
      <c r="C461" s="1" t="n">
        <v>46104</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31281-2022</t>
        </is>
      </c>
      <c r="B462" s="1" t="n">
        <v>44771</v>
      </c>
      <c r="C462" s="1" t="n">
        <v>46104</v>
      </c>
      <c r="D462" t="inlineStr">
        <is>
          <t>STOCKHOLMS LÄN</t>
        </is>
      </c>
      <c r="E462" t="inlineStr">
        <is>
          <t>NORRTÄLJE</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61452-2025</t>
        </is>
      </c>
      <c r="B463" s="1" t="n">
        <v>46001.58043981482</v>
      </c>
      <c r="C463" s="1" t="n">
        <v>46104</v>
      </c>
      <c r="D463" t="inlineStr">
        <is>
          <t>STOCKHOLMS LÄN</t>
        </is>
      </c>
      <c r="E463" t="inlineStr">
        <is>
          <t>NORRTÄLJE</t>
        </is>
      </c>
      <c r="F463" t="inlineStr">
        <is>
          <t>Holmen skog AB</t>
        </is>
      </c>
      <c r="G463" t="n">
        <v>3.7</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46104</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61289-2025</t>
        </is>
      </c>
      <c r="B465" s="1" t="n">
        <v>46000.73659722223</v>
      </c>
      <c r="C465" s="1" t="n">
        <v>46104</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61769-2025</t>
        </is>
      </c>
      <c r="B466" s="1" t="n">
        <v>46002.64556712963</v>
      </c>
      <c r="C466" s="1" t="n">
        <v>46104</v>
      </c>
      <c r="D466" t="inlineStr">
        <is>
          <t>STOCKHOLMS LÄN</t>
        </is>
      </c>
      <c r="E466" t="inlineStr">
        <is>
          <t>NORRTÄLJE</t>
        </is>
      </c>
      <c r="G466" t="n">
        <v>2.9</v>
      </c>
      <c r="H466" t="n">
        <v>0</v>
      </c>
      <c r="I466" t="n">
        <v>0</v>
      </c>
      <c r="J466" t="n">
        <v>0</v>
      </c>
      <c r="K466" t="n">
        <v>0</v>
      </c>
      <c r="L466" t="n">
        <v>0</v>
      </c>
      <c r="M466" t="n">
        <v>0</v>
      </c>
      <c r="N466" t="n">
        <v>0</v>
      </c>
      <c r="O466" t="n">
        <v>0</v>
      </c>
      <c r="P466" t="n">
        <v>0</v>
      </c>
      <c r="Q466" t="n">
        <v>0</v>
      </c>
      <c r="R466" s="2" t="inlineStr"/>
    </row>
    <row r="467" ht="15" customHeight="1">
      <c r="A467" t="inlineStr">
        <is>
          <t>A 24835-2025</t>
        </is>
      </c>
      <c r="B467" s="1" t="n">
        <v>45799</v>
      </c>
      <c r="C467" s="1" t="n">
        <v>46104</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43169-2025</t>
        </is>
      </c>
      <c r="B468" s="1" t="n">
        <v>45910</v>
      </c>
      <c r="C468" s="1" t="n">
        <v>46104</v>
      </c>
      <c r="D468" t="inlineStr">
        <is>
          <t>STOCKHOLMS LÄN</t>
        </is>
      </c>
      <c r="E468" t="inlineStr">
        <is>
          <t>NORRTÄLJE</t>
        </is>
      </c>
      <c r="G468" t="n">
        <v>6.9</v>
      </c>
      <c r="H468" t="n">
        <v>0</v>
      </c>
      <c r="I468" t="n">
        <v>0</v>
      </c>
      <c r="J468" t="n">
        <v>0</v>
      </c>
      <c r="K468" t="n">
        <v>0</v>
      </c>
      <c r="L468" t="n">
        <v>0</v>
      </c>
      <c r="M468" t="n">
        <v>0</v>
      </c>
      <c r="N468" t="n">
        <v>0</v>
      </c>
      <c r="O468" t="n">
        <v>0</v>
      </c>
      <c r="P468" t="n">
        <v>0</v>
      </c>
      <c r="Q468" t="n">
        <v>0</v>
      </c>
      <c r="R468" s="2" t="inlineStr"/>
    </row>
    <row r="469" ht="15" customHeight="1">
      <c r="A469" t="inlineStr">
        <is>
          <t>A 58302-2022</t>
        </is>
      </c>
      <c r="B469" s="1" t="n">
        <v>44901</v>
      </c>
      <c r="C469" s="1" t="n">
        <v>46104</v>
      </c>
      <c r="D469" t="inlineStr">
        <is>
          <t>STOCKHOLMS LÄN</t>
        </is>
      </c>
      <c r="E469" t="inlineStr">
        <is>
          <t>NORRTÄLJE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61764-2025</t>
        </is>
      </c>
      <c r="B470" s="1" t="n">
        <v>46002.62763888889</v>
      </c>
      <c r="C470" s="1" t="n">
        <v>46104</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30719-2025</t>
        </is>
      </c>
      <c r="B471" s="1" t="n">
        <v>45831</v>
      </c>
      <c r="C471" s="1" t="n">
        <v>46104</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43269-2025</t>
        </is>
      </c>
      <c r="B472" s="1" t="n">
        <v>45910.5819212963</v>
      </c>
      <c r="C472" s="1" t="n">
        <v>46104</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38591-2023</t>
        </is>
      </c>
      <c r="B473" s="1" t="n">
        <v>45162</v>
      </c>
      <c r="C473" s="1" t="n">
        <v>46104</v>
      </c>
      <c r="D473" t="inlineStr">
        <is>
          <t>STOCKHOLMS LÄN</t>
        </is>
      </c>
      <c r="E473" t="inlineStr">
        <is>
          <t>NORRTÄLJE</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30338-2022</t>
        </is>
      </c>
      <c r="B474" s="1" t="n">
        <v>44760</v>
      </c>
      <c r="C474" s="1" t="n">
        <v>46104</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2888-2022</t>
        </is>
      </c>
      <c r="B475" s="1" t="n">
        <v>44581</v>
      </c>
      <c r="C475" s="1" t="n">
        <v>46104</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52686-2024</t>
        </is>
      </c>
      <c r="B476" s="1" t="n">
        <v>45610.39271990741</v>
      </c>
      <c r="C476" s="1" t="n">
        <v>46104</v>
      </c>
      <c r="D476" t="inlineStr">
        <is>
          <t>STOCKHOLMS LÄN</t>
        </is>
      </c>
      <c r="E476" t="inlineStr">
        <is>
          <t>NORRTÄLJE</t>
        </is>
      </c>
      <c r="G476" t="n">
        <v>5.7</v>
      </c>
      <c r="H476" t="n">
        <v>0</v>
      </c>
      <c r="I476" t="n">
        <v>0</v>
      </c>
      <c r="J476" t="n">
        <v>0</v>
      </c>
      <c r="K476" t="n">
        <v>0</v>
      </c>
      <c r="L476" t="n">
        <v>0</v>
      </c>
      <c r="M476" t="n">
        <v>0</v>
      </c>
      <c r="N476" t="n">
        <v>0</v>
      </c>
      <c r="O476" t="n">
        <v>0</v>
      </c>
      <c r="P476" t="n">
        <v>0</v>
      </c>
      <c r="Q476" t="n">
        <v>0</v>
      </c>
      <c r="R476" s="2" t="inlineStr"/>
    </row>
    <row r="477" ht="15" customHeight="1">
      <c r="A477" t="inlineStr">
        <is>
          <t>A 20343-2024</t>
        </is>
      </c>
      <c r="B477" s="1" t="n">
        <v>45435.43466435185</v>
      </c>
      <c r="C477" s="1" t="n">
        <v>46104</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20345-2024</t>
        </is>
      </c>
      <c r="B478" s="1" t="n">
        <v>45435.43820601852</v>
      </c>
      <c r="C478" s="1" t="n">
        <v>46104</v>
      </c>
      <c r="D478" t="inlineStr">
        <is>
          <t>STOCKHOLMS LÄN</t>
        </is>
      </c>
      <c r="E478" t="inlineStr">
        <is>
          <t>NORRTÄLJE</t>
        </is>
      </c>
      <c r="G478" t="n">
        <v>3.8</v>
      </c>
      <c r="H478" t="n">
        <v>0</v>
      </c>
      <c r="I478" t="n">
        <v>0</v>
      </c>
      <c r="J478" t="n">
        <v>0</v>
      </c>
      <c r="K478" t="n">
        <v>0</v>
      </c>
      <c r="L478" t="n">
        <v>0</v>
      </c>
      <c r="M478" t="n">
        <v>0</v>
      </c>
      <c r="N478" t="n">
        <v>0</v>
      </c>
      <c r="O478" t="n">
        <v>0</v>
      </c>
      <c r="P478" t="n">
        <v>0</v>
      </c>
      <c r="Q478" t="n">
        <v>0</v>
      </c>
      <c r="R478" s="2" t="inlineStr"/>
    </row>
    <row r="479" ht="15" customHeight="1">
      <c r="A479" t="inlineStr">
        <is>
          <t>A 9765-2024</t>
        </is>
      </c>
      <c r="B479" s="1" t="n">
        <v>45362.62811342593</v>
      </c>
      <c r="C479" s="1" t="n">
        <v>46104</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59875-2024</t>
        </is>
      </c>
      <c r="B480" s="1" t="n">
        <v>45640.58716435185</v>
      </c>
      <c r="C480" s="1" t="n">
        <v>46104</v>
      </c>
      <c r="D480" t="inlineStr">
        <is>
          <t>STOCKHOLMS LÄN</t>
        </is>
      </c>
      <c r="E480" t="inlineStr">
        <is>
          <t>NORRTÄLJE</t>
        </is>
      </c>
      <c r="G480" t="n">
        <v>0.3</v>
      </c>
      <c r="H480" t="n">
        <v>0</v>
      </c>
      <c r="I480" t="n">
        <v>0</v>
      </c>
      <c r="J480" t="n">
        <v>0</v>
      </c>
      <c r="K480" t="n">
        <v>0</v>
      </c>
      <c r="L480" t="n">
        <v>0</v>
      </c>
      <c r="M480" t="n">
        <v>0</v>
      </c>
      <c r="N480" t="n">
        <v>0</v>
      </c>
      <c r="O480" t="n">
        <v>0</v>
      </c>
      <c r="P480" t="n">
        <v>0</v>
      </c>
      <c r="Q480" t="n">
        <v>0</v>
      </c>
      <c r="R480" s="2" t="inlineStr"/>
    </row>
    <row r="481" ht="15" customHeight="1">
      <c r="A481" t="inlineStr">
        <is>
          <t>A 33279-2025</t>
        </is>
      </c>
      <c r="B481" s="1" t="n">
        <v>45840</v>
      </c>
      <c r="C481" s="1" t="n">
        <v>46104</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53499-2025</t>
        </is>
      </c>
      <c r="B482" s="1" t="n">
        <v>45960</v>
      </c>
      <c r="C482" s="1" t="n">
        <v>46104</v>
      </c>
      <c r="D482" t="inlineStr">
        <is>
          <t>STOCKHOLMS LÄN</t>
        </is>
      </c>
      <c r="E482" t="inlineStr">
        <is>
          <t>NORRTÄLJE</t>
        </is>
      </c>
      <c r="G482" t="n">
        <v>23.8</v>
      </c>
      <c r="H482" t="n">
        <v>0</v>
      </c>
      <c r="I482" t="n">
        <v>0</v>
      </c>
      <c r="J482" t="n">
        <v>0</v>
      </c>
      <c r="K482" t="n">
        <v>0</v>
      </c>
      <c r="L482" t="n">
        <v>0</v>
      </c>
      <c r="M482" t="n">
        <v>0</v>
      </c>
      <c r="N482" t="n">
        <v>0</v>
      </c>
      <c r="O482" t="n">
        <v>0</v>
      </c>
      <c r="P482" t="n">
        <v>0</v>
      </c>
      <c r="Q482" t="n">
        <v>0</v>
      </c>
      <c r="R482" s="2" t="inlineStr"/>
    </row>
    <row r="483" ht="15" customHeight="1">
      <c r="A483" t="inlineStr">
        <is>
          <t>A 12901-2024</t>
        </is>
      </c>
      <c r="B483" s="1" t="n">
        <v>45385.37922453704</v>
      </c>
      <c r="C483" s="1" t="n">
        <v>46104</v>
      </c>
      <c r="D483" t="inlineStr">
        <is>
          <t>STOCKHOLMS LÄN</t>
        </is>
      </c>
      <c r="E483" t="inlineStr">
        <is>
          <t>NORRTÄLJE</t>
        </is>
      </c>
      <c r="G483" t="n">
        <v>2.7</v>
      </c>
      <c r="H483" t="n">
        <v>0</v>
      </c>
      <c r="I483" t="n">
        <v>0</v>
      </c>
      <c r="J483" t="n">
        <v>0</v>
      </c>
      <c r="K483" t="n">
        <v>0</v>
      </c>
      <c r="L483" t="n">
        <v>0</v>
      </c>
      <c r="M483" t="n">
        <v>0</v>
      </c>
      <c r="N483" t="n">
        <v>0</v>
      </c>
      <c r="O483" t="n">
        <v>0</v>
      </c>
      <c r="P483" t="n">
        <v>0</v>
      </c>
      <c r="Q483" t="n">
        <v>0</v>
      </c>
      <c r="R483" s="2" t="inlineStr"/>
    </row>
    <row r="484" ht="15" customHeight="1">
      <c r="A484" t="inlineStr">
        <is>
          <t>A 11-2024</t>
        </is>
      </c>
      <c r="B484" s="1" t="n">
        <v>45293</v>
      </c>
      <c r="C484" s="1" t="n">
        <v>46104</v>
      </c>
      <c r="D484" t="inlineStr">
        <is>
          <t>STOCKHOLMS LÄN</t>
        </is>
      </c>
      <c r="E484" t="inlineStr">
        <is>
          <t>NORRTÄLJE</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8950-2025</t>
        </is>
      </c>
      <c r="B485" s="1" t="n">
        <v>45713</v>
      </c>
      <c r="C485" s="1" t="n">
        <v>46104</v>
      </c>
      <c r="D485" t="inlineStr">
        <is>
          <t>STOCKHOLMS LÄN</t>
        </is>
      </c>
      <c r="E485" t="inlineStr">
        <is>
          <t>NORRTÄLJE</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43916-2025</t>
        </is>
      </c>
      <c r="B486" s="1" t="n">
        <v>45914.78884259259</v>
      </c>
      <c r="C486" s="1" t="n">
        <v>46104</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14559-2024</t>
        </is>
      </c>
      <c r="B487" s="1" t="n">
        <v>45394.72869212963</v>
      </c>
      <c r="C487" s="1" t="n">
        <v>46104</v>
      </c>
      <c r="D487" t="inlineStr">
        <is>
          <t>STOCKHOLMS LÄN</t>
        </is>
      </c>
      <c r="E487" t="inlineStr">
        <is>
          <t>NORRTÄLJE</t>
        </is>
      </c>
      <c r="G487" t="n">
        <v>4.2</v>
      </c>
      <c r="H487" t="n">
        <v>0</v>
      </c>
      <c r="I487" t="n">
        <v>0</v>
      </c>
      <c r="J487" t="n">
        <v>0</v>
      </c>
      <c r="K487" t="n">
        <v>0</v>
      </c>
      <c r="L487" t="n">
        <v>0</v>
      </c>
      <c r="M487" t="n">
        <v>0</v>
      </c>
      <c r="N487" t="n">
        <v>0</v>
      </c>
      <c r="O487" t="n">
        <v>0</v>
      </c>
      <c r="P487" t="n">
        <v>0</v>
      </c>
      <c r="Q487" t="n">
        <v>0</v>
      </c>
      <c r="R487" s="2" t="inlineStr"/>
    </row>
    <row r="488" ht="15" customHeight="1">
      <c r="A488" t="inlineStr">
        <is>
          <t>A 8433-2022</t>
        </is>
      </c>
      <c r="B488" s="1" t="n">
        <v>44611</v>
      </c>
      <c r="C488" s="1" t="n">
        <v>46104</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12301-2025</t>
        </is>
      </c>
      <c r="B489" s="1" t="n">
        <v>45729.7271875</v>
      </c>
      <c r="C489" s="1" t="n">
        <v>46104</v>
      </c>
      <c r="D489" t="inlineStr">
        <is>
          <t>STOCKHOLMS LÄN</t>
        </is>
      </c>
      <c r="E489" t="inlineStr">
        <is>
          <t>NORRTÄLJE</t>
        </is>
      </c>
      <c r="G489" t="n">
        <v>3.2</v>
      </c>
      <c r="H489" t="n">
        <v>0</v>
      </c>
      <c r="I489" t="n">
        <v>0</v>
      </c>
      <c r="J489" t="n">
        <v>0</v>
      </c>
      <c r="K489" t="n">
        <v>0</v>
      </c>
      <c r="L489" t="n">
        <v>0</v>
      </c>
      <c r="M489" t="n">
        <v>0</v>
      </c>
      <c r="N489" t="n">
        <v>0</v>
      </c>
      <c r="O489" t="n">
        <v>0</v>
      </c>
      <c r="P489" t="n">
        <v>0</v>
      </c>
      <c r="Q489" t="n">
        <v>0</v>
      </c>
      <c r="R489" s="2" t="inlineStr"/>
    </row>
    <row r="490" ht="15" customHeight="1">
      <c r="A490" t="inlineStr">
        <is>
          <t>A 25525-2022</t>
        </is>
      </c>
      <c r="B490" s="1" t="n">
        <v>44732</v>
      </c>
      <c r="C490" s="1" t="n">
        <v>46104</v>
      </c>
      <c r="D490" t="inlineStr">
        <is>
          <t>STOCKHOLMS LÄN</t>
        </is>
      </c>
      <c r="E490" t="inlineStr">
        <is>
          <t>NORRTÄLJE</t>
        </is>
      </c>
      <c r="G490" t="n">
        <v>2.2</v>
      </c>
      <c r="H490" t="n">
        <v>0</v>
      </c>
      <c r="I490" t="n">
        <v>0</v>
      </c>
      <c r="J490" t="n">
        <v>0</v>
      </c>
      <c r="K490" t="n">
        <v>0</v>
      </c>
      <c r="L490" t="n">
        <v>0</v>
      </c>
      <c r="M490" t="n">
        <v>0</v>
      </c>
      <c r="N490" t="n">
        <v>0</v>
      </c>
      <c r="O490" t="n">
        <v>0</v>
      </c>
      <c r="P490" t="n">
        <v>0</v>
      </c>
      <c r="Q490" t="n">
        <v>0</v>
      </c>
      <c r="R490" s="2" t="inlineStr"/>
    </row>
    <row r="491" ht="15" customHeight="1">
      <c r="A491" t="inlineStr">
        <is>
          <t>A 12302-2025</t>
        </is>
      </c>
      <c r="B491" s="1" t="n">
        <v>45729.72851851852</v>
      </c>
      <c r="C491" s="1" t="n">
        <v>46104</v>
      </c>
      <c r="D491" t="inlineStr">
        <is>
          <t>STOCKHOLMS LÄN</t>
        </is>
      </c>
      <c r="E491" t="inlineStr">
        <is>
          <t>NORRTÄLJE</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44354-2025</t>
        </is>
      </c>
      <c r="B492" s="1" t="n">
        <v>45916.44655092592</v>
      </c>
      <c r="C492" s="1" t="n">
        <v>46104</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24351-2025</t>
        </is>
      </c>
      <c r="B493" s="1" t="n">
        <v>45797.58399305555</v>
      </c>
      <c r="C493" s="1" t="n">
        <v>46104</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13283-2025</t>
        </is>
      </c>
      <c r="B494" s="1" t="n">
        <v>45735</v>
      </c>
      <c r="C494" s="1" t="n">
        <v>46104</v>
      </c>
      <c r="D494" t="inlineStr">
        <is>
          <t>STOCKHOLMS LÄN</t>
        </is>
      </c>
      <c r="E494" t="inlineStr">
        <is>
          <t>NORRTÄLJE</t>
        </is>
      </c>
      <c r="G494" t="n">
        <v>4.9</v>
      </c>
      <c r="H494" t="n">
        <v>0</v>
      </c>
      <c r="I494" t="n">
        <v>0</v>
      </c>
      <c r="J494" t="n">
        <v>0</v>
      </c>
      <c r="K494" t="n">
        <v>0</v>
      </c>
      <c r="L494" t="n">
        <v>0</v>
      </c>
      <c r="M494" t="n">
        <v>0</v>
      </c>
      <c r="N494" t="n">
        <v>0</v>
      </c>
      <c r="O494" t="n">
        <v>0</v>
      </c>
      <c r="P494" t="n">
        <v>0</v>
      </c>
      <c r="Q494" t="n">
        <v>0</v>
      </c>
      <c r="R494" s="2" t="inlineStr"/>
    </row>
    <row r="495" ht="15" customHeight="1">
      <c r="A495" t="inlineStr">
        <is>
          <t>A 38889-2024</t>
        </is>
      </c>
      <c r="B495" s="1" t="n">
        <v>45547</v>
      </c>
      <c r="C495" s="1" t="n">
        <v>46104</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45451-2024</t>
        </is>
      </c>
      <c r="B496" s="1" t="n">
        <v>45576</v>
      </c>
      <c r="C496" s="1" t="n">
        <v>46104</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62708-2025</t>
        </is>
      </c>
      <c r="B497" s="1" t="n">
        <v>46008.50986111111</v>
      </c>
      <c r="C497" s="1" t="n">
        <v>46104</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34478-2025</t>
        </is>
      </c>
      <c r="B498" s="1" t="n">
        <v>45847</v>
      </c>
      <c r="C498" s="1" t="n">
        <v>46104</v>
      </c>
      <c r="D498" t="inlineStr">
        <is>
          <t>STOCKHOLMS LÄN</t>
        </is>
      </c>
      <c r="E498" t="inlineStr">
        <is>
          <t>NORRTÄLJE</t>
        </is>
      </c>
      <c r="F498" t="inlineStr">
        <is>
          <t>Övriga Aktiebolag</t>
        </is>
      </c>
      <c r="G498" t="n">
        <v>10.8</v>
      </c>
      <c r="H498" t="n">
        <v>0</v>
      </c>
      <c r="I498" t="n">
        <v>0</v>
      </c>
      <c r="J498" t="n">
        <v>0</v>
      </c>
      <c r="K498" t="n">
        <v>0</v>
      </c>
      <c r="L498" t="n">
        <v>0</v>
      </c>
      <c r="M498" t="n">
        <v>0</v>
      </c>
      <c r="N498" t="n">
        <v>0</v>
      </c>
      <c r="O498" t="n">
        <v>0</v>
      </c>
      <c r="P498" t="n">
        <v>0</v>
      </c>
      <c r="Q498" t="n">
        <v>0</v>
      </c>
      <c r="R498" s="2" t="inlineStr"/>
    </row>
    <row r="499" ht="15" customHeight="1">
      <c r="A499" t="inlineStr">
        <is>
          <t>A 44306-2025</t>
        </is>
      </c>
      <c r="B499" s="1" t="n">
        <v>45916.37736111111</v>
      </c>
      <c r="C499" s="1" t="n">
        <v>46104</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46104</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44349-2025</t>
        </is>
      </c>
      <c r="B501" s="1" t="n">
        <v>45916.43929398148</v>
      </c>
      <c r="C501" s="1" t="n">
        <v>46104</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62681-2025</t>
        </is>
      </c>
      <c r="B502" s="1" t="n">
        <v>46008.45534722223</v>
      </c>
      <c r="C502" s="1" t="n">
        <v>46104</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62922-2025</t>
        </is>
      </c>
      <c r="B503" s="1" t="n">
        <v>46009.38064814815</v>
      </c>
      <c r="C503" s="1" t="n">
        <v>46104</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46104</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44333-2025</t>
        </is>
      </c>
      <c r="B505" s="1" t="n">
        <v>45916.42293981482</v>
      </c>
      <c r="C505" s="1" t="n">
        <v>46104</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62689-2025</t>
        </is>
      </c>
      <c r="B506" s="1" t="n">
        <v>46008.47171296296</v>
      </c>
      <c r="C506" s="1" t="n">
        <v>46104</v>
      </c>
      <c r="D506" t="inlineStr">
        <is>
          <t>STOCKHOLMS LÄN</t>
        </is>
      </c>
      <c r="E506" t="inlineStr">
        <is>
          <t>NORRTÄLJE</t>
        </is>
      </c>
      <c r="F506" t="inlineStr">
        <is>
          <t>Kyrkan</t>
        </is>
      </c>
      <c r="G506" t="n">
        <v>0.7</v>
      </c>
      <c r="H506" t="n">
        <v>0</v>
      </c>
      <c r="I506" t="n">
        <v>0</v>
      </c>
      <c r="J506" t="n">
        <v>0</v>
      </c>
      <c r="K506" t="n">
        <v>0</v>
      </c>
      <c r="L506" t="n">
        <v>0</v>
      </c>
      <c r="M506" t="n">
        <v>0</v>
      </c>
      <c r="N506" t="n">
        <v>0</v>
      </c>
      <c r="O506" t="n">
        <v>0</v>
      </c>
      <c r="P506" t="n">
        <v>0</v>
      </c>
      <c r="Q506" t="n">
        <v>0</v>
      </c>
      <c r="R506" s="2" t="inlineStr"/>
    </row>
    <row r="507" ht="15" customHeight="1">
      <c r="A507" t="inlineStr">
        <is>
          <t>A 24687-2025</t>
        </is>
      </c>
      <c r="B507" s="1" t="n">
        <v>45798.66767361111</v>
      </c>
      <c r="C507" s="1" t="n">
        <v>46104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44937-2025</t>
        </is>
      </c>
      <c r="B508" s="1" t="n">
        <v>45918</v>
      </c>
      <c r="C508" s="1" t="n">
        <v>46104</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26644-2024</t>
        </is>
      </c>
      <c r="B509" s="1" t="n">
        <v>45469</v>
      </c>
      <c r="C509" s="1" t="n">
        <v>46104</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2982-2023</t>
        </is>
      </c>
      <c r="B510" s="1" t="n">
        <v>44945.67409722223</v>
      </c>
      <c r="C510" s="1" t="n">
        <v>46104</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12535-2025</t>
        </is>
      </c>
      <c r="B511" s="1" t="n">
        <v>45730.69502314815</v>
      </c>
      <c r="C511" s="1" t="n">
        <v>46104</v>
      </c>
      <c r="D511" t="inlineStr">
        <is>
          <t>STOCKHOLMS LÄN</t>
        </is>
      </c>
      <c r="E511" t="inlineStr">
        <is>
          <t>NORRTÄLJE</t>
        </is>
      </c>
      <c r="G511" t="n">
        <v>7.1</v>
      </c>
      <c r="H511" t="n">
        <v>0</v>
      </c>
      <c r="I511" t="n">
        <v>0</v>
      </c>
      <c r="J511" t="n">
        <v>0</v>
      </c>
      <c r="K511" t="n">
        <v>0</v>
      </c>
      <c r="L511" t="n">
        <v>0</v>
      </c>
      <c r="M511" t="n">
        <v>0</v>
      </c>
      <c r="N511" t="n">
        <v>0</v>
      </c>
      <c r="O511" t="n">
        <v>0</v>
      </c>
      <c r="P511" t="n">
        <v>0</v>
      </c>
      <c r="Q511" t="n">
        <v>0</v>
      </c>
      <c r="R511" s="2" t="inlineStr"/>
    </row>
    <row r="512" ht="15" customHeight="1">
      <c r="A512" t="inlineStr">
        <is>
          <t>A 37136-2023</t>
        </is>
      </c>
      <c r="B512" s="1" t="n">
        <v>45155</v>
      </c>
      <c r="C512" s="1" t="n">
        <v>46104</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22359-2025</t>
        </is>
      </c>
      <c r="B513" s="1" t="n">
        <v>45786</v>
      </c>
      <c r="C513" s="1" t="n">
        <v>46104</v>
      </c>
      <c r="D513" t="inlineStr">
        <is>
          <t>STOCKHOLMS LÄN</t>
        </is>
      </c>
      <c r="E513" t="inlineStr">
        <is>
          <t>NORRTÄLJE</t>
        </is>
      </c>
      <c r="G513" t="n">
        <v>5</v>
      </c>
      <c r="H513" t="n">
        <v>0</v>
      </c>
      <c r="I513" t="n">
        <v>0</v>
      </c>
      <c r="J513" t="n">
        <v>0</v>
      </c>
      <c r="K513" t="n">
        <v>0</v>
      </c>
      <c r="L513" t="n">
        <v>0</v>
      </c>
      <c r="M513" t="n">
        <v>0</v>
      </c>
      <c r="N513" t="n">
        <v>0</v>
      </c>
      <c r="O513" t="n">
        <v>0</v>
      </c>
      <c r="P513" t="n">
        <v>0</v>
      </c>
      <c r="Q513" t="n">
        <v>0</v>
      </c>
      <c r="R513" s="2" t="inlineStr"/>
    </row>
    <row r="514" ht="15" customHeight="1">
      <c r="A514" t="inlineStr">
        <is>
          <t>A 18787-2022</t>
        </is>
      </c>
      <c r="B514" s="1" t="n">
        <v>44687</v>
      </c>
      <c r="C514" s="1" t="n">
        <v>46104</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13718-2022</t>
        </is>
      </c>
      <c r="B515" s="1" t="n">
        <v>44649</v>
      </c>
      <c r="C515" s="1" t="n">
        <v>46104</v>
      </c>
      <c r="D515" t="inlineStr">
        <is>
          <t>STOCKHOLMS LÄN</t>
        </is>
      </c>
      <c r="E515" t="inlineStr">
        <is>
          <t>NORRTÄLJE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25621-2022</t>
        </is>
      </c>
      <c r="B516" s="1" t="n">
        <v>44732</v>
      </c>
      <c r="C516" s="1" t="n">
        <v>46104</v>
      </c>
      <c r="D516" t="inlineStr">
        <is>
          <t>STOCKHOLMS LÄN</t>
        </is>
      </c>
      <c r="E516" t="inlineStr">
        <is>
          <t>NORRTÄLJE</t>
        </is>
      </c>
      <c r="G516" t="n">
        <v>3.1</v>
      </c>
      <c r="H516" t="n">
        <v>0</v>
      </c>
      <c r="I516" t="n">
        <v>0</v>
      </c>
      <c r="J516" t="n">
        <v>0</v>
      </c>
      <c r="K516" t="n">
        <v>0</v>
      </c>
      <c r="L516" t="n">
        <v>0</v>
      </c>
      <c r="M516" t="n">
        <v>0</v>
      </c>
      <c r="N516" t="n">
        <v>0</v>
      </c>
      <c r="O516" t="n">
        <v>0</v>
      </c>
      <c r="P516" t="n">
        <v>0</v>
      </c>
      <c r="Q516" t="n">
        <v>0</v>
      </c>
      <c r="R516" s="2" t="inlineStr"/>
    </row>
    <row r="517" ht="15" customHeight="1">
      <c r="A517" t="inlineStr">
        <is>
          <t>A 24638-2025</t>
        </is>
      </c>
      <c r="B517" s="1" t="n">
        <v>45798</v>
      </c>
      <c r="C517" s="1" t="n">
        <v>46104</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46104</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36308-2022</t>
        </is>
      </c>
      <c r="B519" s="1" t="n">
        <v>44803</v>
      </c>
      <c r="C519" s="1" t="n">
        <v>46104</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45697-2025</t>
        </is>
      </c>
      <c r="B520" s="1" t="n">
        <v>45923.39877314815</v>
      </c>
      <c r="C520" s="1" t="n">
        <v>46104</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6919-2025</t>
        </is>
      </c>
      <c r="B521" s="1" t="n">
        <v>45701.44372685185</v>
      </c>
      <c r="C521" s="1" t="n">
        <v>46104</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32100-2022</t>
        </is>
      </c>
      <c r="B522" s="1" t="n">
        <v>44778</v>
      </c>
      <c r="C522" s="1" t="n">
        <v>46104</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11332-2025</t>
        </is>
      </c>
      <c r="B523" s="1" t="n">
        <v>45726.48152777777</v>
      </c>
      <c r="C523" s="1" t="n">
        <v>46104</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37444-2021</t>
        </is>
      </c>
      <c r="B524" s="1" t="n">
        <v>44398</v>
      </c>
      <c r="C524" s="1" t="n">
        <v>46104</v>
      </c>
      <c r="D524" t="inlineStr">
        <is>
          <t>STOCKHOLMS LÄN</t>
        </is>
      </c>
      <c r="E524" t="inlineStr">
        <is>
          <t>NORRTÄLJE</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30886-2022</t>
        </is>
      </c>
      <c r="B525" s="1" t="n">
        <v>44767.60601851852</v>
      </c>
      <c r="C525" s="1" t="n">
        <v>46104</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46415-2025</t>
        </is>
      </c>
      <c r="B526" s="1" t="n">
        <v>45925.58636574074</v>
      </c>
      <c r="C526" s="1" t="n">
        <v>46104</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8091-2026</t>
        </is>
      </c>
      <c r="B527" s="1" t="n">
        <v>46063.70944444444</v>
      </c>
      <c r="C527" s="1" t="n">
        <v>46104</v>
      </c>
      <c r="D527" t="inlineStr">
        <is>
          <t>STOCKHOLMS LÄN</t>
        </is>
      </c>
      <c r="E527" t="inlineStr">
        <is>
          <t>NORRTÄLJE</t>
        </is>
      </c>
      <c r="G527" t="n">
        <v>4.7</v>
      </c>
      <c r="H527" t="n">
        <v>0</v>
      </c>
      <c r="I527" t="n">
        <v>0</v>
      </c>
      <c r="J527" t="n">
        <v>0</v>
      </c>
      <c r="K527" t="n">
        <v>0</v>
      </c>
      <c r="L527" t="n">
        <v>0</v>
      </c>
      <c r="M527" t="n">
        <v>0</v>
      </c>
      <c r="N527" t="n">
        <v>0</v>
      </c>
      <c r="O527" t="n">
        <v>0</v>
      </c>
      <c r="P527" t="n">
        <v>0</v>
      </c>
      <c r="Q527" t="n">
        <v>0</v>
      </c>
      <c r="R527" s="2" t="inlineStr"/>
    </row>
    <row r="528" ht="15" customHeight="1">
      <c r="A528" t="inlineStr">
        <is>
          <t>A 9654-2022</t>
        </is>
      </c>
      <c r="B528" s="1" t="n">
        <v>44617</v>
      </c>
      <c r="C528" s="1" t="n">
        <v>46104</v>
      </c>
      <c r="D528" t="inlineStr">
        <is>
          <t>STOCKHOLMS LÄN</t>
        </is>
      </c>
      <c r="E528" t="inlineStr">
        <is>
          <t>NORRTÄLJE</t>
        </is>
      </c>
      <c r="G528" t="n">
        <v>6.4</v>
      </c>
      <c r="H528" t="n">
        <v>0</v>
      </c>
      <c r="I528" t="n">
        <v>0</v>
      </c>
      <c r="J528" t="n">
        <v>0</v>
      </c>
      <c r="K528" t="n">
        <v>0</v>
      </c>
      <c r="L528" t="n">
        <v>0</v>
      </c>
      <c r="M528" t="n">
        <v>0</v>
      </c>
      <c r="N528" t="n">
        <v>0</v>
      </c>
      <c r="O528" t="n">
        <v>0</v>
      </c>
      <c r="P528" t="n">
        <v>0</v>
      </c>
      <c r="Q528" t="n">
        <v>0</v>
      </c>
      <c r="R528" s="2" t="inlineStr"/>
    </row>
    <row r="529" ht="15" customHeight="1">
      <c r="A529" t="inlineStr">
        <is>
          <t>A 7793-2026</t>
        </is>
      </c>
      <c r="B529" s="1" t="n">
        <v>46062.59496527778</v>
      </c>
      <c r="C529" s="1" t="n">
        <v>46104</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1453-2025</t>
        </is>
      </c>
      <c r="B530" s="1" t="n">
        <v>45670.3079050926</v>
      </c>
      <c r="C530" s="1" t="n">
        <v>46104</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5804-2025</t>
        </is>
      </c>
      <c r="B531" s="1" t="n">
        <v>45694.68207175926</v>
      </c>
      <c r="C531" s="1" t="n">
        <v>46104</v>
      </c>
      <c r="D531" t="inlineStr">
        <is>
          <t>STOCKHOLMS LÄN</t>
        </is>
      </c>
      <c r="E531" t="inlineStr">
        <is>
          <t>NORRTÄLJE</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7723-2026</t>
        </is>
      </c>
      <c r="B532" s="1" t="n">
        <v>46062.49905092592</v>
      </c>
      <c r="C532" s="1" t="n">
        <v>46104</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50907-2022</t>
        </is>
      </c>
      <c r="B533" s="1" t="n">
        <v>44867.62090277778</v>
      </c>
      <c r="C533" s="1" t="n">
        <v>46104</v>
      </c>
      <c r="D533" t="inlineStr">
        <is>
          <t>STOCKHOLMS LÄN</t>
        </is>
      </c>
      <c r="E533" t="inlineStr">
        <is>
          <t>NORRTÄLJE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29003-2023</t>
        </is>
      </c>
      <c r="B534" s="1" t="n">
        <v>45104</v>
      </c>
      <c r="C534" s="1" t="n">
        <v>46104</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33295-2023</t>
        </is>
      </c>
      <c r="B535" s="1" t="n">
        <v>45127.69371527778</v>
      </c>
      <c r="C535" s="1" t="n">
        <v>46104</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14127-2025</t>
        </is>
      </c>
      <c r="B536" s="1" t="n">
        <v>45740.47055555556</v>
      </c>
      <c r="C536" s="1" t="n">
        <v>46104</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16980-2023</t>
        </is>
      </c>
      <c r="B537" s="1" t="n">
        <v>45033</v>
      </c>
      <c r="C537" s="1" t="n">
        <v>46104</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46900-2025</t>
        </is>
      </c>
      <c r="B538" s="1" t="n">
        <v>45929.38712962963</v>
      </c>
      <c r="C538" s="1" t="n">
        <v>46104</v>
      </c>
      <c r="D538" t="inlineStr">
        <is>
          <t>STOCKHOLMS LÄN</t>
        </is>
      </c>
      <c r="E538" t="inlineStr">
        <is>
          <t>NORRTÄLJE</t>
        </is>
      </c>
      <c r="F538" t="inlineStr">
        <is>
          <t>Holmen skog AB</t>
        </is>
      </c>
      <c r="G538" t="n">
        <v>6.2</v>
      </c>
      <c r="H538" t="n">
        <v>0</v>
      </c>
      <c r="I538" t="n">
        <v>0</v>
      </c>
      <c r="J538" t="n">
        <v>0</v>
      </c>
      <c r="K538" t="n">
        <v>0</v>
      </c>
      <c r="L538" t="n">
        <v>0</v>
      </c>
      <c r="M538" t="n">
        <v>0</v>
      </c>
      <c r="N538" t="n">
        <v>0</v>
      </c>
      <c r="O538" t="n">
        <v>0</v>
      </c>
      <c r="P538" t="n">
        <v>0</v>
      </c>
      <c r="Q538" t="n">
        <v>0</v>
      </c>
      <c r="R538" s="2" t="inlineStr"/>
    </row>
    <row r="539" ht="15" customHeight="1">
      <c r="A539" t="inlineStr">
        <is>
          <t>A 8096-2026</t>
        </is>
      </c>
      <c r="B539" s="1" t="n">
        <v>46063.714375</v>
      </c>
      <c r="C539" s="1" t="n">
        <v>46104</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8055-2026</t>
        </is>
      </c>
      <c r="B540" s="1" t="n">
        <v>46063.62002314815</v>
      </c>
      <c r="C540" s="1" t="n">
        <v>46104</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7729-2026</t>
        </is>
      </c>
      <c r="B541" s="1" t="n">
        <v>46062.51100694444</v>
      </c>
      <c r="C541" s="1" t="n">
        <v>46104</v>
      </c>
      <c r="D541" t="inlineStr">
        <is>
          <t>STOCKHOLMS LÄN</t>
        </is>
      </c>
      <c r="E541" t="inlineStr">
        <is>
          <t>NORRTÄLJE</t>
        </is>
      </c>
      <c r="G541" t="n">
        <v>6.6</v>
      </c>
      <c r="H541" t="n">
        <v>0</v>
      </c>
      <c r="I541" t="n">
        <v>0</v>
      </c>
      <c r="J541" t="n">
        <v>0</v>
      </c>
      <c r="K541" t="n">
        <v>0</v>
      </c>
      <c r="L541" t="n">
        <v>0</v>
      </c>
      <c r="M541" t="n">
        <v>0</v>
      </c>
      <c r="N541" t="n">
        <v>0</v>
      </c>
      <c r="O541" t="n">
        <v>0</v>
      </c>
      <c r="P541" t="n">
        <v>0</v>
      </c>
      <c r="Q541" t="n">
        <v>0</v>
      </c>
      <c r="R541" s="2" t="inlineStr"/>
    </row>
    <row r="542" ht="15" customHeight="1">
      <c r="A542" t="inlineStr">
        <is>
          <t>A 32595-2023</t>
        </is>
      </c>
      <c r="B542" s="1" t="n">
        <v>45121</v>
      </c>
      <c r="C542" s="1" t="n">
        <v>46104</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8489-2026</t>
        </is>
      </c>
      <c r="B543" s="1" t="n">
        <v>46065.48268518518</v>
      </c>
      <c r="C543" s="1" t="n">
        <v>46104</v>
      </c>
      <c r="D543" t="inlineStr">
        <is>
          <t>STOCKHOLMS LÄN</t>
        </is>
      </c>
      <c r="E543" t="inlineStr">
        <is>
          <t>NORRTÄLJE</t>
        </is>
      </c>
      <c r="G543" t="n">
        <v>2.1</v>
      </c>
      <c r="H543" t="n">
        <v>0</v>
      </c>
      <c r="I543" t="n">
        <v>0</v>
      </c>
      <c r="J543" t="n">
        <v>0</v>
      </c>
      <c r="K543" t="n">
        <v>0</v>
      </c>
      <c r="L543" t="n">
        <v>0</v>
      </c>
      <c r="M543" t="n">
        <v>0</v>
      </c>
      <c r="N543" t="n">
        <v>0</v>
      </c>
      <c r="O543" t="n">
        <v>0</v>
      </c>
      <c r="P543" t="n">
        <v>0</v>
      </c>
      <c r="Q543" t="n">
        <v>0</v>
      </c>
      <c r="R543" s="2" t="inlineStr"/>
    </row>
    <row r="544" ht="15" customHeight="1">
      <c r="A544" t="inlineStr">
        <is>
          <t>A 35256-2025</t>
        </is>
      </c>
      <c r="B544" s="1" t="n">
        <v>45853</v>
      </c>
      <c r="C544" s="1" t="n">
        <v>46104</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37550-2022</t>
        </is>
      </c>
      <c r="B545" s="1" t="n">
        <v>44809</v>
      </c>
      <c r="C545" s="1" t="n">
        <v>46104</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8410-2026</t>
        </is>
      </c>
      <c r="B546" s="1" t="n">
        <v>46065.34261574074</v>
      </c>
      <c r="C546" s="1" t="n">
        <v>46104</v>
      </c>
      <c r="D546" t="inlineStr">
        <is>
          <t>STOCKHOLMS LÄN</t>
        </is>
      </c>
      <c r="E546" t="inlineStr">
        <is>
          <t>NORRTÄLJE</t>
        </is>
      </c>
      <c r="G546" t="n">
        <v>3.9</v>
      </c>
      <c r="H546" t="n">
        <v>0</v>
      </c>
      <c r="I546" t="n">
        <v>0</v>
      </c>
      <c r="J546" t="n">
        <v>0</v>
      </c>
      <c r="K546" t="n">
        <v>0</v>
      </c>
      <c r="L546" t="n">
        <v>0</v>
      </c>
      <c r="M546" t="n">
        <v>0</v>
      </c>
      <c r="N546" t="n">
        <v>0</v>
      </c>
      <c r="O546" t="n">
        <v>0</v>
      </c>
      <c r="P546" t="n">
        <v>0</v>
      </c>
      <c r="Q546" t="n">
        <v>0</v>
      </c>
      <c r="R546" s="2" t="inlineStr"/>
    </row>
    <row r="547" ht="15" customHeight="1">
      <c r="A547" t="inlineStr">
        <is>
          <t>A 28603-2024</t>
        </is>
      </c>
      <c r="B547" s="1" t="n">
        <v>45478.42887731481</v>
      </c>
      <c r="C547" s="1" t="n">
        <v>46104</v>
      </c>
      <c r="D547" t="inlineStr">
        <is>
          <t>STOCKHOLMS LÄN</t>
        </is>
      </c>
      <c r="E547" t="inlineStr">
        <is>
          <t>NORRTÄLJE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8454-2026</t>
        </is>
      </c>
      <c r="B548" s="1" t="n">
        <v>46065.42506944444</v>
      </c>
      <c r="C548" s="1" t="n">
        <v>46104</v>
      </c>
      <c r="D548" t="inlineStr">
        <is>
          <t>STOCKHOLMS LÄN</t>
        </is>
      </c>
      <c r="E548" t="inlineStr">
        <is>
          <t>NORRTÄLJE</t>
        </is>
      </c>
      <c r="G548" t="n">
        <v>3.2</v>
      </c>
      <c r="H548" t="n">
        <v>0</v>
      </c>
      <c r="I548" t="n">
        <v>0</v>
      </c>
      <c r="J548" t="n">
        <v>0</v>
      </c>
      <c r="K548" t="n">
        <v>0</v>
      </c>
      <c r="L548" t="n">
        <v>0</v>
      </c>
      <c r="M548" t="n">
        <v>0</v>
      </c>
      <c r="N548" t="n">
        <v>0</v>
      </c>
      <c r="O548" t="n">
        <v>0</v>
      </c>
      <c r="P548" t="n">
        <v>0</v>
      </c>
      <c r="Q548" t="n">
        <v>0</v>
      </c>
      <c r="R548" s="2" t="inlineStr"/>
    </row>
    <row r="549" ht="15" customHeight="1">
      <c r="A549" t="inlineStr">
        <is>
          <t>A 8465-2026</t>
        </is>
      </c>
      <c r="B549" s="1" t="n">
        <v>46065.44141203703</v>
      </c>
      <c r="C549" s="1" t="n">
        <v>46104</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197-2026</t>
        </is>
      </c>
      <c r="B550" s="1" t="n">
        <v>46026</v>
      </c>
      <c r="C550" s="1" t="n">
        <v>46104</v>
      </c>
      <c r="D550" t="inlineStr">
        <is>
          <t>STOCKHOLMS LÄN</t>
        </is>
      </c>
      <c r="E550" t="inlineStr">
        <is>
          <t>NORRTÄLJE</t>
        </is>
      </c>
      <c r="G550" t="n">
        <v>0.8</v>
      </c>
      <c r="H550" t="n">
        <v>0</v>
      </c>
      <c r="I550" t="n">
        <v>0</v>
      </c>
      <c r="J550" t="n">
        <v>0</v>
      </c>
      <c r="K550" t="n">
        <v>0</v>
      </c>
      <c r="L550" t="n">
        <v>0</v>
      </c>
      <c r="M550" t="n">
        <v>0</v>
      </c>
      <c r="N550" t="n">
        <v>0</v>
      </c>
      <c r="O550" t="n">
        <v>0</v>
      </c>
      <c r="P550" t="n">
        <v>0</v>
      </c>
      <c r="Q550" t="n">
        <v>0</v>
      </c>
      <c r="R550" s="2" t="inlineStr"/>
    </row>
    <row r="551" ht="15" customHeight="1">
      <c r="A551" t="inlineStr">
        <is>
          <t>A 124-2026</t>
        </is>
      </c>
      <c r="B551" s="1" t="n">
        <v>46024.58378472222</v>
      </c>
      <c r="C551" s="1" t="n">
        <v>46104</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48161-2022</t>
        </is>
      </c>
      <c r="B552" s="1" t="n">
        <v>44858</v>
      </c>
      <c r="C552" s="1" t="n">
        <v>46104</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9103-2026</t>
        </is>
      </c>
      <c r="B553" s="1" t="n">
        <v>46069.65039351852</v>
      </c>
      <c r="C553" s="1" t="n">
        <v>46104</v>
      </c>
      <c r="D553" t="inlineStr">
        <is>
          <t>STOCKHOLMS LÄN</t>
        </is>
      </c>
      <c r="E553" t="inlineStr">
        <is>
          <t>NORRTÄLJE</t>
        </is>
      </c>
      <c r="F553" t="inlineStr">
        <is>
          <t>Holmen skog AB</t>
        </is>
      </c>
      <c r="G553" t="n">
        <v>3.6</v>
      </c>
      <c r="H553" t="n">
        <v>0</v>
      </c>
      <c r="I553" t="n">
        <v>0</v>
      </c>
      <c r="J553" t="n">
        <v>0</v>
      </c>
      <c r="K553" t="n">
        <v>0</v>
      </c>
      <c r="L553" t="n">
        <v>0</v>
      </c>
      <c r="M553" t="n">
        <v>0</v>
      </c>
      <c r="N553" t="n">
        <v>0</v>
      </c>
      <c r="O553" t="n">
        <v>0</v>
      </c>
      <c r="P553" t="n">
        <v>0</v>
      </c>
      <c r="Q553" t="n">
        <v>0</v>
      </c>
      <c r="R553" s="2" t="inlineStr"/>
    </row>
    <row r="554" ht="15" customHeight="1">
      <c r="A554" t="inlineStr">
        <is>
          <t>A 48798-2021</t>
        </is>
      </c>
      <c r="B554" s="1" t="n">
        <v>44452</v>
      </c>
      <c r="C554" s="1" t="n">
        <v>46104</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8962-2026</t>
        </is>
      </c>
      <c r="B555" s="1" t="n">
        <v>46069.41644675926</v>
      </c>
      <c r="C555" s="1" t="n">
        <v>46104</v>
      </c>
      <c r="D555" t="inlineStr">
        <is>
          <t>STOCKHOLMS LÄN</t>
        </is>
      </c>
      <c r="E555" t="inlineStr">
        <is>
          <t>NORRTÄLJE</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8989-2026</t>
        </is>
      </c>
      <c r="B556" s="1" t="n">
        <v>46069.45789351852</v>
      </c>
      <c r="C556" s="1" t="n">
        <v>46104</v>
      </c>
      <c r="D556" t="inlineStr">
        <is>
          <t>STOCKHOLMS LÄN</t>
        </is>
      </c>
      <c r="E556" t="inlineStr">
        <is>
          <t>NORRTÄLJE</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54776-2023</t>
        </is>
      </c>
      <c r="B557" s="1" t="n">
        <v>45236.46369212963</v>
      </c>
      <c r="C557" s="1" t="n">
        <v>46104</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46104</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47460-2025</t>
        </is>
      </c>
      <c r="B559" s="1" t="n">
        <v>45930.66012731481</v>
      </c>
      <c r="C559" s="1" t="n">
        <v>46104</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57442-2021</t>
        </is>
      </c>
      <c r="B560" s="1" t="n">
        <v>44483</v>
      </c>
      <c r="C560" s="1" t="n">
        <v>46104</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47496-2025</t>
        </is>
      </c>
      <c r="B561" s="1" t="n">
        <v>45930.79252314815</v>
      </c>
      <c r="C561" s="1" t="n">
        <v>46104</v>
      </c>
      <c r="D561" t="inlineStr">
        <is>
          <t>STOCKHOLMS LÄN</t>
        </is>
      </c>
      <c r="E561" t="inlineStr">
        <is>
          <t>NORRTÄLJE</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47497-2025</t>
        </is>
      </c>
      <c r="B562" s="1" t="n">
        <v>45930.80217592593</v>
      </c>
      <c r="C562" s="1" t="n">
        <v>46104</v>
      </c>
      <c r="D562" t="inlineStr">
        <is>
          <t>STOCKHOLMS LÄN</t>
        </is>
      </c>
      <c r="E562" t="inlineStr">
        <is>
          <t>NORRTÄLJE</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8985-2026</t>
        </is>
      </c>
      <c r="B563" s="1" t="n">
        <v>46069.45234953704</v>
      </c>
      <c r="C563" s="1" t="n">
        <v>46104</v>
      </c>
      <c r="D563" t="inlineStr">
        <is>
          <t>STOCKHOLMS LÄN</t>
        </is>
      </c>
      <c r="E563" t="inlineStr">
        <is>
          <t>NORRTÄLJE</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24690-2025</t>
        </is>
      </c>
      <c r="B564" s="1" t="n">
        <v>45798.67082175926</v>
      </c>
      <c r="C564" s="1" t="n">
        <v>46104</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55952-2024</t>
        </is>
      </c>
      <c r="B565" s="1" t="n">
        <v>45623.62563657408</v>
      </c>
      <c r="C565" s="1" t="n">
        <v>46104</v>
      </c>
      <c r="D565" t="inlineStr">
        <is>
          <t>STOCKHOLMS LÄN</t>
        </is>
      </c>
      <c r="E565" t="inlineStr">
        <is>
          <t>NORRTÄLJE</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8135-2025</t>
        </is>
      </c>
      <c r="B566" s="1" t="n">
        <v>45707.84997685185</v>
      </c>
      <c r="C566" s="1" t="n">
        <v>46104</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3383-2023</t>
        </is>
      </c>
      <c r="B567" s="1" t="n">
        <v>44949</v>
      </c>
      <c r="C567" s="1" t="n">
        <v>46104</v>
      </c>
      <c r="D567" t="inlineStr">
        <is>
          <t>STOCKHOLMS LÄN</t>
        </is>
      </c>
      <c r="E567" t="inlineStr">
        <is>
          <t>NORRTÄLJE</t>
        </is>
      </c>
      <c r="G567" t="n">
        <v>14.6</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46104</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46104</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48364-2025</t>
        </is>
      </c>
      <c r="B570" s="1" t="n">
        <v>45933.66796296297</v>
      </c>
      <c r="C570" s="1" t="n">
        <v>46104</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718-2026</t>
        </is>
      </c>
      <c r="B571" s="1" t="n">
        <v>46029.63174768518</v>
      </c>
      <c r="C571" s="1" t="n">
        <v>46104</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694-2026</t>
        </is>
      </c>
      <c r="B572" s="1" t="n">
        <v>46029.61375</v>
      </c>
      <c r="C572" s="1" t="n">
        <v>46104</v>
      </c>
      <c r="D572" t="inlineStr">
        <is>
          <t>STOCKHOLMS LÄN</t>
        </is>
      </c>
      <c r="E572" t="inlineStr">
        <is>
          <t>NORRTÄLJE</t>
        </is>
      </c>
      <c r="G572" t="n">
        <v>9.6</v>
      </c>
      <c r="H572" t="n">
        <v>0</v>
      </c>
      <c r="I572" t="n">
        <v>0</v>
      </c>
      <c r="J572" t="n">
        <v>0</v>
      </c>
      <c r="K572" t="n">
        <v>0</v>
      </c>
      <c r="L572" t="n">
        <v>0</v>
      </c>
      <c r="M572" t="n">
        <v>0</v>
      </c>
      <c r="N572" t="n">
        <v>0</v>
      </c>
      <c r="O572" t="n">
        <v>0</v>
      </c>
      <c r="P572" t="n">
        <v>0</v>
      </c>
      <c r="Q572" t="n">
        <v>0</v>
      </c>
      <c r="R572" s="2" t="inlineStr"/>
    </row>
    <row r="573" ht="15" customHeight="1">
      <c r="A573" t="inlineStr">
        <is>
          <t>A 21732-2023</t>
        </is>
      </c>
      <c r="B573" s="1" t="n">
        <v>45063</v>
      </c>
      <c r="C573" s="1" t="n">
        <v>46104</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23307-2024</t>
        </is>
      </c>
      <c r="B574" s="1" t="n">
        <v>45453</v>
      </c>
      <c r="C574" s="1" t="n">
        <v>46104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48174-2025</t>
        </is>
      </c>
      <c r="B575" s="1" t="n">
        <v>45933.44230324074</v>
      </c>
      <c r="C575" s="1" t="n">
        <v>46104</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47259-2024</t>
        </is>
      </c>
      <c r="B576" s="1" t="n">
        <v>45586</v>
      </c>
      <c r="C576" s="1" t="n">
        <v>46104</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48127-2025</t>
        </is>
      </c>
      <c r="B577" s="1" t="n">
        <v>45933.36621527778</v>
      </c>
      <c r="C577" s="1" t="n">
        <v>46104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46104</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693-2026</t>
        </is>
      </c>
      <c r="B579" s="1" t="n">
        <v>46029.6133449074</v>
      </c>
      <c r="C579" s="1" t="n">
        <v>46104</v>
      </c>
      <c r="D579" t="inlineStr">
        <is>
          <t>STOCKHOLMS LÄN</t>
        </is>
      </c>
      <c r="E579" t="inlineStr">
        <is>
          <t>NORRTÄLJE</t>
        </is>
      </c>
      <c r="G579" t="n">
        <v>9.6</v>
      </c>
      <c r="H579" t="n">
        <v>0</v>
      </c>
      <c r="I579" t="n">
        <v>0</v>
      </c>
      <c r="J579" t="n">
        <v>0</v>
      </c>
      <c r="K579" t="n">
        <v>0</v>
      </c>
      <c r="L579" t="n">
        <v>0</v>
      </c>
      <c r="M579" t="n">
        <v>0</v>
      </c>
      <c r="N579" t="n">
        <v>0</v>
      </c>
      <c r="O579" t="n">
        <v>0</v>
      </c>
      <c r="P579" t="n">
        <v>0</v>
      </c>
      <c r="Q579" t="n">
        <v>0</v>
      </c>
      <c r="R579" s="2" t="inlineStr"/>
    </row>
    <row r="580" ht="15" customHeight="1">
      <c r="A580" t="inlineStr">
        <is>
          <t>A 25702-2025</t>
        </is>
      </c>
      <c r="B580" s="1" t="n">
        <v>45800</v>
      </c>
      <c r="C580" s="1" t="n">
        <v>46104</v>
      </c>
      <c r="D580" t="inlineStr">
        <is>
          <t>STOCKHOLMS LÄN</t>
        </is>
      </c>
      <c r="E580" t="inlineStr">
        <is>
          <t>NORRTÄLJE</t>
        </is>
      </c>
      <c r="G580" t="n">
        <v>5.3</v>
      </c>
      <c r="H580" t="n">
        <v>0</v>
      </c>
      <c r="I580" t="n">
        <v>0</v>
      </c>
      <c r="J580" t="n">
        <v>0</v>
      </c>
      <c r="K580" t="n">
        <v>0</v>
      </c>
      <c r="L580" t="n">
        <v>0</v>
      </c>
      <c r="M580" t="n">
        <v>0</v>
      </c>
      <c r="N580" t="n">
        <v>0</v>
      </c>
      <c r="O580" t="n">
        <v>0</v>
      </c>
      <c r="P580" t="n">
        <v>0</v>
      </c>
      <c r="Q580" t="n">
        <v>0</v>
      </c>
      <c r="R580" s="2" t="inlineStr"/>
    </row>
    <row r="581" ht="15" customHeight="1">
      <c r="A581" t="inlineStr">
        <is>
          <t>A 48718-2025</t>
        </is>
      </c>
      <c r="B581" s="1" t="n">
        <v>45936</v>
      </c>
      <c r="C581" s="1" t="n">
        <v>46104</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475-2026</t>
        </is>
      </c>
      <c r="B582" s="1" t="n">
        <v>46029.39351851852</v>
      </c>
      <c r="C582" s="1" t="n">
        <v>46104</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717-2026</t>
        </is>
      </c>
      <c r="B583" s="1" t="n">
        <v>46029.63028935185</v>
      </c>
      <c r="C583" s="1" t="n">
        <v>46104</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48593-2025</t>
        </is>
      </c>
      <c r="B584" s="1" t="n">
        <v>45936.4627662037</v>
      </c>
      <c r="C584" s="1" t="n">
        <v>46104</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812-2026</t>
        </is>
      </c>
      <c r="B585" s="1" t="n">
        <v>46030.33358796296</v>
      </c>
      <c r="C585" s="1" t="n">
        <v>46104</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46104</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56428-2023</t>
        </is>
      </c>
      <c r="B587" s="1" t="n">
        <v>45243.45289351852</v>
      </c>
      <c r="C587" s="1" t="n">
        <v>46104</v>
      </c>
      <c r="D587" t="inlineStr">
        <is>
          <t>STOCKHOLMS LÄN</t>
        </is>
      </c>
      <c r="E587" t="inlineStr">
        <is>
          <t>NORRTÄLJE</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48443-2025</t>
        </is>
      </c>
      <c r="B588" s="1" t="n">
        <v>45935.55326388889</v>
      </c>
      <c r="C588" s="1" t="n">
        <v>46104</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25712-2025</t>
        </is>
      </c>
      <c r="B589" s="1" t="n">
        <v>45803.69228009259</v>
      </c>
      <c r="C589" s="1" t="n">
        <v>46104</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17556-2025</t>
        </is>
      </c>
      <c r="B590" s="1" t="n">
        <v>45757.62482638889</v>
      </c>
      <c r="C590" s="1" t="n">
        <v>46104</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25733-2025</t>
        </is>
      </c>
      <c r="B591" s="1" t="n">
        <v>45800</v>
      </c>
      <c r="C591" s="1" t="n">
        <v>46104</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39238-2024</t>
        </is>
      </c>
      <c r="B592" s="1" t="n">
        <v>45549</v>
      </c>
      <c r="C592" s="1" t="n">
        <v>46104</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25571-2025</t>
        </is>
      </c>
      <c r="B593" s="1" t="n">
        <v>45803.4675</v>
      </c>
      <c r="C593" s="1" t="n">
        <v>46104</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25721-2025</t>
        </is>
      </c>
      <c r="B594" s="1" t="n">
        <v>45800</v>
      </c>
      <c r="C594" s="1" t="n">
        <v>46104</v>
      </c>
      <c r="D594" t="inlineStr">
        <is>
          <t>STOCKHOLMS LÄN</t>
        </is>
      </c>
      <c r="E594" t="inlineStr">
        <is>
          <t>NORRTÄLJE</t>
        </is>
      </c>
      <c r="G594" t="n">
        <v>6</v>
      </c>
      <c r="H594" t="n">
        <v>0</v>
      </c>
      <c r="I594" t="n">
        <v>0</v>
      </c>
      <c r="J594" t="n">
        <v>0</v>
      </c>
      <c r="K594" t="n">
        <v>0</v>
      </c>
      <c r="L594" t="n">
        <v>0</v>
      </c>
      <c r="M594" t="n">
        <v>0</v>
      </c>
      <c r="N594" t="n">
        <v>0</v>
      </c>
      <c r="O594" t="n">
        <v>0</v>
      </c>
      <c r="P594" t="n">
        <v>0</v>
      </c>
      <c r="Q594" t="n">
        <v>0</v>
      </c>
      <c r="R594" s="2" t="inlineStr"/>
    </row>
    <row r="595" ht="15" customHeight="1">
      <c r="A595" t="inlineStr">
        <is>
          <t>A 48780-2025</t>
        </is>
      </c>
      <c r="B595" s="1" t="n">
        <v>45937.30377314815</v>
      </c>
      <c r="C595" s="1" t="n">
        <v>46104</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25697-2025</t>
        </is>
      </c>
      <c r="B596" s="1" t="n">
        <v>45803.66587962963</v>
      </c>
      <c r="C596" s="1" t="n">
        <v>46104</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41218-2024</t>
        </is>
      </c>
      <c r="B597" s="1" t="n">
        <v>45559.54706018518</v>
      </c>
      <c r="C597" s="1" t="n">
        <v>46104</v>
      </c>
      <c r="D597" t="inlineStr">
        <is>
          <t>STOCKHOLMS LÄN</t>
        </is>
      </c>
      <c r="E597" t="inlineStr">
        <is>
          <t>NORRTÄLJE</t>
        </is>
      </c>
      <c r="G597" t="n">
        <v>6</v>
      </c>
      <c r="H597" t="n">
        <v>0</v>
      </c>
      <c r="I597" t="n">
        <v>0</v>
      </c>
      <c r="J597" t="n">
        <v>0</v>
      </c>
      <c r="K597" t="n">
        <v>0</v>
      </c>
      <c r="L597" t="n">
        <v>0</v>
      </c>
      <c r="M597" t="n">
        <v>0</v>
      </c>
      <c r="N597" t="n">
        <v>0</v>
      </c>
      <c r="O597" t="n">
        <v>0</v>
      </c>
      <c r="P597" t="n">
        <v>0</v>
      </c>
      <c r="Q597" t="n">
        <v>0</v>
      </c>
      <c r="R597" s="2" t="inlineStr"/>
    </row>
    <row r="598" ht="15" customHeight="1">
      <c r="A598" t="inlineStr">
        <is>
          <t>A 42094-2023</t>
        </is>
      </c>
      <c r="B598" s="1" t="n">
        <v>45177.61498842593</v>
      </c>
      <c r="C598" s="1" t="n">
        <v>46104</v>
      </c>
      <c r="D598" t="inlineStr">
        <is>
          <t>STOCKHOLMS LÄN</t>
        </is>
      </c>
      <c r="E598" t="inlineStr">
        <is>
          <t>NORRTÄLJE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8370-2025</t>
        </is>
      </c>
      <c r="B599" s="1" t="n">
        <v>45708</v>
      </c>
      <c r="C599" s="1" t="n">
        <v>46104</v>
      </c>
      <c r="D599" t="inlineStr">
        <is>
          <t>STOCKHOLMS LÄN</t>
        </is>
      </c>
      <c r="E599" t="inlineStr">
        <is>
          <t>NORRTÄLJE</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3299-2022</t>
        </is>
      </c>
      <c r="B600" s="1" t="n">
        <v>44584.91001157407</v>
      </c>
      <c r="C600" s="1" t="n">
        <v>46104</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49129-2025</t>
        </is>
      </c>
      <c r="B601" s="1" t="n">
        <v>45937.89517361111</v>
      </c>
      <c r="C601" s="1" t="n">
        <v>46104</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9720-2026</t>
        </is>
      </c>
      <c r="B602" s="1" t="n">
        <v>46072.45061342593</v>
      </c>
      <c r="C602" s="1" t="n">
        <v>46104</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12348-2025</t>
        </is>
      </c>
      <c r="B603" s="1" t="n">
        <v>45730.35026620371</v>
      </c>
      <c r="C603" s="1" t="n">
        <v>46104</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17545-2025</t>
        </is>
      </c>
      <c r="B604" s="1" t="n">
        <v>45757.60658564815</v>
      </c>
      <c r="C604" s="1" t="n">
        <v>46104</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10399-2026</t>
        </is>
      </c>
      <c r="B605" s="1" t="n">
        <v>46077</v>
      </c>
      <c r="C605" s="1" t="n">
        <v>46104</v>
      </c>
      <c r="D605" t="inlineStr">
        <is>
          <t>STOCKHOLMS LÄN</t>
        </is>
      </c>
      <c r="E605" t="inlineStr">
        <is>
          <t>NORRTÄLJE</t>
        </is>
      </c>
      <c r="F605" t="inlineStr">
        <is>
          <t>Övriga Aktiebolag</t>
        </is>
      </c>
      <c r="G605" t="n">
        <v>0.2</v>
      </c>
      <c r="H605" t="n">
        <v>0</v>
      </c>
      <c r="I605" t="n">
        <v>0</v>
      </c>
      <c r="J605" t="n">
        <v>0</v>
      </c>
      <c r="K605" t="n">
        <v>0</v>
      </c>
      <c r="L605" t="n">
        <v>0</v>
      </c>
      <c r="M605" t="n">
        <v>0</v>
      </c>
      <c r="N605" t="n">
        <v>0</v>
      </c>
      <c r="O605" t="n">
        <v>0</v>
      </c>
      <c r="P605" t="n">
        <v>0</v>
      </c>
      <c r="Q605" t="n">
        <v>0</v>
      </c>
      <c r="R605" s="2" t="inlineStr"/>
    </row>
    <row r="606" ht="15" customHeight="1">
      <c r="A606" t="inlineStr">
        <is>
          <t>A 25094-2023</t>
        </is>
      </c>
      <c r="B606" s="1" t="n">
        <v>45086.3629050926</v>
      </c>
      <c r="C606" s="1" t="n">
        <v>46104</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36157-2024</t>
        </is>
      </c>
      <c r="B607" s="1" t="n">
        <v>45534.38240740741</v>
      </c>
      <c r="C607" s="1" t="n">
        <v>46104</v>
      </c>
      <c r="D607" t="inlineStr">
        <is>
          <t>STOCKHOLMS LÄN</t>
        </is>
      </c>
      <c r="E607" t="inlineStr">
        <is>
          <t>NORRTÄLJE</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47694-2023</t>
        </is>
      </c>
      <c r="B608" s="1" t="n">
        <v>45203.63303240741</v>
      </c>
      <c r="C608" s="1" t="n">
        <v>46104</v>
      </c>
      <c r="D608" t="inlineStr">
        <is>
          <t>STOCKHOLMS LÄN</t>
        </is>
      </c>
      <c r="E608" t="inlineStr">
        <is>
          <t>NORRTÄLJE</t>
        </is>
      </c>
      <c r="G608" t="n">
        <v>5.2</v>
      </c>
      <c r="H608" t="n">
        <v>0</v>
      </c>
      <c r="I608" t="n">
        <v>0</v>
      </c>
      <c r="J608" t="n">
        <v>0</v>
      </c>
      <c r="K608" t="n">
        <v>0</v>
      </c>
      <c r="L608" t="n">
        <v>0</v>
      </c>
      <c r="M608" t="n">
        <v>0</v>
      </c>
      <c r="N608" t="n">
        <v>0</v>
      </c>
      <c r="O608" t="n">
        <v>0</v>
      </c>
      <c r="P608" t="n">
        <v>0</v>
      </c>
      <c r="Q608" t="n">
        <v>0</v>
      </c>
      <c r="R608" s="2" t="inlineStr"/>
    </row>
    <row r="609" ht="15" customHeight="1">
      <c r="A609" t="inlineStr">
        <is>
          <t>A 50097-2025</t>
        </is>
      </c>
      <c r="B609" s="1" t="n">
        <v>45943.50207175926</v>
      </c>
      <c r="C609" s="1" t="n">
        <v>46104</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35532-2024</t>
        </is>
      </c>
      <c r="B610" s="1" t="n">
        <v>45531</v>
      </c>
      <c r="C610" s="1" t="n">
        <v>46104</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46104</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1755-2026</t>
        </is>
      </c>
      <c r="B612" s="1" t="n">
        <v>46034.66230324074</v>
      </c>
      <c r="C612" s="1" t="n">
        <v>46104</v>
      </c>
      <c r="D612" t="inlineStr">
        <is>
          <t>STOCKHOLMS LÄN</t>
        </is>
      </c>
      <c r="E612" t="inlineStr">
        <is>
          <t>NORRTÄLJE</t>
        </is>
      </c>
      <c r="F612" t="inlineStr">
        <is>
          <t>Holmen skog AB</t>
        </is>
      </c>
      <c r="G612" t="n">
        <v>3.5</v>
      </c>
      <c r="H612" t="n">
        <v>0</v>
      </c>
      <c r="I612" t="n">
        <v>0</v>
      </c>
      <c r="J612" t="n">
        <v>0</v>
      </c>
      <c r="K612" t="n">
        <v>0</v>
      </c>
      <c r="L612" t="n">
        <v>0</v>
      </c>
      <c r="M612" t="n">
        <v>0</v>
      </c>
      <c r="N612" t="n">
        <v>0</v>
      </c>
      <c r="O612" t="n">
        <v>0</v>
      </c>
      <c r="P612" t="n">
        <v>0</v>
      </c>
      <c r="Q612" t="n">
        <v>0</v>
      </c>
      <c r="R612" s="2" t="inlineStr"/>
    </row>
    <row r="613" ht="15" customHeight="1">
      <c r="A613" t="inlineStr">
        <is>
          <t>A 1654-2025</t>
        </is>
      </c>
      <c r="B613" s="1" t="n">
        <v>45670.65921296296</v>
      </c>
      <c r="C613" s="1" t="n">
        <v>46104</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62644-2023</t>
        </is>
      </c>
      <c r="B614" s="1" t="n">
        <v>45271</v>
      </c>
      <c r="C614" s="1" t="n">
        <v>46104</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38449-2022</t>
        </is>
      </c>
      <c r="B615" s="1" t="n">
        <v>44813</v>
      </c>
      <c r="C615" s="1" t="n">
        <v>46104</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1789-2026</t>
        </is>
      </c>
      <c r="B616" s="1" t="n">
        <v>46034</v>
      </c>
      <c r="C616" s="1" t="n">
        <v>46104</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11229-2022</t>
        </is>
      </c>
      <c r="B617" s="1" t="n">
        <v>44629</v>
      </c>
      <c r="C617" s="1" t="n">
        <v>46104</v>
      </c>
      <c r="D617" t="inlineStr">
        <is>
          <t>STOCKHOLMS LÄN</t>
        </is>
      </c>
      <c r="E617" t="inlineStr">
        <is>
          <t>NORRTÄLJE</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10429-2026</t>
        </is>
      </c>
      <c r="B618" s="1" t="n">
        <v>46077.3822337963</v>
      </c>
      <c r="C618" s="1" t="n">
        <v>46104</v>
      </c>
      <c r="D618" t="inlineStr">
        <is>
          <t>STOCKHOLMS LÄN</t>
        </is>
      </c>
      <c r="E618" t="inlineStr">
        <is>
          <t>NORRTÄLJE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10444-2026</t>
        </is>
      </c>
      <c r="B619" s="1" t="n">
        <v>46077.42230324074</v>
      </c>
      <c r="C619" s="1" t="n">
        <v>46104</v>
      </c>
      <c r="D619" t="inlineStr">
        <is>
          <t>STOCKHOLMS LÄN</t>
        </is>
      </c>
      <c r="E619" t="inlineStr">
        <is>
          <t>NORRTÄLJE</t>
        </is>
      </c>
      <c r="F619" t="inlineStr">
        <is>
          <t>Holmen skog AB</t>
        </is>
      </c>
      <c r="G619" t="n">
        <v>4.9</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46104</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10586-2026</t>
        </is>
      </c>
      <c r="B621" s="1" t="n">
        <v>46077.68192129629</v>
      </c>
      <c r="C621" s="1" t="n">
        <v>46104</v>
      </c>
      <c r="D621" t="inlineStr">
        <is>
          <t>STOCKHOLMS LÄN</t>
        </is>
      </c>
      <c r="E621" t="inlineStr">
        <is>
          <t>NORRTÄLJE</t>
        </is>
      </c>
      <c r="F621" t="inlineStr">
        <is>
          <t>Holmen skog AB</t>
        </is>
      </c>
      <c r="G621" t="n">
        <v>3.3</v>
      </c>
      <c r="H621" t="n">
        <v>0</v>
      </c>
      <c r="I621" t="n">
        <v>0</v>
      </c>
      <c r="J621" t="n">
        <v>0</v>
      </c>
      <c r="K621" t="n">
        <v>0</v>
      </c>
      <c r="L621" t="n">
        <v>0</v>
      </c>
      <c r="M621" t="n">
        <v>0</v>
      </c>
      <c r="N621" t="n">
        <v>0</v>
      </c>
      <c r="O621" t="n">
        <v>0</v>
      </c>
      <c r="P621" t="n">
        <v>0</v>
      </c>
      <c r="Q621" t="n">
        <v>0</v>
      </c>
      <c r="R621" s="2" t="inlineStr"/>
    </row>
    <row r="622" ht="15" customHeight="1">
      <c r="A622" t="inlineStr">
        <is>
          <t>A 10553-2026</t>
        </is>
      </c>
      <c r="B622" s="1" t="n">
        <v>46077.62944444444</v>
      </c>
      <c r="C622" s="1" t="n">
        <v>46104</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50563-2025</t>
        </is>
      </c>
      <c r="B623" s="1" t="n">
        <v>45944</v>
      </c>
      <c r="C623" s="1" t="n">
        <v>46104</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50333-2025</t>
        </is>
      </c>
      <c r="B624" s="1" t="n">
        <v>45944.47178240741</v>
      </c>
      <c r="C624" s="1" t="n">
        <v>46104</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57353-2024</t>
        </is>
      </c>
      <c r="B625" s="1" t="n">
        <v>45629.65143518519</v>
      </c>
      <c r="C625" s="1" t="n">
        <v>46104</v>
      </c>
      <c r="D625" t="inlineStr">
        <is>
          <t>STOCKHOLMS LÄN</t>
        </is>
      </c>
      <c r="E625" t="inlineStr">
        <is>
          <t>NORRTÄLJE</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51122-2025</t>
        </is>
      </c>
      <c r="B626" s="1" t="n">
        <v>45947.53693287037</v>
      </c>
      <c r="C626" s="1" t="n">
        <v>46104</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48587-2023</t>
        </is>
      </c>
      <c r="B627" s="1" t="n">
        <v>45208</v>
      </c>
      <c r="C627" s="1" t="n">
        <v>46104</v>
      </c>
      <c r="D627" t="inlineStr">
        <is>
          <t>STOCKHOLMS LÄN</t>
        </is>
      </c>
      <c r="E627" t="inlineStr">
        <is>
          <t>NORRTÄLJE</t>
        </is>
      </c>
      <c r="G627" t="n">
        <v>7</v>
      </c>
      <c r="H627" t="n">
        <v>0</v>
      </c>
      <c r="I627" t="n">
        <v>0</v>
      </c>
      <c r="J627" t="n">
        <v>0</v>
      </c>
      <c r="K627" t="n">
        <v>0</v>
      </c>
      <c r="L627" t="n">
        <v>0</v>
      </c>
      <c r="M627" t="n">
        <v>0</v>
      </c>
      <c r="N627" t="n">
        <v>0</v>
      </c>
      <c r="O627" t="n">
        <v>0</v>
      </c>
      <c r="P627" t="n">
        <v>0</v>
      </c>
      <c r="Q627" t="n">
        <v>0</v>
      </c>
      <c r="R627" s="2" t="inlineStr"/>
    </row>
    <row r="628" ht="15" customHeight="1">
      <c r="A628" t="inlineStr">
        <is>
          <t>A 51233-2025</t>
        </is>
      </c>
      <c r="B628" s="1" t="n">
        <v>45947.68232638889</v>
      </c>
      <c r="C628" s="1" t="n">
        <v>46104</v>
      </c>
      <c r="D628" t="inlineStr">
        <is>
          <t>STOCKHOLMS LÄN</t>
        </is>
      </c>
      <c r="E628" t="inlineStr">
        <is>
          <t>NORRTÄLJE</t>
        </is>
      </c>
      <c r="F628" t="inlineStr">
        <is>
          <t>Naturvårdsverket</t>
        </is>
      </c>
      <c r="G628" t="n">
        <v>8.1</v>
      </c>
      <c r="H628" t="n">
        <v>0</v>
      </c>
      <c r="I628" t="n">
        <v>0</v>
      </c>
      <c r="J628" t="n">
        <v>0</v>
      </c>
      <c r="K628" t="n">
        <v>0</v>
      </c>
      <c r="L628" t="n">
        <v>0</v>
      </c>
      <c r="M628" t="n">
        <v>0</v>
      </c>
      <c r="N628" t="n">
        <v>0</v>
      </c>
      <c r="O628" t="n">
        <v>0</v>
      </c>
      <c r="P628" t="n">
        <v>0</v>
      </c>
      <c r="Q628" t="n">
        <v>0</v>
      </c>
      <c r="R628" s="2" t="inlineStr"/>
    </row>
    <row r="629" ht="15" customHeight="1">
      <c r="A629" t="inlineStr">
        <is>
          <t>A 51236-2025</t>
        </is>
      </c>
      <c r="B629" s="1" t="n">
        <v>45947.69078703703</v>
      </c>
      <c r="C629" s="1" t="n">
        <v>46104</v>
      </c>
      <c r="D629" t="inlineStr">
        <is>
          <t>STOCKHOLMS LÄN</t>
        </is>
      </c>
      <c r="E629" t="inlineStr">
        <is>
          <t>NORRTÄLJE</t>
        </is>
      </c>
      <c r="F629" t="inlineStr">
        <is>
          <t>Naturvårdsverket</t>
        </is>
      </c>
      <c r="G629" t="n">
        <v>6.3</v>
      </c>
      <c r="H629" t="n">
        <v>0</v>
      </c>
      <c r="I629" t="n">
        <v>0</v>
      </c>
      <c r="J629" t="n">
        <v>0</v>
      </c>
      <c r="K629" t="n">
        <v>0</v>
      </c>
      <c r="L629" t="n">
        <v>0</v>
      </c>
      <c r="M629" t="n">
        <v>0</v>
      </c>
      <c r="N629" t="n">
        <v>0</v>
      </c>
      <c r="O629" t="n">
        <v>0</v>
      </c>
      <c r="P629" t="n">
        <v>0</v>
      </c>
      <c r="Q629" t="n">
        <v>0</v>
      </c>
      <c r="R629" s="2" t="inlineStr"/>
    </row>
    <row r="630" ht="15" customHeight="1">
      <c r="A630" t="inlineStr">
        <is>
          <t>A 51241-2025</t>
        </is>
      </c>
      <c r="B630" s="1" t="n">
        <v>45947.71726851852</v>
      </c>
      <c r="C630" s="1" t="n">
        <v>46104</v>
      </c>
      <c r="D630" t="inlineStr">
        <is>
          <t>STOCKHOLMS LÄN</t>
        </is>
      </c>
      <c r="E630" t="inlineStr">
        <is>
          <t>NORRTÄLJE</t>
        </is>
      </c>
      <c r="F630" t="inlineStr">
        <is>
          <t>Naturvårdsverket</t>
        </is>
      </c>
      <c r="G630" t="n">
        <v>6.4</v>
      </c>
      <c r="H630" t="n">
        <v>0</v>
      </c>
      <c r="I630" t="n">
        <v>0</v>
      </c>
      <c r="J630" t="n">
        <v>0</v>
      </c>
      <c r="K630" t="n">
        <v>0</v>
      </c>
      <c r="L630" t="n">
        <v>0</v>
      </c>
      <c r="M630" t="n">
        <v>0</v>
      </c>
      <c r="N630" t="n">
        <v>0</v>
      </c>
      <c r="O630" t="n">
        <v>0</v>
      </c>
      <c r="P630" t="n">
        <v>0</v>
      </c>
      <c r="Q630" t="n">
        <v>0</v>
      </c>
      <c r="R630" s="2" t="inlineStr"/>
    </row>
    <row r="631" ht="15" customHeight="1">
      <c r="A631" t="inlineStr">
        <is>
          <t>A 51240-2025</t>
        </is>
      </c>
      <c r="B631" s="1" t="n">
        <v>45947.70420138889</v>
      </c>
      <c r="C631" s="1" t="n">
        <v>46104</v>
      </c>
      <c r="D631" t="inlineStr">
        <is>
          <t>STOCKHOLMS LÄN</t>
        </is>
      </c>
      <c r="E631" t="inlineStr">
        <is>
          <t>NORRTÄLJE</t>
        </is>
      </c>
      <c r="F631" t="inlineStr">
        <is>
          <t>Naturvårdsverket</t>
        </is>
      </c>
      <c r="G631" t="n">
        <v>3</v>
      </c>
      <c r="H631" t="n">
        <v>0</v>
      </c>
      <c r="I631" t="n">
        <v>0</v>
      </c>
      <c r="J631" t="n">
        <v>0</v>
      </c>
      <c r="K631" t="n">
        <v>0</v>
      </c>
      <c r="L631" t="n">
        <v>0</v>
      </c>
      <c r="M631" t="n">
        <v>0</v>
      </c>
      <c r="N631" t="n">
        <v>0</v>
      </c>
      <c r="O631" t="n">
        <v>0</v>
      </c>
      <c r="P631" t="n">
        <v>0</v>
      </c>
      <c r="Q631" t="n">
        <v>0</v>
      </c>
      <c r="R631" s="2" t="inlineStr"/>
    </row>
    <row r="632" ht="15" customHeight="1">
      <c r="A632" t="inlineStr">
        <is>
          <t>A 2549-2022</t>
        </is>
      </c>
      <c r="B632" s="1" t="n">
        <v>44580</v>
      </c>
      <c r="C632" s="1" t="n">
        <v>46104</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2088-2026</t>
        </is>
      </c>
      <c r="B633" s="1" t="n">
        <v>46036.35909722222</v>
      </c>
      <c r="C633" s="1" t="n">
        <v>46104</v>
      </c>
      <c r="D633" t="inlineStr">
        <is>
          <t>STOCKHOLMS LÄN</t>
        </is>
      </c>
      <c r="E633" t="inlineStr">
        <is>
          <t>NORRTÄLJE</t>
        </is>
      </c>
      <c r="G633" t="n">
        <v>7</v>
      </c>
      <c r="H633" t="n">
        <v>0</v>
      </c>
      <c r="I633" t="n">
        <v>0</v>
      </c>
      <c r="J633" t="n">
        <v>0</v>
      </c>
      <c r="K633" t="n">
        <v>0</v>
      </c>
      <c r="L633" t="n">
        <v>0</v>
      </c>
      <c r="M633" t="n">
        <v>0</v>
      </c>
      <c r="N633" t="n">
        <v>0</v>
      </c>
      <c r="O633" t="n">
        <v>0</v>
      </c>
      <c r="P633" t="n">
        <v>0</v>
      </c>
      <c r="Q633" t="n">
        <v>0</v>
      </c>
      <c r="R633" s="2" t="inlineStr"/>
    </row>
    <row r="634" ht="15" customHeight="1">
      <c r="A634" t="inlineStr">
        <is>
          <t>A 7582-2026</t>
        </is>
      </c>
      <c r="B634" s="1" t="n">
        <v>46061</v>
      </c>
      <c r="C634" s="1" t="n">
        <v>46104</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4438-2023</t>
        </is>
      </c>
      <c r="B635" s="1" t="n">
        <v>44956</v>
      </c>
      <c r="C635" s="1" t="n">
        <v>46104</v>
      </c>
      <c r="D635" t="inlineStr">
        <is>
          <t>STOCKHOLMS LÄN</t>
        </is>
      </c>
      <c r="E635" t="inlineStr">
        <is>
          <t>NORRTÄLJE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46104</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47758-2023</t>
        </is>
      </c>
      <c r="B637" s="1" t="n">
        <v>45203.83891203703</v>
      </c>
      <c r="C637" s="1" t="n">
        <v>46104</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59477-2025</t>
        </is>
      </c>
      <c r="B638" s="1" t="n">
        <v>45989.58679398148</v>
      </c>
      <c r="C638" s="1" t="n">
        <v>46104</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51061-2023</t>
        </is>
      </c>
      <c r="B639" s="1" t="n">
        <v>45218.65849537037</v>
      </c>
      <c r="C639" s="1" t="n">
        <v>46104</v>
      </c>
      <c r="D639" t="inlineStr">
        <is>
          <t>STOCKHOLMS LÄN</t>
        </is>
      </c>
      <c r="E639" t="inlineStr">
        <is>
          <t>NORRTÄLJE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46104</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22697-2022</t>
        </is>
      </c>
      <c r="B641" s="1" t="n">
        <v>44714.56040509259</v>
      </c>
      <c r="C641" s="1" t="n">
        <v>46104</v>
      </c>
      <c r="D641" t="inlineStr">
        <is>
          <t>STOCKHOLMS LÄN</t>
        </is>
      </c>
      <c r="E641" t="inlineStr">
        <is>
          <t>NORRTÄLJE</t>
        </is>
      </c>
      <c r="G641" t="n">
        <v>5.6</v>
      </c>
      <c r="H641" t="n">
        <v>0</v>
      </c>
      <c r="I641" t="n">
        <v>0</v>
      </c>
      <c r="J641" t="n">
        <v>0</v>
      </c>
      <c r="K641" t="n">
        <v>0</v>
      </c>
      <c r="L641" t="n">
        <v>0</v>
      </c>
      <c r="M641" t="n">
        <v>0</v>
      </c>
      <c r="N641" t="n">
        <v>0</v>
      </c>
      <c r="O641" t="n">
        <v>0</v>
      </c>
      <c r="P641" t="n">
        <v>0</v>
      </c>
      <c r="Q641" t="n">
        <v>0</v>
      </c>
      <c r="R641" s="2" t="inlineStr"/>
    </row>
    <row r="642" ht="15" customHeight="1">
      <c r="A642" t="inlineStr">
        <is>
          <t>A 51789-2025</t>
        </is>
      </c>
      <c r="B642" s="1" t="n">
        <v>45951.68046296296</v>
      </c>
      <c r="C642" s="1" t="n">
        <v>46104</v>
      </c>
      <c r="D642" t="inlineStr">
        <is>
          <t>STOCKHOLMS LÄN</t>
        </is>
      </c>
      <c r="E642" t="inlineStr">
        <is>
          <t>NORRTÄLJE</t>
        </is>
      </c>
      <c r="F642" t="inlineStr">
        <is>
          <t>Naturvårdsverket</t>
        </is>
      </c>
      <c r="G642" t="n">
        <v>8.9</v>
      </c>
      <c r="H642" t="n">
        <v>0</v>
      </c>
      <c r="I642" t="n">
        <v>0</v>
      </c>
      <c r="J642" t="n">
        <v>0</v>
      </c>
      <c r="K642" t="n">
        <v>0</v>
      </c>
      <c r="L642" t="n">
        <v>0</v>
      </c>
      <c r="M642" t="n">
        <v>0</v>
      </c>
      <c r="N642" t="n">
        <v>0</v>
      </c>
      <c r="O642" t="n">
        <v>0</v>
      </c>
      <c r="P642" t="n">
        <v>0</v>
      </c>
      <c r="Q642" t="n">
        <v>0</v>
      </c>
      <c r="R642" s="2" t="inlineStr"/>
    </row>
    <row r="643" ht="15" customHeight="1">
      <c r="A643" t="inlineStr">
        <is>
          <t>A 45549-2022</t>
        </is>
      </c>
      <c r="B643" s="1" t="n">
        <v>44845.48064814815</v>
      </c>
      <c r="C643" s="1" t="n">
        <v>46104</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54396-2021</t>
        </is>
      </c>
      <c r="B644" s="1" t="n">
        <v>44472</v>
      </c>
      <c r="C644" s="1" t="n">
        <v>46104</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2116-2026</t>
        </is>
      </c>
      <c r="B645" s="1" t="n">
        <v>46036.38108796296</v>
      </c>
      <c r="C645" s="1" t="n">
        <v>46104</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24727-2023</t>
        </is>
      </c>
      <c r="B646" s="1" t="n">
        <v>45084.57695601852</v>
      </c>
      <c r="C646" s="1" t="n">
        <v>46104</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48722-2023</t>
        </is>
      </c>
      <c r="B647" s="1" t="n">
        <v>45208.70996527778</v>
      </c>
      <c r="C647" s="1" t="n">
        <v>46104</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10646-2026</t>
        </is>
      </c>
      <c r="B648" s="1" t="n">
        <v>46078.34157407407</v>
      </c>
      <c r="C648" s="1" t="n">
        <v>46104</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35235-2024</t>
        </is>
      </c>
      <c r="B649" s="1" t="n">
        <v>45530</v>
      </c>
      <c r="C649" s="1" t="n">
        <v>46104</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1448-2023</t>
        </is>
      </c>
      <c r="B650" s="1" t="n">
        <v>44937</v>
      </c>
      <c r="C650" s="1" t="n">
        <v>46104</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8736-2024</t>
        </is>
      </c>
      <c r="B651" s="1" t="n">
        <v>45356.4722800926</v>
      </c>
      <c r="C651" s="1" t="n">
        <v>46104</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46104</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33149-2022</t>
        </is>
      </c>
      <c r="B653" s="1" t="n">
        <v>44785</v>
      </c>
      <c r="C653" s="1" t="n">
        <v>46104</v>
      </c>
      <c r="D653" t="inlineStr">
        <is>
          <t>STOCKHOLMS LÄN</t>
        </is>
      </c>
      <c r="E653" t="inlineStr">
        <is>
          <t>NORRTÄLJE</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51941-2025</t>
        </is>
      </c>
      <c r="B654" s="1" t="n">
        <v>45952.52261574074</v>
      </c>
      <c r="C654" s="1" t="n">
        <v>46104</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52061-2025</t>
        </is>
      </c>
      <c r="B655" s="1" t="n">
        <v>45952.63679398148</v>
      </c>
      <c r="C655" s="1" t="n">
        <v>46104</v>
      </c>
      <c r="D655" t="inlineStr">
        <is>
          <t>STOCKHOLMS LÄN</t>
        </is>
      </c>
      <c r="E655" t="inlineStr">
        <is>
          <t>NORRTÄLJE</t>
        </is>
      </c>
      <c r="G655" t="n">
        <v>9.5</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46104</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52251-2025</t>
        </is>
      </c>
      <c r="B657" s="1" t="n">
        <v>45953.49185185185</v>
      </c>
      <c r="C657" s="1" t="n">
        <v>46104</v>
      </c>
      <c r="D657" t="inlineStr">
        <is>
          <t>STOCKHOLMS LÄN</t>
        </is>
      </c>
      <c r="E657" t="inlineStr">
        <is>
          <t>NORRTÄLJE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52254-2025</t>
        </is>
      </c>
      <c r="B658" s="1" t="n">
        <v>45953.49519675926</v>
      </c>
      <c r="C658" s="1" t="n">
        <v>46104</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52773-2025</t>
        </is>
      </c>
      <c r="B659" s="1" t="n">
        <v>45957.41457175926</v>
      </c>
      <c r="C659" s="1" t="n">
        <v>46104</v>
      </c>
      <c r="D659" t="inlineStr">
        <is>
          <t>STOCKHOLMS LÄN</t>
        </is>
      </c>
      <c r="E659" t="inlineStr">
        <is>
          <t>NORRTÄLJE</t>
        </is>
      </c>
      <c r="F659" t="inlineStr">
        <is>
          <t>Sveaskog</t>
        </is>
      </c>
      <c r="G659" t="n">
        <v>10.5</v>
      </c>
      <c r="H659" t="n">
        <v>0</v>
      </c>
      <c r="I659" t="n">
        <v>0</v>
      </c>
      <c r="J659" t="n">
        <v>0</v>
      </c>
      <c r="K659" t="n">
        <v>0</v>
      </c>
      <c r="L659" t="n">
        <v>0</v>
      </c>
      <c r="M659" t="n">
        <v>0</v>
      </c>
      <c r="N659" t="n">
        <v>0</v>
      </c>
      <c r="O659" t="n">
        <v>0</v>
      </c>
      <c r="P659" t="n">
        <v>0</v>
      </c>
      <c r="Q659" t="n">
        <v>0</v>
      </c>
      <c r="R659" s="2" t="inlineStr"/>
    </row>
    <row r="660" ht="15" customHeight="1">
      <c r="A660" t="inlineStr">
        <is>
          <t>A 52777-2025</t>
        </is>
      </c>
      <c r="B660" s="1" t="n">
        <v>45957.41832175926</v>
      </c>
      <c r="C660" s="1" t="n">
        <v>46104</v>
      </c>
      <c r="D660" t="inlineStr">
        <is>
          <t>STOCKHOLMS LÄN</t>
        </is>
      </c>
      <c r="E660" t="inlineStr">
        <is>
          <t>NORRTÄLJE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52526-2025</t>
        </is>
      </c>
      <c r="B661" s="1" t="n">
        <v>45954.53061342592</v>
      </c>
      <c r="C661" s="1" t="n">
        <v>46104</v>
      </c>
      <c r="D661" t="inlineStr">
        <is>
          <t>STOCKHOLMS LÄN</t>
        </is>
      </c>
      <c r="E661" t="inlineStr">
        <is>
          <t>NORRTÄLJE</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53000-2025</t>
        </is>
      </c>
      <c r="B662" s="1" t="n">
        <v>45957.74357638889</v>
      </c>
      <c r="C662" s="1" t="n">
        <v>46104</v>
      </c>
      <c r="D662" t="inlineStr">
        <is>
          <t>STOCKHOLMS LÄN</t>
        </is>
      </c>
      <c r="E662" t="inlineStr">
        <is>
          <t>NORRTÄLJE</t>
        </is>
      </c>
      <c r="G662" t="n">
        <v>2.1</v>
      </c>
      <c r="H662" t="n">
        <v>0</v>
      </c>
      <c r="I662" t="n">
        <v>0</v>
      </c>
      <c r="J662" t="n">
        <v>0</v>
      </c>
      <c r="K662" t="n">
        <v>0</v>
      </c>
      <c r="L662" t="n">
        <v>0</v>
      </c>
      <c r="M662" t="n">
        <v>0</v>
      </c>
      <c r="N662" t="n">
        <v>0</v>
      </c>
      <c r="O662" t="n">
        <v>0</v>
      </c>
      <c r="P662" t="n">
        <v>0</v>
      </c>
      <c r="Q662" t="n">
        <v>0</v>
      </c>
      <c r="R662" s="2" t="inlineStr"/>
    </row>
    <row r="663" ht="15" customHeight="1">
      <c r="A663" t="inlineStr">
        <is>
          <t>A 52703-2025</t>
        </is>
      </c>
      <c r="B663" s="1" t="n">
        <v>45956.88643518519</v>
      </c>
      <c r="C663" s="1" t="n">
        <v>46104</v>
      </c>
      <c r="D663" t="inlineStr">
        <is>
          <t>STOCKHOLMS LÄN</t>
        </is>
      </c>
      <c r="E663" t="inlineStr">
        <is>
          <t>NORRTÄLJE</t>
        </is>
      </c>
      <c r="G663" t="n">
        <v>4.7</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46104</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52734-2025</t>
        </is>
      </c>
      <c r="B665" s="1" t="n">
        <v>45957.3710300926</v>
      </c>
      <c r="C665" s="1" t="n">
        <v>46104</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6537-2024</t>
        </is>
      </c>
      <c r="B666" s="1" t="n">
        <v>45341.39853009259</v>
      </c>
      <c r="C666" s="1" t="n">
        <v>46104</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52776-2025</t>
        </is>
      </c>
      <c r="B667" s="1" t="n">
        <v>45957.41724537037</v>
      </c>
      <c r="C667" s="1" t="n">
        <v>46104</v>
      </c>
      <c r="D667" t="inlineStr">
        <is>
          <t>STOCKHOLMS LÄN</t>
        </is>
      </c>
      <c r="E667" t="inlineStr">
        <is>
          <t>NORRTÄLJE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40175-2024</t>
        </is>
      </c>
      <c r="B668" s="1" t="n">
        <v>45554.55707175926</v>
      </c>
      <c r="C668" s="1" t="n">
        <v>46104</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54558-2024</t>
        </is>
      </c>
      <c r="B669" s="1" t="n">
        <v>45617.62358796296</v>
      </c>
      <c r="C669" s="1" t="n">
        <v>46104</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52529-2025</t>
        </is>
      </c>
      <c r="B670" s="1" t="n">
        <v>45954.53229166667</v>
      </c>
      <c r="C670" s="1" t="n">
        <v>46104</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52704-2025</t>
        </is>
      </c>
      <c r="B671" s="1" t="n">
        <v>45956.89097222222</v>
      </c>
      <c r="C671" s="1" t="n">
        <v>46104</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52553-2025</t>
        </is>
      </c>
      <c r="B672" s="1" t="n">
        <v>45954.5624537037</v>
      </c>
      <c r="C672" s="1" t="n">
        <v>46104</v>
      </c>
      <c r="D672" t="inlineStr">
        <is>
          <t>STOCKHOLMS LÄN</t>
        </is>
      </c>
      <c r="E672" t="inlineStr">
        <is>
          <t>NORRTÄLJE</t>
        </is>
      </c>
      <c r="G672" t="n">
        <v>4.4</v>
      </c>
      <c r="H672" t="n">
        <v>0</v>
      </c>
      <c r="I672" t="n">
        <v>0</v>
      </c>
      <c r="J672" t="n">
        <v>0</v>
      </c>
      <c r="K672" t="n">
        <v>0</v>
      </c>
      <c r="L672" t="n">
        <v>0</v>
      </c>
      <c r="M672" t="n">
        <v>0</v>
      </c>
      <c r="N672" t="n">
        <v>0</v>
      </c>
      <c r="O672" t="n">
        <v>0</v>
      </c>
      <c r="P672" t="n">
        <v>0</v>
      </c>
      <c r="Q672" t="n">
        <v>0</v>
      </c>
      <c r="R672" s="2" t="inlineStr"/>
    </row>
    <row r="673" ht="15" customHeight="1">
      <c r="A673" t="inlineStr">
        <is>
          <t>A 3549-2026</t>
        </is>
      </c>
      <c r="B673" s="1" t="n">
        <v>46042</v>
      </c>
      <c r="C673" s="1" t="n">
        <v>46104</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23056-2023</t>
        </is>
      </c>
      <c r="B674" s="1" t="n">
        <v>45075</v>
      </c>
      <c r="C674" s="1" t="n">
        <v>46104</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47431-2023</t>
        </is>
      </c>
      <c r="B675" s="1" t="n">
        <v>45202</v>
      </c>
      <c r="C675" s="1" t="n">
        <v>46104</v>
      </c>
      <c r="D675" t="inlineStr">
        <is>
          <t>STOCKHOLMS LÄN</t>
        </is>
      </c>
      <c r="E675" t="inlineStr">
        <is>
          <t>NORRTÄLJE</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59499-2023</t>
        </is>
      </c>
      <c r="B676" s="1" t="n">
        <v>45254</v>
      </c>
      <c r="C676" s="1" t="n">
        <v>46104</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59468-2023</t>
        </is>
      </c>
      <c r="B677" s="1" t="n">
        <v>45254.41509259259</v>
      </c>
      <c r="C677" s="1" t="n">
        <v>46104</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46104</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46104</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46104</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21729-2024</t>
        </is>
      </c>
      <c r="B681" s="1" t="n">
        <v>45442</v>
      </c>
      <c r="C681" s="1" t="n">
        <v>46104</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53299-2025</t>
        </is>
      </c>
      <c r="B682" s="1" t="n">
        <v>45959.31901620371</v>
      </c>
      <c r="C682" s="1" t="n">
        <v>46104</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53087-2025</t>
        </is>
      </c>
      <c r="B683" s="1" t="n">
        <v>45958.41065972222</v>
      </c>
      <c r="C683" s="1" t="n">
        <v>46104</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46104</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53629-2025</t>
        </is>
      </c>
      <c r="B685" s="1" t="n">
        <v>45960.49570601852</v>
      </c>
      <c r="C685" s="1" t="n">
        <v>46104</v>
      </c>
      <c r="D685" t="inlineStr">
        <is>
          <t>STOCKHOLMS LÄN</t>
        </is>
      </c>
      <c r="E685" t="inlineStr">
        <is>
          <t>NORRTÄLJE</t>
        </is>
      </c>
      <c r="F685" t="inlineStr">
        <is>
          <t>Naturvårdsverket</t>
        </is>
      </c>
      <c r="G685" t="n">
        <v>7.9</v>
      </c>
      <c r="H685" t="n">
        <v>0</v>
      </c>
      <c r="I685" t="n">
        <v>0</v>
      </c>
      <c r="J685" t="n">
        <v>0</v>
      </c>
      <c r="K685" t="n">
        <v>0</v>
      </c>
      <c r="L685" t="n">
        <v>0</v>
      </c>
      <c r="M685" t="n">
        <v>0</v>
      </c>
      <c r="N685" t="n">
        <v>0</v>
      </c>
      <c r="O685" t="n">
        <v>0</v>
      </c>
      <c r="P685" t="n">
        <v>0</v>
      </c>
      <c r="Q685" t="n">
        <v>0</v>
      </c>
      <c r="R685" s="2" t="inlineStr"/>
    </row>
    <row r="686" ht="15" customHeight="1">
      <c r="A686" t="inlineStr">
        <is>
          <t>A 11854-2025</t>
        </is>
      </c>
      <c r="B686" s="1" t="n">
        <v>45728.38924768518</v>
      </c>
      <c r="C686" s="1" t="n">
        <v>46104</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11648-2026</t>
        </is>
      </c>
      <c r="B687" s="1" t="n">
        <v>46084.51575231482</v>
      </c>
      <c r="C687" s="1" t="n">
        <v>46104</v>
      </c>
      <c r="D687" t="inlineStr">
        <is>
          <t>STOCKHOLMS LÄN</t>
        </is>
      </c>
      <c r="E687" t="inlineStr">
        <is>
          <t>NORRTÄLJE</t>
        </is>
      </c>
      <c r="G687" t="n">
        <v>4.1</v>
      </c>
      <c r="H687" t="n">
        <v>0</v>
      </c>
      <c r="I687" t="n">
        <v>0</v>
      </c>
      <c r="J687" t="n">
        <v>0</v>
      </c>
      <c r="K687" t="n">
        <v>0</v>
      </c>
      <c r="L687" t="n">
        <v>0</v>
      </c>
      <c r="M687" t="n">
        <v>0</v>
      </c>
      <c r="N687" t="n">
        <v>0</v>
      </c>
      <c r="O687" t="n">
        <v>0</v>
      </c>
      <c r="P687" t="n">
        <v>0</v>
      </c>
      <c r="Q687" t="n">
        <v>0</v>
      </c>
      <c r="R687" s="2" t="inlineStr"/>
    </row>
    <row r="688" ht="15" customHeight="1">
      <c r="A688" t="inlineStr">
        <is>
          <t>A 14762-2024</t>
        </is>
      </c>
      <c r="B688" s="1" t="n">
        <v>45397</v>
      </c>
      <c r="C688" s="1" t="n">
        <v>46104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53747-2025</t>
        </is>
      </c>
      <c r="B689" s="1" t="n">
        <v>45960.65415509259</v>
      </c>
      <c r="C689" s="1" t="n">
        <v>46104</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4227-2026</t>
        </is>
      </c>
      <c r="B690" s="1" t="n">
        <v>46044</v>
      </c>
      <c r="C690" s="1" t="n">
        <v>46104</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59712-2024</t>
        </is>
      </c>
      <c r="B691" s="1" t="n">
        <v>45639.45166666667</v>
      </c>
      <c r="C691" s="1" t="n">
        <v>46104</v>
      </c>
      <c r="D691" t="inlineStr">
        <is>
          <t>STOCKHOLMS LÄN</t>
        </is>
      </c>
      <c r="E691" t="inlineStr">
        <is>
          <t>NORRTÄLJE</t>
        </is>
      </c>
      <c r="G691" t="n">
        <v>4.4</v>
      </c>
      <c r="H691" t="n">
        <v>0</v>
      </c>
      <c r="I691" t="n">
        <v>0</v>
      </c>
      <c r="J691" t="n">
        <v>0</v>
      </c>
      <c r="K691" t="n">
        <v>0</v>
      </c>
      <c r="L691" t="n">
        <v>0</v>
      </c>
      <c r="M691" t="n">
        <v>0</v>
      </c>
      <c r="N691" t="n">
        <v>0</v>
      </c>
      <c r="O691" t="n">
        <v>0</v>
      </c>
      <c r="P691" t="n">
        <v>0</v>
      </c>
      <c r="Q691" t="n">
        <v>0</v>
      </c>
      <c r="R691" s="2" t="inlineStr"/>
    </row>
    <row r="692" ht="15" customHeight="1">
      <c r="A692" t="inlineStr">
        <is>
          <t>A 12234-2026</t>
        </is>
      </c>
      <c r="B692" s="1" t="n">
        <v>46087.4091087963</v>
      </c>
      <c r="C692" s="1" t="n">
        <v>46104</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35127-2023</t>
        </is>
      </c>
      <c r="B693" s="1" t="n">
        <v>45145.51</v>
      </c>
      <c r="C693" s="1" t="n">
        <v>46104</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45255-2022</t>
        </is>
      </c>
      <c r="B694" s="1" t="n">
        <v>44840</v>
      </c>
      <c r="C694" s="1" t="n">
        <v>46104</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53561-2023</t>
        </is>
      </c>
      <c r="B695" s="1" t="n">
        <v>45224</v>
      </c>
      <c r="C695" s="1" t="n">
        <v>46104</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4230-2026</t>
        </is>
      </c>
      <c r="B696" s="1" t="n">
        <v>46044.89366898148</v>
      </c>
      <c r="C696" s="1" t="n">
        <v>46104</v>
      </c>
      <c r="D696" t="inlineStr">
        <is>
          <t>STOCKHOLMS LÄN</t>
        </is>
      </c>
      <c r="E696" t="inlineStr">
        <is>
          <t>NORRTÄLJE</t>
        </is>
      </c>
      <c r="G696" t="n">
        <v>10.8</v>
      </c>
      <c r="H696" t="n">
        <v>0</v>
      </c>
      <c r="I696" t="n">
        <v>0</v>
      </c>
      <c r="J696" t="n">
        <v>0</v>
      </c>
      <c r="K696" t="n">
        <v>0</v>
      </c>
      <c r="L696" t="n">
        <v>0</v>
      </c>
      <c r="M696" t="n">
        <v>0</v>
      </c>
      <c r="N696" t="n">
        <v>0</v>
      </c>
      <c r="O696" t="n">
        <v>0</v>
      </c>
      <c r="P696" t="n">
        <v>0</v>
      </c>
      <c r="Q696" t="n">
        <v>0</v>
      </c>
      <c r="R696" s="2" t="inlineStr"/>
    </row>
    <row r="697" ht="15" customHeight="1">
      <c r="A697" t="inlineStr">
        <is>
          <t>A 4231-2026</t>
        </is>
      </c>
      <c r="B697" s="1" t="n">
        <v>46044</v>
      </c>
      <c r="C697" s="1" t="n">
        <v>46104</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4232-2026</t>
        </is>
      </c>
      <c r="B698" s="1" t="n">
        <v>46044.89594907407</v>
      </c>
      <c r="C698" s="1" t="n">
        <v>46104</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59893-2022</t>
        </is>
      </c>
      <c r="B699" s="1" t="n">
        <v>44908.77368055555</v>
      </c>
      <c r="C699" s="1" t="n">
        <v>46104</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3933-2026</t>
        </is>
      </c>
      <c r="B700" s="1" t="n">
        <v>46043.79916666666</v>
      </c>
      <c r="C700" s="1" t="n">
        <v>46104</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39905-2023</t>
        </is>
      </c>
      <c r="B701" s="1" t="n">
        <v>45168.44489583333</v>
      </c>
      <c r="C701" s="1" t="n">
        <v>46104</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5645-2023</t>
        </is>
      </c>
      <c r="B702" s="1" t="n">
        <v>44960.60469907407</v>
      </c>
      <c r="C702" s="1" t="n">
        <v>46104</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68361-2021</t>
        </is>
      </c>
      <c r="B703" s="1" t="n">
        <v>44528.91494212963</v>
      </c>
      <c r="C703" s="1" t="n">
        <v>46104</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60529-2023</t>
        </is>
      </c>
      <c r="B704" s="1" t="n">
        <v>45259</v>
      </c>
      <c r="C704" s="1" t="n">
        <v>46104</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4235-2026</t>
        </is>
      </c>
      <c r="B705" s="1" t="n">
        <v>46044</v>
      </c>
      <c r="C705" s="1" t="n">
        <v>46104</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54907-2025</t>
        </is>
      </c>
      <c r="B706" s="1" t="n">
        <v>45967.37137731481</v>
      </c>
      <c r="C706" s="1" t="n">
        <v>46104</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12718-2026</t>
        </is>
      </c>
      <c r="B707" s="1" t="n">
        <v>46091.60412037037</v>
      </c>
      <c r="C707" s="1" t="n">
        <v>46104</v>
      </c>
      <c r="D707" t="inlineStr">
        <is>
          <t>STOCKHOLMS LÄN</t>
        </is>
      </c>
      <c r="E707" t="inlineStr">
        <is>
          <t>NORRTÄLJE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12703-2026</t>
        </is>
      </c>
      <c r="B708" s="1" t="n">
        <v>46091.58175925926</v>
      </c>
      <c r="C708" s="1" t="n">
        <v>46104</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19706-2023</t>
        </is>
      </c>
      <c r="B709" s="1" t="n">
        <v>45051.455</v>
      </c>
      <c r="C709" s="1" t="n">
        <v>46104</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18539-2021</t>
        </is>
      </c>
      <c r="B710" s="1" t="n">
        <v>44306</v>
      </c>
      <c r="C710" s="1" t="n">
        <v>46104</v>
      </c>
      <c r="D710" t="inlineStr">
        <is>
          <t>STOCKHOLMS LÄN</t>
        </is>
      </c>
      <c r="E710" t="inlineStr">
        <is>
          <t>NORRTÄLJE</t>
        </is>
      </c>
      <c r="F710" t="inlineStr">
        <is>
          <t>Holmen skog AB</t>
        </is>
      </c>
      <c r="G710" t="n">
        <v>5.5</v>
      </c>
      <c r="H710" t="n">
        <v>0</v>
      </c>
      <c r="I710" t="n">
        <v>0</v>
      </c>
      <c r="J710" t="n">
        <v>0</v>
      </c>
      <c r="K710" t="n">
        <v>0</v>
      </c>
      <c r="L710" t="n">
        <v>0</v>
      </c>
      <c r="M710" t="n">
        <v>0</v>
      </c>
      <c r="N710" t="n">
        <v>0</v>
      </c>
      <c r="O710" t="n">
        <v>0</v>
      </c>
      <c r="P710" t="n">
        <v>0</v>
      </c>
      <c r="Q710" t="n">
        <v>0</v>
      </c>
      <c r="R710" s="2" t="inlineStr"/>
    </row>
    <row r="711" ht="15" customHeight="1">
      <c r="A711" t="inlineStr">
        <is>
          <t>A 55503-2025</t>
        </is>
      </c>
      <c r="B711" s="1" t="n">
        <v>45971</v>
      </c>
      <c r="C711" s="1" t="n">
        <v>46104</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17612-2022</t>
        </is>
      </c>
      <c r="B712" s="1" t="n">
        <v>44680</v>
      </c>
      <c r="C712" s="1" t="n">
        <v>46104</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4549-2026</t>
        </is>
      </c>
      <c r="B713" s="1" t="n">
        <v>46047</v>
      </c>
      <c r="C713" s="1" t="n">
        <v>46104</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16835-2022</t>
        </is>
      </c>
      <c r="B714" s="1" t="n">
        <v>44673</v>
      </c>
      <c r="C714" s="1" t="n">
        <v>46104</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62765-2022</t>
        </is>
      </c>
      <c r="B715" s="1" t="n">
        <v>44637</v>
      </c>
      <c r="C715" s="1" t="n">
        <v>46104</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58404-2023</t>
        </is>
      </c>
      <c r="B716" s="1" t="n">
        <v>45245</v>
      </c>
      <c r="C716" s="1" t="n">
        <v>46104</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8586-2023</t>
        </is>
      </c>
      <c r="B717" s="1" t="n">
        <v>44977</v>
      </c>
      <c r="C717" s="1" t="n">
        <v>46104</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16202-2022</t>
        </is>
      </c>
      <c r="B718" s="1" t="n">
        <v>44670</v>
      </c>
      <c r="C718" s="1" t="n">
        <v>46104</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55018-2024</t>
        </is>
      </c>
      <c r="B719" s="1" t="n">
        <v>45621.35712962963</v>
      </c>
      <c r="C719" s="1" t="n">
        <v>46104</v>
      </c>
      <c r="D719" t="inlineStr">
        <is>
          <t>STOCKHOLMS LÄN</t>
        </is>
      </c>
      <c r="E719" t="inlineStr">
        <is>
          <t>NORRTÄLJE</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50136-2023</t>
        </is>
      </c>
      <c r="B720" s="1" t="n">
        <v>45215</v>
      </c>
      <c r="C720" s="1" t="n">
        <v>46104</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25656-2023</t>
        </is>
      </c>
      <c r="B721" s="1" t="n">
        <v>45089</v>
      </c>
      <c r="C721" s="1" t="n">
        <v>46104</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6003-2025</t>
        </is>
      </c>
      <c r="B722" s="1" t="n">
        <v>45695.57881944445</v>
      </c>
      <c r="C722" s="1" t="n">
        <v>46104</v>
      </c>
      <c r="D722" t="inlineStr">
        <is>
          <t>STOCKHOLMS LÄN</t>
        </is>
      </c>
      <c r="E722" t="inlineStr">
        <is>
          <t>NORRTÄLJE</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4886-2026</t>
        </is>
      </c>
      <c r="B723" s="1" t="n">
        <v>46048.66328703704</v>
      </c>
      <c r="C723" s="1" t="n">
        <v>46104</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11902-2024</t>
        </is>
      </c>
      <c r="B724" s="1" t="n">
        <v>45376.55704861111</v>
      </c>
      <c r="C724" s="1" t="n">
        <v>46104</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38049-2023</t>
        </is>
      </c>
      <c r="B725" s="1" t="n">
        <v>45159</v>
      </c>
      <c r="C725" s="1" t="n">
        <v>46104</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59535-2024</t>
        </is>
      </c>
      <c r="B726" s="1" t="n">
        <v>45638.59979166667</v>
      </c>
      <c r="C726" s="1" t="n">
        <v>46104</v>
      </c>
      <c r="D726" t="inlineStr">
        <is>
          <t>STOCKHOLMS LÄN</t>
        </is>
      </c>
      <c r="E726" t="inlineStr">
        <is>
          <t>NORRTÄLJE</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13109-2026</t>
        </is>
      </c>
      <c r="B727" s="1" t="n">
        <v>46093.42730324074</v>
      </c>
      <c r="C727" s="1" t="n">
        <v>46104</v>
      </c>
      <c r="D727" t="inlineStr">
        <is>
          <t>STOCKHOLMS LÄN</t>
        </is>
      </c>
      <c r="E727" t="inlineStr">
        <is>
          <t>NORRTÄLJE</t>
        </is>
      </c>
      <c r="G727" t="n">
        <v>4</v>
      </c>
      <c r="H727" t="n">
        <v>0</v>
      </c>
      <c r="I727" t="n">
        <v>0</v>
      </c>
      <c r="J727" t="n">
        <v>0</v>
      </c>
      <c r="K727" t="n">
        <v>0</v>
      </c>
      <c r="L727" t="n">
        <v>0</v>
      </c>
      <c r="M727" t="n">
        <v>0</v>
      </c>
      <c r="N727" t="n">
        <v>0</v>
      </c>
      <c r="O727" t="n">
        <v>0</v>
      </c>
      <c r="P727" t="n">
        <v>0</v>
      </c>
      <c r="Q727" t="n">
        <v>0</v>
      </c>
      <c r="R727" s="2" t="inlineStr"/>
    </row>
    <row r="728" ht="15" customHeight="1">
      <c r="A728" t="inlineStr">
        <is>
          <t>A 13204-2026</t>
        </is>
      </c>
      <c r="B728" s="1" t="n">
        <v>46093.60788194444</v>
      </c>
      <c r="C728" s="1" t="n">
        <v>46104</v>
      </c>
      <c r="D728" t="inlineStr">
        <is>
          <t>STOCKHOLMS LÄN</t>
        </is>
      </c>
      <c r="E728" t="inlineStr">
        <is>
          <t>NORRTÄLJE</t>
        </is>
      </c>
      <c r="G728" t="n">
        <v>3.5</v>
      </c>
      <c r="H728" t="n">
        <v>0</v>
      </c>
      <c r="I728" t="n">
        <v>0</v>
      </c>
      <c r="J728" t="n">
        <v>0</v>
      </c>
      <c r="K728" t="n">
        <v>0</v>
      </c>
      <c r="L728" t="n">
        <v>0</v>
      </c>
      <c r="M728" t="n">
        <v>0</v>
      </c>
      <c r="N728" t="n">
        <v>0</v>
      </c>
      <c r="O728" t="n">
        <v>0</v>
      </c>
      <c r="P728" t="n">
        <v>0</v>
      </c>
      <c r="Q728" t="n">
        <v>0</v>
      </c>
      <c r="R728" s="2" t="inlineStr"/>
    </row>
    <row r="729" ht="15" customHeight="1">
      <c r="A729" t="inlineStr">
        <is>
          <t>A 4183-2025</t>
        </is>
      </c>
      <c r="B729" s="1" t="n">
        <v>45685.44592592592</v>
      </c>
      <c r="C729" s="1" t="n">
        <v>46104</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5226-2026</t>
        </is>
      </c>
      <c r="B730" s="1" t="n">
        <v>46049.79961805556</v>
      </c>
      <c r="C730" s="1" t="n">
        <v>46104</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9480-2025</t>
        </is>
      </c>
      <c r="B731" s="1" t="n">
        <v>45715</v>
      </c>
      <c r="C731" s="1" t="n">
        <v>46104</v>
      </c>
      <c r="D731" t="inlineStr">
        <is>
          <t>STOCKHOLMS LÄN</t>
        </is>
      </c>
      <c r="E731" t="inlineStr">
        <is>
          <t>NORRTÄLJE</t>
        </is>
      </c>
      <c r="F731" t="inlineStr">
        <is>
          <t>Övriga Aktiebolag</t>
        </is>
      </c>
      <c r="G731" t="n">
        <v>3.9</v>
      </c>
      <c r="H731" t="n">
        <v>0</v>
      </c>
      <c r="I731" t="n">
        <v>0</v>
      </c>
      <c r="J731" t="n">
        <v>0</v>
      </c>
      <c r="K731" t="n">
        <v>0</v>
      </c>
      <c r="L731" t="n">
        <v>0</v>
      </c>
      <c r="M731" t="n">
        <v>0</v>
      </c>
      <c r="N731" t="n">
        <v>0</v>
      </c>
      <c r="O731" t="n">
        <v>0</v>
      </c>
      <c r="P731" t="n">
        <v>0</v>
      </c>
      <c r="Q731" t="n">
        <v>0</v>
      </c>
      <c r="R731" s="2" t="inlineStr"/>
    </row>
    <row r="732" ht="15" customHeight="1">
      <c r="A732" t="inlineStr">
        <is>
          <t>A 13122-2026</t>
        </is>
      </c>
      <c r="B732" s="1" t="n">
        <v>46093.45657407407</v>
      </c>
      <c r="C732" s="1" t="n">
        <v>46104</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5224-2026</t>
        </is>
      </c>
      <c r="B733" s="1" t="n">
        <v>46049.79521990741</v>
      </c>
      <c r="C733" s="1" t="n">
        <v>46104</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5227-2026</t>
        </is>
      </c>
      <c r="B734" s="1" t="n">
        <v>46049.80460648148</v>
      </c>
      <c r="C734" s="1" t="n">
        <v>46104</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26051-2025</t>
        </is>
      </c>
      <c r="B735" s="1" t="n">
        <v>45804.74479166666</v>
      </c>
      <c r="C735" s="1" t="n">
        <v>46104</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5241-2026</t>
        </is>
      </c>
      <c r="B736" s="1" t="n">
        <v>46049.86471064815</v>
      </c>
      <c r="C736" s="1" t="n">
        <v>46104</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24522-2023</t>
        </is>
      </c>
      <c r="B737" s="1" t="n">
        <v>45082.69179398148</v>
      </c>
      <c r="C737" s="1" t="n">
        <v>46104</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25625-2023</t>
        </is>
      </c>
      <c r="B738" s="1" t="n">
        <v>45089</v>
      </c>
      <c r="C738" s="1" t="n">
        <v>46104</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37147-2023</t>
        </is>
      </c>
      <c r="B739" s="1" t="n">
        <v>45155</v>
      </c>
      <c r="C739" s="1" t="n">
        <v>46104</v>
      </c>
      <c r="D739" t="inlineStr">
        <is>
          <t>STOCKHOLMS LÄN</t>
        </is>
      </c>
      <c r="E739" t="inlineStr">
        <is>
          <t>NORRTÄLJE</t>
        </is>
      </c>
      <c r="G739" t="n">
        <v>8</v>
      </c>
      <c r="H739" t="n">
        <v>0</v>
      </c>
      <c r="I739" t="n">
        <v>0</v>
      </c>
      <c r="J739" t="n">
        <v>0</v>
      </c>
      <c r="K739" t="n">
        <v>0</v>
      </c>
      <c r="L739" t="n">
        <v>0</v>
      </c>
      <c r="M739" t="n">
        <v>0</v>
      </c>
      <c r="N739" t="n">
        <v>0</v>
      </c>
      <c r="O739" t="n">
        <v>0</v>
      </c>
      <c r="P739" t="n">
        <v>0</v>
      </c>
      <c r="Q739" t="n">
        <v>0</v>
      </c>
      <c r="R739" s="2" t="inlineStr"/>
    </row>
    <row r="740" ht="15" customHeight="1">
      <c r="A740" t="inlineStr">
        <is>
          <t>A 7186-2024</t>
        </is>
      </c>
      <c r="B740" s="1" t="n">
        <v>45344</v>
      </c>
      <c r="C740" s="1" t="n">
        <v>46104</v>
      </c>
      <c r="D740" t="inlineStr">
        <is>
          <t>STOCKHOLMS LÄN</t>
        </is>
      </c>
      <c r="E740" t="inlineStr">
        <is>
          <t>NORRTÄLJE</t>
        </is>
      </c>
      <c r="G740" t="n">
        <v>4.9</v>
      </c>
      <c r="H740" t="n">
        <v>0</v>
      </c>
      <c r="I740" t="n">
        <v>0</v>
      </c>
      <c r="J740" t="n">
        <v>0</v>
      </c>
      <c r="K740" t="n">
        <v>0</v>
      </c>
      <c r="L740" t="n">
        <v>0</v>
      </c>
      <c r="M740" t="n">
        <v>0</v>
      </c>
      <c r="N740" t="n">
        <v>0</v>
      </c>
      <c r="O740" t="n">
        <v>0</v>
      </c>
      <c r="P740" t="n">
        <v>0</v>
      </c>
      <c r="Q740" t="n">
        <v>0</v>
      </c>
      <c r="R740" s="2" t="inlineStr"/>
    </row>
    <row r="741" ht="15" customHeight="1">
      <c r="A741" t="inlineStr">
        <is>
          <t>A 13544-2026</t>
        </is>
      </c>
      <c r="B741" s="1" t="n">
        <v>46094.68538194444</v>
      </c>
      <c r="C741" s="1" t="n">
        <v>46104</v>
      </c>
      <c r="D741" t="inlineStr">
        <is>
          <t>STOCKHOLMS LÄN</t>
        </is>
      </c>
      <c r="E741" t="inlineStr">
        <is>
          <t>NORRTÄLJE</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57602-2024</t>
        </is>
      </c>
      <c r="B742" s="1" t="n">
        <v>45630.52866898148</v>
      </c>
      <c r="C742" s="1" t="n">
        <v>46104</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39610-2025</t>
        </is>
      </c>
      <c r="B743" s="1" t="n">
        <v>45890</v>
      </c>
      <c r="C743" s="1" t="n">
        <v>46104</v>
      </c>
      <c r="D743" t="inlineStr">
        <is>
          <t>STOCKHOLMS LÄN</t>
        </is>
      </c>
      <c r="E743" t="inlineStr">
        <is>
          <t>NORRTÄLJE</t>
        </is>
      </c>
      <c r="G743" t="n">
        <v>28.6</v>
      </c>
      <c r="H743" t="n">
        <v>0</v>
      </c>
      <c r="I743" t="n">
        <v>0</v>
      </c>
      <c r="J743" t="n">
        <v>0</v>
      </c>
      <c r="K743" t="n">
        <v>0</v>
      </c>
      <c r="L743" t="n">
        <v>0</v>
      </c>
      <c r="M743" t="n">
        <v>0</v>
      </c>
      <c r="N743" t="n">
        <v>0</v>
      </c>
      <c r="O743" t="n">
        <v>0</v>
      </c>
      <c r="P743" t="n">
        <v>0</v>
      </c>
      <c r="Q743" t="n">
        <v>0</v>
      </c>
      <c r="R743" s="2" t="inlineStr"/>
    </row>
    <row r="744" ht="15" customHeight="1">
      <c r="A744" t="inlineStr">
        <is>
          <t>A 64600-2021</t>
        </is>
      </c>
      <c r="B744" s="1" t="n">
        <v>44511.70518518519</v>
      </c>
      <c r="C744" s="1" t="n">
        <v>46104</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50602-2021</t>
        </is>
      </c>
      <c r="B745" s="1" t="n">
        <v>44459</v>
      </c>
      <c r="C745" s="1" t="n">
        <v>46104</v>
      </c>
      <c r="D745" t="inlineStr">
        <is>
          <t>STOCKHOLMS LÄN</t>
        </is>
      </c>
      <c r="E745" t="inlineStr">
        <is>
          <t>NORRTÄLJE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46104</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13545-2026</t>
        </is>
      </c>
      <c r="B747" s="1" t="n">
        <v>46094.6911574074</v>
      </c>
      <c r="C747" s="1" t="n">
        <v>46104</v>
      </c>
      <c r="D747" t="inlineStr">
        <is>
          <t>STOCKHOLMS LÄN</t>
        </is>
      </c>
      <c r="E747" t="inlineStr">
        <is>
          <t>NORRTÄLJE</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5934-2026</t>
        </is>
      </c>
      <c r="B748" s="1" t="n">
        <v>46052.47082175926</v>
      </c>
      <c r="C748" s="1" t="n">
        <v>46104</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13546-2026</t>
        </is>
      </c>
      <c r="B749" s="1" t="n">
        <v>46094.69196759259</v>
      </c>
      <c r="C749" s="1" t="n">
        <v>46104</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26640-2023</t>
        </is>
      </c>
      <c r="B750" s="1" t="n">
        <v>45092</v>
      </c>
      <c r="C750" s="1" t="n">
        <v>46104</v>
      </c>
      <c r="D750" t="inlineStr">
        <is>
          <t>STOCKHOLMS LÄN</t>
        </is>
      </c>
      <c r="E750" t="inlineStr">
        <is>
          <t>NORRTÄLJE</t>
        </is>
      </c>
      <c r="G750" t="n">
        <v>5.7</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46104</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58993-2022</t>
        </is>
      </c>
      <c r="B752" s="1" t="n">
        <v>44903</v>
      </c>
      <c r="C752" s="1" t="n">
        <v>46104</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28900-2022</t>
        </is>
      </c>
      <c r="B753" s="1" t="n">
        <v>44749.55258101852</v>
      </c>
      <c r="C753" s="1" t="n">
        <v>46104</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17574-2025</t>
        </is>
      </c>
      <c r="B754" s="1" t="n">
        <v>45757.65178240741</v>
      </c>
      <c r="C754" s="1" t="n">
        <v>46104</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46104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46104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26708-2025</t>
        </is>
      </c>
      <c r="B757" s="1" t="n">
        <v>45810.45633101852</v>
      </c>
      <c r="C757" s="1" t="n">
        <v>46104</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12299-2025</t>
        </is>
      </c>
      <c r="B758" s="1" t="n">
        <v>45729.71065972222</v>
      </c>
      <c r="C758" s="1" t="n">
        <v>46104</v>
      </c>
      <c r="D758" t="inlineStr">
        <is>
          <t>STOCKHOLMS LÄN</t>
        </is>
      </c>
      <c r="E758" t="inlineStr">
        <is>
          <t>NORRTÄLJE</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22157-2023</t>
        </is>
      </c>
      <c r="B759" s="1" t="n">
        <v>45069</v>
      </c>
      <c r="C759" s="1" t="n">
        <v>46104</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c r="U759">
        <f>HYPERLINK("https://klasma.github.io/Logging_0188/knärot/A 22157-2023 karta knärot.png", "A 22157-2023")</f>
        <v/>
      </c>
      <c r="V759">
        <f>HYPERLINK("https://klasma.github.io/Logging_0188/klagomål/A 22157-2023 FSC-klagomål.docx", "A 22157-2023")</f>
        <v/>
      </c>
      <c r="W759">
        <f>HYPERLINK("https://klasma.github.io/Logging_0188/klagomålsmail/A 22157-2023 FSC-klagomål mail.docx", "A 22157-2023")</f>
        <v/>
      </c>
      <c r="X759">
        <f>HYPERLINK("https://klasma.github.io/Logging_0188/tillsyn/A 22157-2023 tillsynsbegäran.docx", "A 22157-2023")</f>
        <v/>
      </c>
      <c r="Y759">
        <f>HYPERLINK("https://klasma.github.io/Logging_0188/tillsynsmail/A 22157-2023 tillsynsbegäran mail.docx", "A 22157-2023")</f>
        <v/>
      </c>
    </row>
    <row r="760" ht="15" customHeight="1">
      <c r="A760" t="inlineStr">
        <is>
          <t>A 11929-2024</t>
        </is>
      </c>
      <c r="B760" s="1" t="n">
        <v>45376.64532407407</v>
      </c>
      <c r="C760" s="1" t="n">
        <v>46104</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26702-2025</t>
        </is>
      </c>
      <c r="B761" s="1" t="n">
        <v>45810.45236111111</v>
      </c>
      <c r="C761" s="1" t="n">
        <v>46104</v>
      </c>
      <c r="D761" t="inlineStr">
        <is>
          <t>STOCKHOLMS LÄN</t>
        </is>
      </c>
      <c r="E761" t="inlineStr">
        <is>
          <t>NORRTÄLJE</t>
        </is>
      </c>
      <c r="G761" t="n">
        <v>7.3</v>
      </c>
      <c r="H761" t="n">
        <v>0</v>
      </c>
      <c r="I761" t="n">
        <v>0</v>
      </c>
      <c r="J761" t="n">
        <v>0</v>
      </c>
      <c r="K761" t="n">
        <v>0</v>
      </c>
      <c r="L761" t="n">
        <v>0</v>
      </c>
      <c r="M761" t="n">
        <v>0</v>
      </c>
      <c r="N761" t="n">
        <v>0</v>
      </c>
      <c r="O761" t="n">
        <v>0</v>
      </c>
      <c r="P761" t="n">
        <v>0</v>
      </c>
      <c r="Q761" t="n">
        <v>0</v>
      </c>
      <c r="R761" s="2" t="inlineStr"/>
    </row>
    <row r="762" ht="15" customHeight="1">
      <c r="A762" t="inlineStr">
        <is>
          <t>A 23061-2025</t>
        </is>
      </c>
      <c r="B762" s="1" t="n">
        <v>45790.81410879629</v>
      </c>
      <c r="C762" s="1" t="n">
        <v>46104</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27040-2025</t>
        </is>
      </c>
      <c r="B763" s="1" t="n">
        <v>45811.60451388889</v>
      </c>
      <c r="C763" s="1" t="n">
        <v>46104</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26747-2025</t>
        </is>
      </c>
      <c r="B764" s="1" t="n">
        <v>45810.5333912037</v>
      </c>
      <c r="C764" s="1" t="n">
        <v>46104</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26675-2025</t>
        </is>
      </c>
      <c r="B765" s="1" t="n">
        <v>45810.42393518519</v>
      </c>
      <c r="C765" s="1" t="n">
        <v>46104</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27554-2025</t>
        </is>
      </c>
      <c r="B766" s="1" t="n">
        <v>45813.4709375</v>
      </c>
      <c r="C766" s="1" t="n">
        <v>46104</v>
      </c>
      <c r="D766" t="inlineStr">
        <is>
          <t>STOCKHOLMS LÄN</t>
        </is>
      </c>
      <c r="E766" t="inlineStr">
        <is>
          <t>NORRTÄLJE</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8296-2023</t>
        </is>
      </c>
      <c r="B767" s="1" t="n">
        <v>44974</v>
      </c>
      <c r="C767" s="1" t="n">
        <v>46104</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24575-2024</t>
        </is>
      </c>
      <c r="B768" s="1" t="n">
        <v>45460.45523148148</v>
      </c>
      <c r="C768" s="1" t="n">
        <v>46104</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64899-2023</t>
        </is>
      </c>
      <c r="B769" s="1" t="n">
        <v>45282</v>
      </c>
      <c r="C769" s="1" t="n">
        <v>46104</v>
      </c>
      <c r="D769" t="inlineStr">
        <is>
          <t>STOCKHOLMS LÄN</t>
        </is>
      </c>
      <c r="E769" t="inlineStr">
        <is>
          <t>NORRTÄLJE</t>
        </is>
      </c>
      <c r="G769" t="n">
        <v>6.3</v>
      </c>
      <c r="H769" t="n">
        <v>0</v>
      </c>
      <c r="I769" t="n">
        <v>0</v>
      </c>
      <c r="J769" t="n">
        <v>0</v>
      </c>
      <c r="K769" t="n">
        <v>0</v>
      </c>
      <c r="L769" t="n">
        <v>0</v>
      </c>
      <c r="M769" t="n">
        <v>0</v>
      </c>
      <c r="N769" t="n">
        <v>0</v>
      </c>
      <c r="O769" t="n">
        <v>0</v>
      </c>
      <c r="P769" t="n">
        <v>0</v>
      </c>
      <c r="Q769" t="n">
        <v>0</v>
      </c>
      <c r="R769" s="2" t="inlineStr"/>
    </row>
    <row r="770" ht="15" customHeight="1">
      <c r="A770" t="inlineStr">
        <is>
          <t>A 52593-2024</t>
        </is>
      </c>
      <c r="B770" s="1" t="n">
        <v>45609.70778935185</v>
      </c>
      <c r="C770" s="1" t="n">
        <v>46104</v>
      </c>
      <c r="D770" t="inlineStr">
        <is>
          <t>STOCKHOLMS LÄN</t>
        </is>
      </c>
      <c r="E770" t="inlineStr">
        <is>
          <t>NORRTÄLJE</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52617-2024</t>
        </is>
      </c>
      <c r="B771" s="1" t="n">
        <v>45609.85146990741</v>
      </c>
      <c r="C771" s="1" t="n">
        <v>46104</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6724-2026</t>
        </is>
      </c>
      <c r="B772" s="1" t="n">
        <v>46056.67717592593</v>
      </c>
      <c r="C772" s="1" t="n">
        <v>46104</v>
      </c>
      <c r="D772" t="inlineStr">
        <is>
          <t>STOCKHOLMS LÄN</t>
        </is>
      </c>
      <c r="E772" t="inlineStr">
        <is>
          <t>NORRTÄLJE</t>
        </is>
      </c>
      <c r="F772" t="inlineStr">
        <is>
          <t>Holmen skog AB</t>
        </is>
      </c>
      <c r="G772" t="n">
        <v>16.2</v>
      </c>
      <c r="H772" t="n">
        <v>0</v>
      </c>
      <c r="I772" t="n">
        <v>0</v>
      </c>
      <c r="J772" t="n">
        <v>0</v>
      </c>
      <c r="K772" t="n">
        <v>0</v>
      </c>
      <c r="L772" t="n">
        <v>0</v>
      </c>
      <c r="M772" t="n">
        <v>0</v>
      </c>
      <c r="N772" t="n">
        <v>0</v>
      </c>
      <c r="O772" t="n">
        <v>0</v>
      </c>
      <c r="P772" t="n">
        <v>0</v>
      </c>
      <c r="Q772" t="n">
        <v>0</v>
      </c>
      <c r="R772" s="2" t="inlineStr"/>
    </row>
    <row r="773" ht="15" customHeight="1">
      <c r="A773" t="inlineStr">
        <is>
          <t>A 6828-2026</t>
        </is>
      </c>
      <c r="B773" s="1" t="n">
        <v>46057</v>
      </c>
      <c r="C773" s="1" t="n">
        <v>46104</v>
      </c>
      <c r="D773" t="inlineStr">
        <is>
          <t>STOCKHOLMS LÄN</t>
        </is>
      </c>
      <c r="E773" t="inlineStr">
        <is>
          <t>NORRTÄLJE</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6838-2026</t>
        </is>
      </c>
      <c r="B774" s="1" t="n">
        <v>46057.41151620371</v>
      </c>
      <c r="C774" s="1" t="n">
        <v>46104</v>
      </c>
      <c r="D774" t="inlineStr">
        <is>
          <t>STOCKHOLMS LÄN</t>
        </is>
      </c>
      <c r="E774" t="inlineStr">
        <is>
          <t>NORRTÄLJE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22816-2021</t>
        </is>
      </c>
      <c r="B775" s="1" t="n">
        <v>44325</v>
      </c>
      <c r="C775" s="1" t="n">
        <v>46104</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59904-2023</t>
        </is>
      </c>
      <c r="B776" s="1" t="n">
        <v>45257</v>
      </c>
      <c r="C776" s="1" t="n">
        <v>46104</v>
      </c>
      <c r="D776" t="inlineStr">
        <is>
          <t>STOCKHOLMS LÄN</t>
        </is>
      </c>
      <c r="E776" t="inlineStr">
        <is>
          <t>NORRTÄLJE</t>
        </is>
      </c>
      <c r="G776" t="n">
        <v>17.4</v>
      </c>
      <c r="H776" t="n">
        <v>0</v>
      </c>
      <c r="I776" t="n">
        <v>0</v>
      </c>
      <c r="J776" t="n">
        <v>0</v>
      </c>
      <c r="K776" t="n">
        <v>0</v>
      </c>
      <c r="L776" t="n">
        <v>0</v>
      </c>
      <c r="M776" t="n">
        <v>0</v>
      </c>
      <c r="N776" t="n">
        <v>0</v>
      </c>
      <c r="O776" t="n">
        <v>0</v>
      </c>
      <c r="P776" t="n">
        <v>0</v>
      </c>
      <c r="Q776" t="n">
        <v>0</v>
      </c>
      <c r="R776" s="2" t="inlineStr"/>
    </row>
    <row r="777" ht="15" customHeight="1">
      <c r="A777" t="inlineStr">
        <is>
          <t>A 9914-2023</t>
        </is>
      </c>
      <c r="B777" s="1" t="n">
        <v>44985</v>
      </c>
      <c r="C777" s="1" t="n">
        <v>46104</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27700-2025</t>
        </is>
      </c>
      <c r="B778" s="1" t="n">
        <v>45813.6799537037</v>
      </c>
      <c r="C778" s="1" t="n">
        <v>46104</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11062-2024</t>
        </is>
      </c>
      <c r="B779" s="1" t="n">
        <v>45370</v>
      </c>
      <c r="C779" s="1" t="n">
        <v>46104</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6874-2026</t>
        </is>
      </c>
      <c r="B780" s="1" t="n">
        <v>46057.45295138889</v>
      </c>
      <c r="C780" s="1" t="n">
        <v>46104</v>
      </c>
      <c r="D780" t="inlineStr">
        <is>
          <t>STOCKHOLMS LÄN</t>
        </is>
      </c>
      <c r="E780" t="inlineStr">
        <is>
          <t>NORRTÄLJE</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27697-2025</t>
        </is>
      </c>
      <c r="B781" s="1" t="n">
        <v>45813.66961805556</v>
      </c>
      <c r="C781" s="1" t="n">
        <v>46104</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33569-2023</t>
        </is>
      </c>
      <c r="B782" s="1" t="n">
        <v>45131.666875</v>
      </c>
      <c r="C782" s="1" t="n">
        <v>46104</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6532-2026</t>
        </is>
      </c>
      <c r="B783" s="1" t="n">
        <v>46056.41300925926</v>
      </c>
      <c r="C783" s="1" t="n">
        <v>46104</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27802-2025</t>
        </is>
      </c>
      <c r="B784" s="1" t="n">
        <v>45817.2565625</v>
      </c>
      <c r="C784" s="1" t="n">
        <v>46104</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27806-2025</t>
        </is>
      </c>
      <c r="B785" s="1" t="n">
        <v>45817.30329861111</v>
      </c>
      <c r="C785" s="1" t="n">
        <v>46104</v>
      </c>
      <c r="D785" t="inlineStr">
        <is>
          <t>STOCKHOLMS LÄN</t>
        </is>
      </c>
      <c r="E785" t="inlineStr">
        <is>
          <t>NORRTÄLJE</t>
        </is>
      </c>
      <c r="G785" t="n">
        <v>3</v>
      </c>
      <c r="H785" t="n">
        <v>0</v>
      </c>
      <c r="I785" t="n">
        <v>0</v>
      </c>
      <c r="J785" t="n">
        <v>0</v>
      </c>
      <c r="K785" t="n">
        <v>0</v>
      </c>
      <c r="L785" t="n">
        <v>0</v>
      </c>
      <c r="M785" t="n">
        <v>0</v>
      </c>
      <c r="N785" t="n">
        <v>0</v>
      </c>
      <c r="O785" t="n">
        <v>0</v>
      </c>
      <c r="P785" t="n">
        <v>0</v>
      </c>
      <c r="Q785" t="n">
        <v>0</v>
      </c>
      <c r="R785" s="2" t="inlineStr"/>
    </row>
    <row r="786" ht="15" customHeight="1">
      <c r="A786" t="inlineStr">
        <is>
          <t>A 27808-2025</t>
        </is>
      </c>
      <c r="B786" s="1" t="n">
        <v>45817.31085648148</v>
      </c>
      <c r="C786" s="1" t="n">
        <v>46104</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27810-2025</t>
        </is>
      </c>
      <c r="B787" s="1" t="n">
        <v>45817.31708333334</v>
      </c>
      <c r="C787" s="1" t="n">
        <v>46104</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27811-2025</t>
        </is>
      </c>
      <c r="B788" s="1" t="n">
        <v>45817.31986111111</v>
      </c>
      <c r="C788" s="1" t="n">
        <v>46104</v>
      </c>
      <c r="D788" t="inlineStr">
        <is>
          <t>STOCKHOLMS LÄN</t>
        </is>
      </c>
      <c r="E788" t="inlineStr">
        <is>
          <t>NORRTÄLJE</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27818-2025</t>
        </is>
      </c>
      <c r="B789" s="1" t="n">
        <v>45817.33503472222</v>
      </c>
      <c r="C789" s="1" t="n">
        <v>46104</v>
      </c>
      <c r="D789" t="inlineStr">
        <is>
          <t>STOCKHOLMS LÄN</t>
        </is>
      </c>
      <c r="E789" t="inlineStr">
        <is>
          <t>NORRTÄLJE</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15905-2023</t>
        </is>
      </c>
      <c r="B790" s="1" t="n">
        <v>45022</v>
      </c>
      <c r="C790" s="1" t="n">
        <v>46104</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6701-2026</t>
        </is>
      </c>
      <c r="B791" s="1" t="n">
        <v>46056</v>
      </c>
      <c r="C791" s="1" t="n">
        <v>46104</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46104</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27801-2025</t>
        </is>
      </c>
      <c r="B793" s="1" t="n">
        <v>45817.25471064815</v>
      </c>
      <c r="C793" s="1" t="n">
        <v>46104</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47626-2022</t>
        </is>
      </c>
      <c r="B794" s="1" t="n">
        <v>44854</v>
      </c>
      <c r="C794" s="1" t="n">
        <v>46104</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27803-2025</t>
        </is>
      </c>
      <c r="B795" s="1" t="n">
        <v>45817.291875</v>
      </c>
      <c r="C795" s="1" t="n">
        <v>46104</v>
      </c>
      <c r="D795" t="inlineStr">
        <is>
          <t>STOCKHOLMS LÄN</t>
        </is>
      </c>
      <c r="E795" t="inlineStr">
        <is>
          <t>NORRTÄLJE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27813-2025</t>
        </is>
      </c>
      <c r="B796" s="1" t="n">
        <v>45817.32538194444</v>
      </c>
      <c r="C796" s="1" t="n">
        <v>46104</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27821-2025</t>
        </is>
      </c>
      <c r="B797" s="1" t="n">
        <v>45817.34083333334</v>
      </c>
      <c r="C797" s="1" t="n">
        <v>46104</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62206-2022</t>
        </is>
      </c>
      <c r="B798" s="1" t="n">
        <v>44922</v>
      </c>
      <c r="C798" s="1" t="n">
        <v>46104</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20618-2022</t>
        </is>
      </c>
      <c r="B799" s="1" t="n">
        <v>44700.50659722222</v>
      </c>
      <c r="C799" s="1" t="n">
        <v>46104</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40192-2023</t>
        </is>
      </c>
      <c r="B800" s="1" t="n">
        <v>45169</v>
      </c>
      <c r="C800" s="1" t="n">
        <v>46104</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11900-2022</t>
        </is>
      </c>
      <c r="B801" s="1" t="n">
        <v>44635</v>
      </c>
      <c r="C801" s="1" t="n">
        <v>46104</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10973-2025</t>
        </is>
      </c>
      <c r="B802" s="1" t="n">
        <v>45723</v>
      </c>
      <c r="C802" s="1" t="n">
        <v>46104</v>
      </c>
      <c r="D802" t="inlineStr">
        <is>
          <t>STOCKHOLMS LÄN</t>
        </is>
      </c>
      <c r="E802" t="inlineStr">
        <is>
          <t>NORRTÄLJE</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14348-2026</t>
        </is>
      </c>
      <c r="B803" s="1" t="n">
        <v>46100.34112268518</v>
      </c>
      <c r="C803" s="1" t="n">
        <v>46104</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7308-2026</t>
        </is>
      </c>
      <c r="B804" s="1" t="n">
        <v>46058.66025462963</v>
      </c>
      <c r="C804" s="1" t="n">
        <v>46104</v>
      </c>
      <c r="D804" t="inlineStr">
        <is>
          <t>STOCKHOLMS LÄN</t>
        </is>
      </c>
      <c r="E804" t="inlineStr">
        <is>
          <t>NORRTÄLJE</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15528-2025</t>
        </is>
      </c>
      <c r="B805" s="1" t="n">
        <v>45747.63471064815</v>
      </c>
      <c r="C805" s="1" t="n">
        <v>46104</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7532-2026</t>
        </is>
      </c>
      <c r="B806" s="1" t="n">
        <v>46059</v>
      </c>
      <c r="C806" s="1" t="n">
        <v>46104</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14475-2026</t>
        </is>
      </c>
      <c r="B807" s="1" t="n">
        <v>46100.57251157407</v>
      </c>
      <c r="C807" s="1" t="n">
        <v>46104</v>
      </c>
      <c r="D807" t="inlineStr">
        <is>
          <t>STOCKHOLMS LÄN</t>
        </is>
      </c>
      <c r="E807" t="inlineStr">
        <is>
          <t>NORRTÄLJE</t>
        </is>
      </c>
      <c r="G807" t="n">
        <v>12.3</v>
      </c>
      <c r="H807" t="n">
        <v>0</v>
      </c>
      <c r="I807" t="n">
        <v>0</v>
      </c>
      <c r="J807" t="n">
        <v>0</v>
      </c>
      <c r="K807" t="n">
        <v>0</v>
      </c>
      <c r="L807" t="n">
        <v>0</v>
      </c>
      <c r="M807" t="n">
        <v>0</v>
      </c>
      <c r="N807" t="n">
        <v>0</v>
      </c>
      <c r="O807" t="n">
        <v>0</v>
      </c>
      <c r="P807" t="n">
        <v>0</v>
      </c>
      <c r="Q807" t="n">
        <v>0</v>
      </c>
      <c r="R807" s="2" t="inlineStr"/>
    </row>
    <row r="808" ht="15" customHeight="1">
      <c r="A808" t="inlineStr">
        <is>
          <t>A 11901-2024</t>
        </is>
      </c>
      <c r="B808" s="1" t="n">
        <v>45376.55638888889</v>
      </c>
      <c r="C808" s="1" t="n">
        <v>46104</v>
      </c>
      <c r="D808" t="inlineStr">
        <is>
          <t>STOCKHOLMS LÄN</t>
        </is>
      </c>
      <c r="E808" t="inlineStr">
        <is>
          <t>NORRTÄLJE</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27885-2022</t>
        </is>
      </c>
      <c r="B809" s="1" t="n">
        <v>44743.67418981482</v>
      </c>
      <c r="C809" s="1" t="n">
        <v>46104</v>
      </c>
      <c r="D809" t="inlineStr">
        <is>
          <t>STOCKHOLMS LÄN</t>
        </is>
      </c>
      <c r="E809" t="inlineStr">
        <is>
          <t>NORRTÄLJE</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44075-2023</t>
        </is>
      </c>
      <c r="B810" s="1" t="n">
        <v>45188.41637731482</v>
      </c>
      <c r="C810" s="1" t="n">
        <v>46104</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60224-2023</t>
        </is>
      </c>
      <c r="B811" s="1" t="n">
        <v>45257</v>
      </c>
      <c r="C811" s="1" t="n">
        <v>46104</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46104</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9130-2025</t>
        </is>
      </c>
      <c r="B813" s="1" t="n">
        <v>45713.92623842593</v>
      </c>
      <c r="C813" s="1" t="n">
        <v>46104</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17551-2025</t>
        </is>
      </c>
      <c r="B814" s="1" t="n">
        <v>45757.61421296297</v>
      </c>
      <c r="C814" s="1" t="n">
        <v>46104</v>
      </c>
      <c r="D814" t="inlineStr">
        <is>
          <t>STOCKHOLMS LÄN</t>
        </is>
      </c>
      <c r="E814" t="inlineStr">
        <is>
          <t>NORRTÄLJE</t>
        </is>
      </c>
      <c r="G814" t="n">
        <v>2.8</v>
      </c>
      <c r="H814" t="n">
        <v>0</v>
      </c>
      <c r="I814" t="n">
        <v>0</v>
      </c>
      <c r="J814" t="n">
        <v>0</v>
      </c>
      <c r="K814" t="n">
        <v>0</v>
      </c>
      <c r="L814" t="n">
        <v>0</v>
      </c>
      <c r="M814" t="n">
        <v>0</v>
      </c>
      <c r="N814" t="n">
        <v>0</v>
      </c>
      <c r="O814" t="n">
        <v>0</v>
      </c>
      <c r="P814" t="n">
        <v>0</v>
      </c>
      <c r="Q814" t="n">
        <v>0</v>
      </c>
      <c r="R814" s="2" t="inlineStr"/>
    </row>
    <row r="815" ht="15" customHeight="1">
      <c r="A815" t="inlineStr">
        <is>
          <t>A 55010-2024</t>
        </is>
      </c>
      <c r="B815" s="1" t="n">
        <v>45621.34425925926</v>
      </c>
      <c r="C815" s="1" t="n">
        <v>46104</v>
      </c>
      <c r="D815" t="inlineStr">
        <is>
          <t>STOCKHOLMS LÄN</t>
        </is>
      </c>
      <c r="E815" t="inlineStr">
        <is>
          <t>NORRTÄLJE</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31105-2022</t>
        </is>
      </c>
      <c r="B816" s="1" t="n">
        <v>44769.66039351852</v>
      </c>
      <c r="C816" s="1" t="n">
        <v>46104</v>
      </c>
      <c r="D816" t="inlineStr">
        <is>
          <t>STOCKHOLMS LÄN</t>
        </is>
      </c>
      <c r="E816" t="inlineStr">
        <is>
          <t>NORRTÄLJE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29250-2025</t>
        </is>
      </c>
      <c r="B817" s="1" t="n">
        <v>45824.37275462963</v>
      </c>
      <c r="C817" s="1" t="n">
        <v>46104</v>
      </c>
      <c r="D817" t="inlineStr">
        <is>
          <t>STOCKHOLMS LÄN</t>
        </is>
      </c>
      <c r="E817" t="inlineStr">
        <is>
          <t>NORRTÄLJE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30620-2022</t>
        </is>
      </c>
      <c r="B818" s="1" t="n">
        <v>44763.40914351852</v>
      </c>
      <c r="C818" s="1" t="n">
        <v>46104</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50113-2024</t>
        </is>
      </c>
      <c r="B819" s="1" t="n">
        <v>45600.411875</v>
      </c>
      <c r="C819" s="1" t="n">
        <v>46104</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28365-2022</t>
        </is>
      </c>
      <c r="B820" s="1" t="n">
        <v>44747</v>
      </c>
      <c r="C820" s="1" t="n">
        <v>46104</v>
      </c>
      <c r="D820" t="inlineStr">
        <is>
          <t>STOCKHOLMS LÄN</t>
        </is>
      </c>
      <c r="E820" t="inlineStr">
        <is>
          <t>NORRTÄLJE</t>
        </is>
      </c>
      <c r="G820" t="n">
        <v>5.1</v>
      </c>
      <c r="H820" t="n">
        <v>0</v>
      </c>
      <c r="I820" t="n">
        <v>0</v>
      </c>
      <c r="J820" t="n">
        <v>0</v>
      </c>
      <c r="K820" t="n">
        <v>0</v>
      </c>
      <c r="L820" t="n">
        <v>0</v>
      </c>
      <c r="M820" t="n">
        <v>0</v>
      </c>
      <c r="N820" t="n">
        <v>0</v>
      </c>
      <c r="O820" t="n">
        <v>0</v>
      </c>
      <c r="P820" t="n">
        <v>0</v>
      </c>
      <c r="Q820" t="n">
        <v>0</v>
      </c>
      <c r="R820" s="2" t="inlineStr"/>
    </row>
    <row r="821" ht="15" customHeight="1">
      <c r="A821" t="inlineStr">
        <is>
          <t>A 42955-2022</t>
        </is>
      </c>
      <c r="B821" s="1" t="n">
        <v>44833.40876157407</v>
      </c>
      <c r="C821" s="1" t="n">
        <v>46104</v>
      </c>
      <c r="D821" t="inlineStr">
        <is>
          <t>STOCKHOLMS LÄN</t>
        </is>
      </c>
      <c r="E821" t="inlineStr">
        <is>
          <t>NORRTÄLJE</t>
        </is>
      </c>
      <c r="G821" t="n">
        <v>13.1</v>
      </c>
      <c r="H821" t="n">
        <v>0</v>
      </c>
      <c r="I821" t="n">
        <v>0</v>
      </c>
      <c r="J821" t="n">
        <v>0</v>
      </c>
      <c r="K821" t="n">
        <v>0</v>
      </c>
      <c r="L821" t="n">
        <v>0</v>
      </c>
      <c r="M821" t="n">
        <v>0</v>
      </c>
      <c r="N821" t="n">
        <v>0</v>
      </c>
      <c r="O821" t="n">
        <v>0</v>
      </c>
      <c r="P821" t="n">
        <v>0</v>
      </c>
      <c r="Q821" t="n">
        <v>0</v>
      </c>
      <c r="R821" s="2" t="inlineStr"/>
    </row>
    <row r="822" ht="15" customHeight="1">
      <c r="A822" t="inlineStr">
        <is>
          <t>A 1283-2025</t>
        </is>
      </c>
      <c r="B822" s="1" t="n">
        <v>45667.49878472222</v>
      </c>
      <c r="C822" s="1" t="n">
        <v>46104</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13767-2025</t>
        </is>
      </c>
      <c r="B823" s="1" t="n">
        <v>45737.43347222222</v>
      </c>
      <c r="C823" s="1" t="n">
        <v>46104</v>
      </c>
      <c r="D823" t="inlineStr">
        <is>
          <t>STOCKHOLMS LÄN</t>
        </is>
      </c>
      <c r="E823" t="inlineStr">
        <is>
          <t>NORRTÄLJE</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20013-2025</t>
        </is>
      </c>
      <c r="B824" s="1" t="n">
        <v>45772.30436342592</v>
      </c>
      <c r="C824" s="1" t="n">
        <v>46104</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53362-2023</t>
        </is>
      </c>
      <c r="B825" s="1" t="n">
        <v>45223</v>
      </c>
      <c r="C825" s="1" t="n">
        <v>46104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15422-2024</t>
        </is>
      </c>
      <c r="B826" s="1" t="n">
        <v>45401.3653125</v>
      </c>
      <c r="C826" s="1" t="n">
        <v>46104</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30508-2023</t>
        </is>
      </c>
      <c r="B827" s="1" t="n">
        <v>45111</v>
      </c>
      <c r="C827" s="1" t="n">
        <v>46104</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30639-2025</t>
        </is>
      </c>
      <c r="B828" s="1" t="n">
        <v>45831.4844212963</v>
      </c>
      <c r="C828" s="1" t="n">
        <v>46104</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30668-2025</t>
        </is>
      </c>
      <c r="B829" s="1" t="n">
        <v>45831.51659722222</v>
      </c>
      <c r="C829" s="1" t="n">
        <v>46104</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16008-2025</t>
        </is>
      </c>
      <c r="B830" s="1" t="n">
        <v>45749</v>
      </c>
      <c r="C830" s="1" t="n">
        <v>46104</v>
      </c>
      <c r="D830" t="inlineStr">
        <is>
          <t>STOCKHOLMS LÄN</t>
        </is>
      </c>
      <c r="E830" t="inlineStr">
        <is>
          <t>NORRTÄLJE</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46104</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32101-2022</t>
        </is>
      </c>
      <c r="B832" s="1" t="n">
        <v>44778.69210648148</v>
      </c>
      <c r="C832" s="1" t="n">
        <v>46104</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23150-2024</t>
        </is>
      </c>
      <c r="B833" s="1" t="n">
        <v>45450.64643518518</v>
      </c>
      <c r="C833" s="1" t="n">
        <v>46104</v>
      </c>
      <c r="D833" t="inlineStr">
        <is>
          <t>STOCKHOLMS LÄN</t>
        </is>
      </c>
      <c r="E833" t="inlineStr">
        <is>
          <t>NORRTÄLJE</t>
        </is>
      </c>
      <c r="F833" t="inlineStr">
        <is>
          <t>Kommuner</t>
        </is>
      </c>
      <c r="G833" t="n">
        <v>2.7</v>
      </c>
      <c r="H833" t="n">
        <v>0</v>
      </c>
      <c r="I833" t="n">
        <v>0</v>
      </c>
      <c r="J833" t="n">
        <v>0</v>
      </c>
      <c r="K833" t="n">
        <v>0</v>
      </c>
      <c r="L833" t="n">
        <v>0</v>
      </c>
      <c r="M833" t="n">
        <v>0</v>
      </c>
      <c r="N833" t="n">
        <v>0</v>
      </c>
      <c r="O833" t="n">
        <v>0</v>
      </c>
      <c r="P833" t="n">
        <v>0</v>
      </c>
      <c r="Q833" t="n">
        <v>0</v>
      </c>
      <c r="R833" s="2" t="inlineStr"/>
    </row>
    <row r="834" ht="15" customHeight="1">
      <c r="A834" t="inlineStr">
        <is>
          <t>A 24933-2023</t>
        </is>
      </c>
      <c r="B834" s="1" t="n">
        <v>45085.5309375</v>
      </c>
      <c r="C834" s="1" t="n">
        <v>46104</v>
      </c>
      <c r="D834" t="inlineStr">
        <is>
          <t>STOCKHOLMS LÄN</t>
        </is>
      </c>
      <c r="E834" t="inlineStr">
        <is>
          <t>NORRTÄLJE</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56631-2024</t>
        </is>
      </c>
      <c r="B835" s="1" t="n">
        <v>45625</v>
      </c>
      <c r="C835" s="1" t="n">
        <v>46104</v>
      </c>
      <c r="D835" t="inlineStr">
        <is>
          <t>STOCKHOLMS LÄN</t>
        </is>
      </c>
      <c r="E835" t="inlineStr">
        <is>
          <t>NORRTÄLJE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31170-2025</t>
        </is>
      </c>
      <c r="B836" s="1" t="n">
        <v>45832.66385416667</v>
      </c>
      <c r="C836" s="1" t="n">
        <v>46104</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652-2025</t>
        </is>
      </c>
      <c r="B837" s="1" t="n">
        <v>45664</v>
      </c>
      <c r="C837" s="1" t="n">
        <v>46104</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31880-2025</t>
        </is>
      </c>
      <c r="B838" s="1" t="n">
        <v>45834.65538194445</v>
      </c>
      <c r="C838" s="1" t="n">
        <v>46104</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32122-2025</t>
        </is>
      </c>
      <c r="B839" s="1" t="n">
        <v>45835.4928125</v>
      </c>
      <c r="C839" s="1" t="n">
        <v>46104</v>
      </c>
      <c r="D839" t="inlineStr">
        <is>
          <t>STOCKHOLMS LÄN</t>
        </is>
      </c>
      <c r="E839" t="inlineStr">
        <is>
          <t>NORRTÄLJE</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31868-2025</t>
        </is>
      </c>
      <c r="B840" s="1" t="n">
        <v>45834.6447337963</v>
      </c>
      <c r="C840" s="1" t="n">
        <v>46104</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6413-2025</t>
        </is>
      </c>
      <c r="B841" s="1" t="n">
        <v>45699.46283564815</v>
      </c>
      <c r="C841" s="1" t="n">
        <v>46104</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32016-2025</t>
        </is>
      </c>
      <c r="B842" s="1" t="n">
        <v>45835</v>
      </c>
      <c r="C842" s="1" t="n">
        <v>46104</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5389-2025</t>
        </is>
      </c>
      <c r="B843" s="1" t="n">
        <v>45692</v>
      </c>
      <c r="C843" s="1" t="n">
        <v>46104</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32283-2025</t>
        </is>
      </c>
      <c r="B844" s="1" t="n">
        <v>45835.68076388889</v>
      </c>
      <c r="C844" s="1" t="n">
        <v>46104</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31874-2025</t>
        </is>
      </c>
      <c r="B845" s="1" t="n">
        <v>45834</v>
      </c>
      <c r="C845" s="1" t="n">
        <v>46104</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32094-2025</t>
        </is>
      </c>
      <c r="B846" s="1" t="n">
        <v>45835.46034722222</v>
      </c>
      <c r="C846" s="1" t="n">
        <v>46104</v>
      </c>
      <c r="D846" t="inlineStr">
        <is>
          <t>STOCKHOLMS LÄN</t>
        </is>
      </c>
      <c r="E846" t="inlineStr">
        <is>
          <t>NORRTÄLJE</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11499-2023</t>
        </is>
      </c>
      <c r="B847" s="1" t="n">
        <v>44993.66707175926</v>
      </c>
      <c r="C847" s="1" t="n">
        <v>46104</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32480-2025</t>
        </is>
      </c>
      <c r="B848" s="1" t="n">
        <v>45838.43261574074</v>
      </c>
      <c r="C848" s="1" t="n">
        <v>46104</v>
      </c>
      <c r="D848" t="inlineStr">
        <is>
          <t>STOCKHOLMS LÄN</t>
        </is>
      </c>
      <c r="E848" t="inlineStr">
        <is>
          <t>NORRTÄLJE</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46104</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32872-2025</t>
        </is>
      </c>
      <c r="B850" s="1" t="n">
        <v>45839</v>
      </c>
      <c r="C850" s="1" t="n">
        <v>46104</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32903-2025</t>
        </is>
      </c>
      <c r="B851" s="1" t="n">
        <v>45839.62398148148</v>
      </c>
      <c r="C851" s="1" t="n">
        <v>46104</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32395-2025</t>
        </is>
      </c>
      <c r="B852" s="1" t="n">
        <v>45837.93730324074</v>
      </c>
      <c r="C852" s="1" t="n">
        <v>46104</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10678-2025</t>
        </is>
      </c>
      <c r="B853" s="1" t="n">
        <v>45721.89123842592</v>
      </c>
      <c r="C853" s="1" t="n">
        <v>46104</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32396-2025</t>
        </is>
      </c>
      <c r="B854" s="1" t="n">
        <v>45837</v>
      </c>
      <c r="C854" s="1" t="n">
        <v>46104</v>
      </c>
      <c r="D854" t="inlineStr">
        <is>
          <t>STOCKHOLMS LÄN</t>
        </is>
      </c>
      <c r="E854" t="inlineStr">
        <is>
          <t>NORRTÄLJE</t>
        </is>
      </c>
      <c r="G854" t="n">
        <v>2</v>
      </c>
      <c r="H854" t="n">
        <v>0</v>
      </c>
      <c r="I854" t="n">
        <v>0</v>
      </c>
      <c r="J854" t="n">
        <v>0</v>
      </c>
      <c r="K854" t="n">
        <v>0</v>
      </c>
      <c r="L854" t="n">
        <v>0</v>
      </c>
      <c r="M854" t="n">
        <v>0</v>
      </c>
      <c r="N854" t="n">
        <v>0</v>
      </c>
      <c r="O854" t="n">
        <v>0</v>
      </c>
      <c r="P854" t="n">
        <v>0</v>
      </c>
      <c r="Q854" t="n">
        <v>0</v>
      </c>
      <c r="R854" s="2" t="inlineStr"/>
    </row>
    <row r="855" ht="15" customHeight="1">
      <c r="A855" t="inlineStr">
        <is>
          <t>A 32397-2025</t>
        </is>
      </c>
      <c r="B855" s="1" t="n">
        <v>45837.94081018519</v>
      </c>
      <c r="C855" s="1" t="n">
        <v>46104</v>
      </c>
      <c r="D855" t="inlineStr">
        <is>
          <t>STOCKHOLMS LÄN</t>
        </is>
      </c>
      <c r="E855" t="inlineStr">
        <is>
          <t>NORRTÄLJE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31936-2022</t>
        </is>
      </c>
      <c r="B856" s="1" t="n">
        <v>44777</v>
      </c>
      <c r="C856" s="1" t="n">
        <v>46104</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59873-2024</t>
        </is>
      </c>
      <c r="B857" s="1" t="n">
        <v>45640.57305555556</v>
      </c>
      <c r="C857" s="1" t="n">
        <v>46104</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35916-2024</t>
        </is>
      </c>
      <c r="B858" s="1" t="n">
        <v>45533</v>
      </c>
      <c r="C858" s="1" t="n">
        <v>46104</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10098-2022</t>
        </is>
      </c>
      <c r="B859" s="1" t="n">
        <v>44621</v>
      </c>
      <c r="C859" s="1" t="n">
        <v>46104</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63161-2023</t>
        </is>
      </c>
      <c r="B860" s="1" t="n">
        <v>45273</v>
      </c>
      <c r="C860" s="1" t="n">
        <v>46104</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7796-2025</t>
        </is>
      </c>
      <c r="B861" s="1" t="n">
        <v>45706.60130787037</v>
      </c>
      <c r="C861" s="1" t="n">
        <v>46104</v>
      </c>
      <c r="D861" t="inlineStr">
        <is>
          <t>STOCKHOLMS LÄN</t>
        </is>
      </c>
      <c r="E861" t="inlineStr">
        <is>
          <t>NORRTÄLJE</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33702-2025</t>
        </is>
      </c>
      <c r="B862" s="1" t="n">
        <v>45841.74596064815</v>
      </c>
      <c r="C862" s="1" t="n">
        <v>46104</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46104</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58040-2024</t>
        </is>
      </c>
      <c r="B864" s="1" t="n">
        <v>45631.73952546297</v>
      </c>
      <c r="C864" s="1" t="n">
        <v>46104</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58041-2024</t>
        </is>
      </c>
      <c r="B865" s="1" t="n">
        <v>45631.74673611111</v>
      </c>
      <c r="C865" s="1" t="n">
        <v>46104</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30268-2024</t>
        </is>
      </c>
      <c r="B866" s="1" t="n">
        <v>45490.60572916667</v>
      </c>
      <c r="C866" s="1" t="n">
        <v>46104</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12407-2025</t>
        </is>
      </c>
      <c r="B867" s="1" t="n">
        <v>45730.42851851852</v>
      </c>
      <c r="C867" s="1" t="n">
        <v>46104</v>
      </c>
      <c r="D867" t="inlineStr">
        <is>
          <t>STOCKHOLMS LÄN</t>
        </is>
      </c>
      <c r="E867" t="inlineStr">
        <is>
          <t>NORRTÄLJE</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33211-2025</t>
        </is>
      </c>
      <c r="B868" s="1" t="n">
        <v>45840.62755787037</v>
      </c>
      <c r="C868" s="1" t="n">
        <v>46104</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19025-2025</t>
        </is>
      </c>
      <c r="B869" s="1" t="n">
        <v>45764.6359837963</v>
      </c>
      <c r="C869" s="1" t="n">
        <v>46104</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33265-2025</t>
        </is>
      </c>
      <c r="B870" s="1" t="n">
        <v>45840.67829861111</v>
      </c>
      <c r="C870" s="1" t="n">
        <v>46104</v>
      </c>
      <c r="D870" t="inlineStr">
        <is>
          <t>STOCKHOLMS LÄN</t>
        </is>
      </c>
      <c r="E870" t="inlineStr">
        <is>
          <t>NORRTÄLJE</t>
        </is>
      </c>
      <c r="G870" t="n">
        <v>5.5</v>
      </c>
      <c r="H870" t="n">
        <v>0</v>
      </c>
      <c r="I870" t="n">
        <v>0</v>
      </c>
      <c r="J870" t="n">
        <v>0</v>
      </c>
      <c r="K870" t="n">
        <v>0</v>
      </c>
      <c r="L870" t="n">
        <v>0</v>
      </c>
      <c r="M870" t="n">
        <v>0</v>
      </c>
      <c r="N870" t="n">
        <v>0</v>
      </c>
      <c r="O870" t="n">
        <v>0</v>
      </c>
      <c r="P870" t="n">
        <v>0</v>
      </c>
      <c r="Q870" t="n">
        <v>0</v>
      </c>
      <c r="R870" s="2" t="inlineStr"/>
    </row>
    <row r="871" ht="15" customHeight="1">
      <c r="A871" t="inlineStr">
        <is>
          <t>A 54276-2021</t>
        </is>
      </c>
      <c r="B871" s="1" t="n">
        <v>44470</v>
      </c>
      <c r="C871" s="1" t="n">
        <v>46104</v>
      </c>
      <c r="D871" t="inlineStr">
        <is>
          <t>STOCKHOLMS LÄN</t>
        </is>
      </c>
      <c r="E871" t="inlineStr">
        <is>
          <t>NORRTÄLJE</t>
        </is>
      </c>
      <c r="G871" t="n">
        <v>7.3</v>
      </c>
      <c r="H871" t="n">
        <v>0</v>
      </c>
      <c r="I871" t="n">
        <v>0</v>
      </c>
      <c r="J871" t="n">
        <v>0</v>
      </c>
      <c r="K871" t="n">
        <v>0</v>
      </c>
      <c r="L871" t="n">
        <v>0</v>
      </c>
      <c r="M871" t="n">
        <v>0</v>
      </c>
      <c r="N871" t="n">
        <v>0</v>
      </c>
      <c r="O871" t="n">
        <v>0</v>
      </c>
      <c r="P871" t="n">
        <v>0</v>
      </c>
      <c r="Q871" t="n">
        <v>0</v>
      </c>
      <c r="R871" s="2" t="inlineStr"/>
    </row>
    <row r="872" ht="15" customHeight="1">
      <c r="A872" t="inlineStr">
        <is>
          <t>A 4316-2023</t>
        </is>
      </c>
      <c r="B872" s="1" t="n">
        <v>44953.67443287037</v>
      </c>
      <c r="C872" s="1" t="n">
        <v>46104</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41587-2023</t>
        </is>
      </c>
      <c r="B873" s="1" t="n">
        <v>45175</v>
      </c>
      <c r="C873" s="1" t="n">
        <v>46104</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33552-2025</t>
        </is>
      </c>
      <c r="B874" s="1" t="n">
        <v>45841.5737962963</v>
      </c>
      <c r="C874" s="1" t="n">
        <v>46104</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33336-2025</t>
        </is>
      </c>
      <c r="B875" s="1" t="n">
        <v>45841.35611111111</v>
      </c>
      <c r="C875" s="1" t="n">
        <v>46104</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33824-2025</t>
        </is>
      </c>
      <c r="B876" s="1" t="n">
        <v>45842.46885416667</v>
      </c>
      <c r="C876" s="1" t="n">
        <v>46104</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34006-2025</t>
        </is>
      </c>
      <c r="B877" s="1" t="n">
        <v>45844.62609953704</v>
      </c>
      <c r="C877" s="1" t="n">
        <v>46104</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17304-2024</t>
        </is>
      </c>
      <c r="B878" s="1" t="n">
        <v>45414</v>
      </c>
      <c r="C878" s="1" t="n">
        <v>46104</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34139-2025</t>
        </is>
      </c>
      <c r="B879" s="1" t="n">
        <v>45845</v>
      </c>
      <c r="C879" s="1" t="n">
        <v>46104</v>
      </c>
      <c r="D879" t="inlineStr">
        <is>
          <t>STOCKHOLMS LÄN</t>
        </is>
      </c>
      <c r="E879" t="inlineStr">
        <is>
          <t>NORRTÄLJE</t>
        </is>
      </c>
      <c r="G879" t="n">
        <v>5.5</v>
      </c>
      <c r="H879" t="n">
        <v>0</v>
      </c>
      <c r="I879" t="n">
        <v>0</v>
      </c>
      <c r="J879" t="n">
        <v>0</v>
      </c>
      <c r="K879" t="n">
        <v>0</v>
      </c>
      <c r="L879" t="n">
        <v>0</v>
      </c>
      <c r="M879" t="n">
        <v>0</v>
      </c>
      <c r="N879" t="n">
        <v>0</v>
      </c>
      <c r="O879" t="n">
        <v>0</v>
      </c>
      <c r="P879" t="n">
        <v>0</v>
      </c>
      <c r="Q879" t="n">
        <v>0</v>
      </c>
      <c r="R879" s="2" t="inlineStr"/>
    </row>
    <row r="880" ht="15" customHeight="1">
      <c r="A880" t="inlineStr">
        <is>
          <t>A 34010-2025</t>
        </is>
      </c>
      <c r="B880" s="1" t="n">
        <v>45844.91234953704</v>
      </c>
      <c r="C880" s="1" t="n">
        <v>46104</v>
      </c>
      <c r="D880" t="inlineStr">
        <is>
          <t>STOCKHOLMS LÄN</t>
        </is>
      </c>
      <c r="E880" t="inlineStr">
        <is>
          <t>NORRTÄLJE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11280-2023</t>
        </is>
      </c>
      <c r="B881" s="1" t="n">
        <v>44992</v>
      </c>
      <c r="C881" s="1" t="n">
        <v>46104</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26668-2024</t>
        </is>
      </c>
      <c r="B882" s="1" t="n">
        <v>45469</v>
      </c>
      <c r="C882" s="1" t="n">
        <v>46104</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36689-2023</t>
        </is>
      </c>
      <c r="B883" s="1" t="n">
        <v>45152</v>
      </c>
      <c r="C883" s="1" t="n">
        <v>46104</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46073-2024</t>
        </is>
      </c>
      <c r="B884" s="1" t="n">
        <v>45581</v>
      </c>
      <c r="C884" s="1" t="n">
        <v>46104</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31926-2022</t>
        </is>
      </c>
      <c r="B885" s="1" t="n">
        <v>44777</v>
      </c>
      <c r="C885" s="1" t="n">
        <v>46104</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21480-2022</t>
        </is>
      </c>
      <c r="B886" s="1" t="n">
        <v>44704</v>
      </c>
      <c r="C886" s="1" t="n">
        <v>46104</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11041-2025</t>
        </is>
      </c>
      <c r="B887" s="1" t="n">
        <v>45723</v>
      </c>
      <c r="C887" s="1" t="n">
        <v>46104</v>
      </c>
      <c r="D887" t="inlineStr">
        <is>
          <t>STOCKHOLMS LÄN</t>
        </is>
      </c>
      <c r="E887" t="inlineStr">
        <is>
          <t>NORRTÄLJE</t>
        </is>
      </c>
      <c r="F887" t="inlineStr">
        <is>
          <t>Övriga Aktiebolag</t>
        </is>
      </c>
      <c r="G887" t="n">
        <v>1.8</v>
      </c>
      <c r="H887" t="n">
        <v>0</v>
      </c>
      <c r="I887" t="n">
        <v>0</v>
      </c>
      <c r="J887" t="n">
        <v>0</v>
      </c>
      <c r="K887" t="n">
        <v>0</v>
      </c>
      <c r="L887" t="n">
        <v>0</v>
      </c>
      <c r="M887" t="n">
        <v>0</v>
      </c>
      <c r="N887" t="n">
        <v>0</v>
      </c>
      <c r="O887" t="n">
        <v>0</v>
      </c>
      <c r="P887" t="n">
        <v>0</v>
      </c>
      <c r="Q887" t="n">
        <v>0</v>
      </c>
      <c r="R887" s="2" t="inlineStr"/>
    </row>
    <row r="888" ht="15" customHeight="1">
      <c r="A888" t="inlineStr">
        <is>
          <t>A 24024-2024</t>
        </is>
      </c>
      <c r="B888" s="1" t="n">
        <v>45456</v>
      </c>
      <c r="C888" s="1" t="n">
        <v>46104</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28809-2023</t>
        </is>
      </c>
      <c r="B889" s="1" t="n">
        <v>45104</v>
      </c>
      <c r="C889" s="1" t="n">
        <v>46104</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28813-2023</t>
        </is>
      </c>
      <c r="B890" s="1" t="n">
        <v>45104</v>
      </c>
      <c r="C890" s="1" t="n">
        <v>46104</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40656-2022</t>
        </is>
      </c>
      <c r="B891" s="1" t="n">
        <v>44824.36069444445</v>
      </c>
      <c r="C891" s="1" t="n">
        <v>46104</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60694-2024</t>
        </is>
      </c>
      <c r="B892" s="1" t="n">
        <v>45644.47878472223</v>
      </c>
      <c r="C892" s="1" t="n">
        <v>46104</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19450-2025</t>
        </is>
      </c>
      <c r="B893" s="1" t="n">
        <v>45770</v>
      </c>
      <c r="C893" s="1" t="n">
        <v>46104</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35110-2025</t>
        </is>
      </c>
      <c r="B894" s="1" t="n">
        <v>45852.58030092593</v>
      </c>
      <c r="C894" s="1" t="n">
        <v>46104</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35254-2025</t>
        </is>
      </c>
      <c r="B895" s="1" t="n">
        <v>45853</v>
      </c>
      <c r="C895" s="1" t="n">
        <v>46104</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35479-2025</t>
        </is>
      </c>
      <c r="B896" s="1" t="n">
        <v>45855.69387731481</v>
      </c>
      <c r="C896" s="1" t="n">
        <v>46104</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35451-2025</t>
        </is>
      </c>
      <c r="B897" s="1" t="n">
        <v>45855.57033564815</v>
      </c>
      <c r="C897" s="1" t="n">
        <v>46104</v>
      </c>
      <c r="D897" t="inlineStr">
        <is>
          <t>STOCKHOLMS LÄN</t>
        </is>
      </c>
      <c r="E897" t="inlineStr">
        <is>
          <t>NORRTÄLJE</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35478-2025</t>
        </is>
      </c>
      <c r="B898" s="1" t="n">
        <v>45855.68413194444</v>
      </c>
      <c r="C898" s="1" t="n">
        <v>46104</v>
      </c>
      <c r="D898" t="inlineStr">
        <is>
          <t>STOCKHOLMS LÄN</t>
        </is>
      </c>
      <c r="E898" t="inlineStr">
        <is>
          <t>NORRTÄLJE</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33353-2023</t>
        </is>
      </c>
      <c r="B899" s="1" t="n">
        <v>45128</v>
      </c>
      <c r="C899" s="1" t="n">
        <v>46104</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3966-2024</t>
        </is>
      </c>
      <c r="B900" s="1" t="n">
        <v>45322</v>
      </c>
      <c r="C900" s="1" t="n">
        <v>46104</v>
      </c>
      <c r="D900" t="inlineStr">
        <is>
          <t>STOCKHOLMS LÄN</t>
        </is>
      </c>
      <c r="E900" t="inlineStr">
        <is>
          <t>NORRTÄLJE</t>
        </is>
      </c>
      <c r="G900" t="n">
        <v>5.3</v>
      </c>
      <c r="H900" t="n">
        <v>0</v>
      </c>
      <c r="I900" t="n">
        <v>0</v>
      </c>
      <c r="J900" t="n">
        <v>0</v>
      </c>
      <c r="K900" t="n">
        <v>0</v>
      </c>
      <c r="L900" t="n">
        <v>0</v>
      </c>
      <c r="M900" t="n">
        <v>0</v>
      </c>
      <c r="N900" t="n">
        <v>0</v>
      </c>
      <c r="O900" t="n">
        <v>0</v>
      </c>
      <c r="P900" t="n">
        <v>0</v>
      </c>
      <c r="Q900" t="n">
        <v>0</v>
      </c>
      <c r="R900" s="2" t="inlineStr"/>
    </row>
    <row r="901" ht="15" customHeight="1">
      <c r="A901" t="inlineStr">
        <is>
          <t>A 23262-2023</t>
        </is>
      </c>
      <c r="B901" s="1" t="n">
        <v>45075.90270833333</v>
      </c>
      <c r="C901" s="1" t="n">
        <v>46104</v>
      </c>
      <c r="D901" t="inlineStr">
        <is>
          <t>STOCKHOLMS LÄN</t>
        </is>
      </c>
      <c r="E901" t="inlineStr">
        <is>
          <t>NORRTÄLJE</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23268-2023</t>
        </is>
      </c>
      <c r="B902" s="1" t="n">
        <v>45075.91042824074</v>
      </c>
      <c r="C902" s="1" t="n">
        <v>46104</v>
      </c>
      <c r="D902" t="inlineStr">
        <is>
          <t>STOCKHOLMS LÄN</t>
        </is>
      </c>
      <c r="E902" t="inlineStr">
        <is>
          <t>NORRTÄLJE</t>
        </is>
      </c>
      <c r="G902" t="n">
        <v>3.3</v>
      </c>
      <c r="H902" t="n">
        <v>0</v>
      </c>
      <c r="I902" t="n">
        <v>0</v>
      </c>
      <c r="J902" t="n">
        <v>0</v>
      </c>
      <c r="K902" t="n">
        <v>0</v>
      </c>
      <c r="L902" t="n">
        <v>0</v>
      </c>
      <c r="M902" t="n">
        <v>0</v>
      </c>
      <c r="N902" t="n">
        <v>0</v>
      </c>
      <c r="O902" t="n">
        <v>0</v>
      </c>
      <c r="P902" t="n">
        <v>0</v>
      </c>
      <c r="Q902" t="n">
        <v>0</v>
      </c>
      <c r="R902" s="2" t="inlineStr"/>
    </row>
    <row r="903" ht="15" customHeight="1">
      <c r="A903" t="inlineStr">
        <is>
          <t>A 23270-2023</t>
        </is>
      </c>
      <c r="B903" s="1" t="n">
        <v>45075.91265046296</v>
      </c>
      <c r="C903" s="1" t="n">
        <v>46104</v>
      </c>
      <c r="D903" t="inlineStr">
        <is>
          <t>STOCKHOLMS LÄN</t>
        </is>
      </c>
      <c r="E903" t="inlineStr">
        <is>
          <t>NORRTÄLJE</t>
        </is>
      </c>
      <c r="G903" t="n">
        <v>12.3</v>
      </c>
      <c r="H903" t="n">
        <v>0</v>
      </c>
      <c r="I903" t="n">
        <v>0</v>
      </c>
      <c r="J903" t="n">
        <v>0</v>
      </c>
      <c r="K903" t="n">
        <v>0</v>
      </c>
      <c r="L903" t="n">
        <v>0</v>
      </c>
      <c r="M903" t="n">
        <v>0</v>
      </c>
      <c r="N903" t="n">
        <v>0</v>
      </c>
      <c r="O903" t="n">
        <v>0</v>
      </c>
      <c r="P903" t="n">
        <v>0</v>
      </c>
      <c r="Q903" t="n">
        <v>0</v>
      </c>
      <c r="R903" s="2" t="inlineStr"/>
    </row>
    <row r="904" ht="15" customHeight="1">
      <c r="A904" t="inlineStr">
        <is>
          <t>A 23274-2023</t>
        </is>
      </c>
      <c r="B904" s="1" t="n">
        <v>45075.92153935185</v>
      </c>
      <c r="C904" s="1" t="n">
        <v>46104</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34444-2024</t>
        </is>
      </c>
      <c r="B905" s="1" t="n">
        <v>45525</v>
      </c>
      <c r="C905" s="1" t="n">
        <v>46104</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20698-2025</t>
        </is>
      </c>
      <c r="B906" s="1" t="n">
        <v>45776.47122685185</v>
      </c>
      <c r="C906" s="1" t="n">
        <v>46104</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17843-2024</t>
        </is>
      </c>
      <c r="B907" s="1" t="n">
        <v>45418</v>
      </c>
      <c r="C907" s="1" t="n">
        <v>46104</v>
      </c>
      <c r="D907" t="inlineStr">
        <is>
          <t>STOCKHOLMS LÄN</t>
        </is>
      </c>
      <c r="E907" t="inlineStr">
        <is>
          <t>NORRTÄLJE</t>
        </is>
      </c>
      <c r="G907" t="n">
        <v>5.4</v>
      </c>
      <c r="H907" t="n">
        <v>0</v>
      </c>
      <c r="I907" t="n">
        <v>0</v>
      </c>
      <c r="J907" t="n">
        <v>0</v>
      </c>
      <c r="K907" t="n">
        <v>0</v>
      </c>
      <c r="L907" t="n">
        <v>0</v>
      </c>
      <c r="M907" t="n">
        <v>0</v>
      </c>
      <c r="N907" t="n">
        <v>0</v>
      </c>
      <c r="O907" t="n">
        <v>0</v>
      </c>
      <c r="P907" t="n">
        <v>0</v>
      </c>
      <c r="Q907" t="n">
        <v>0</v>
      </c>
      <c r="R907" s="2" t="inlineStr"/>
    </row>
    <row r="908" ht="15" customHeight="1">
      <c r="A908" t="inlineStr">
        <is>
          <t>A 26636-2023</t>
        </is>
      </c>
      <c r="B908" s="1" t="n">
        <v>45092</v>
      </c>
      <c r="C908" s="1" t="n">
        <v>46104</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26637-2023</t>
        </is>
      </c>
      <c r="B909" s="1" t="n">
        <v>45092</v>
      </c>
      <c r="C909" s="1" t="n">
        <v>46104</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72704-2021</t>
        </is>
      </c>
      <c r="B910" s="1" t="n">
        <v>44546</v>
      </c>
      <c r="C910" s="1" t="n">
        <v>46104</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52743-2024</t>
        </is>
      </c>
      <c r="B911" s="1" t="n">
        <v>45610.47414351852</v>
      </c>
      <c r="C911" s="1" t="n">
        <v>46104</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16852-2024</t>
        </is>
      </c>
      <c r="B912" s="1" t="n">
        <v>45411.54768518519</v>
      </c>
      <c r="C912" s="1" t="n">
        <v>46104</v>
      </c>
      <c r="D912" t="inlineStr">
        <is>
          <t>STOCKHOLMS LÄN</t>
        </is>
      </c>
      <c r="E912" t="inlineStr">
        <is>
          <t>NORRTÄLJE</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22232-2024</t>
        </is>
      </c>
      <c r="B913" s="1" t="n">
        <v>45446.4287962963</v>
      </c>
      <c r="C913" s="1" t="n">
        <v>46104</v>
      </c>
      <c r="D913" t="inlineStr">
        <is>
          <t>STOCKHOLMS LÄN</t>
        </is>
      </c>
      <c r="E913" t="inlineStr">
        <is>
          <t>NORRTÄLJE</t>
        </is>
      </c>
      <c r="G913" t="n">
        <v>12.8</v>
      </c>
      <c r="H913" t="n">
        <v>0</v>
      </c>
      <c r="I913" t="n">
        <v>0</v>
      </c>
      <c r="J913" t="n">
        <v>0</v>
      </c>
      <c r="K913" t="n">
        <v>0</v>
      </c>
      <c r="L913" t="n">
        <v>0</v>
      </c>
      <c r="M913" t="n">
        <v>0</v>
      </c>
      <c r="N913" t="n">
        <v>0</v>
      </c>
      <c r="O913" t="n">
        <v>0</v>
      </c>
      <c r="P913" t="n">
        <v>0</v>
      </c>
      <c r="Q913" t="n">
        <v>0</v>
      </c>
      <c r="R913" s="2" t="inlineStr"/>
    </row>
    <row r="914" ht="15" customHeight="1">
      <c r="A914" t="inlineStr">
        <is>
          <t>A 36396-2025</t>
        </is>
      </c>
      <c r="B914" s="1" t="n">
        <v>45868.62267361111</v>
      </c>
      <c r="C914" s="1" t="n">
        <v>46104</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55755-2023</t>
        </is>
      </c>
      <c r="B915" s="1" t="n">
        <v>45239</v>
      </c>
      <c r="C915" s="1" t="n">
        <v>46104</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17348-2024</t>
        </is>
      </c>
      <c r="B916" s="1" t="n">
        <v>45414.58650462963</v>
      </c>
      <c r="C916" s="1" t="n">
        <v>46104</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13089-2022</t>
        </is>
      </c>
      <c r="B917" s="1" t="n">
        <v>44643</v>
      </c>
      <c r="C917" s="1" t="n">
        <v>46104</v>
      </c>
      <c r="D917" t="inlineStr">
        <is>
          <t>STOCKHOLMS LÄN</t>
        </is>
      </c>
      <c r="E917" t="inlineStr">
        <is>
          <t>NORRTÄLJE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46104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23998-2024</t>
        </is>
      </c>
      <c r="B919" s="1" t="n">
        <v>45456</v>
      </c>
      <c r="C919" s="1" t="n">
        <v>46104</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15447-2023</t>
        </is>
      </c>
      <c r="B920" s="1" t="n">
        <v>45020</v>
      </c>
      <c r="C920" s="1" t="n">
        <v>46104</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37261-2025</t>
        </is>
      </c>
      <c r="B921" s="1" t="n">
        <v>45876.45253472222</v>
      </c>
      <c r="C921" s="1" t="n">
        <v>46104</v>
      </c>
      <c r="D921" t="inlineStr">
        <is>
          <t>STOCKHOLMS LÄN</t>
        </is>
      </c>
      <c r="E921" t="inlineStr">
        <is>
          <t>NORRTÄLJE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54358-2022</t>
        </is>
      </c>
      <c r="B922" s="1" t="n">
        <v>44882</v>
      </c>
      <c r="C922" s="1" t="n">
        <v>46104</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23263-2023</t>
        </is>
      </c>
      <c r="B923" s="1" t="n">
        <v>45075</v>
      </c>
      <c r="C923" s="1" t="n">
        <v>46104</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23264-2023</t>
        </is>
      </c>
      <c r="B924" s="1" t="n">
        <v>45075</v>
      </c>
      <c r="C924" s="1" t="n">
        <v>46104</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23267-2023</t>
        </is>
      </c>
      <c r="B925" s="1" t="n">
        <v>45075.90934027778</v>
      </c>
      <c r="C925" s="1" t="n">
        <v>46104</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23269-2023</t>
        </is>
      </c>
      <c r="B926" s="1" t="n">
        <v>45075.91148148148</v>
      </c>
      <c r="C926" s="1" t="n">
        <v>46104</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37628-2025</t>
        </is>
      </c>
      <c r="B927" s="1" t="n">
        <v>45880.46189814815</v>
      </c>
      <c r="C927" s="1" t="n">
        <v>46104</v>
      </c>
      <c r="D927" t="inlineStr">
        <is>
          <t>STOCKHOLMS LÄN</t>
        </is>
      </c>
      <c r="E927" t="inlineStr">
        <is>
          <t>NORRTÄLJE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19911-2025</t>
        </is>
      </c>
      <c r="B928" s="1" t="n">
        <v>45771</v>
      </c>
      <c r="C928" s="1" t="n">
        <v>46104</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29369-2024</t>
        </is>
      </c>
      <c r="B929" s="1" t="n">
        <v>45483.57244212963</v>
      </c>
      <c r="C929" s="1" t="n">
        <v>46104</v>
      </c>
      <c r="D929" t="inlineStr">
        <is>
          <t>STOCKHOLMS LÄN</t>
        </is>
      </c>
      <c r="E929" t="inlineStr">
        <is>
          <t>NORRTÄLJE</t>
        </is>
      </c>
      <c r="G929" t="n">
        <v>15.9</v>
      </c>
      <c r="H929" t="n">
        <v>0</v>
      </c>
      <c r="I929" t="n">
        <v>0</v>
      </c>
      <c r="J929" t="n">
        <v>0</v>
      </c>
      <c r="K929" t="n">
        <v>0</v>
      </c>
      <c r="L929" t="n">
        <v>0</v>
      </c>
      <c r="M929" t="n">
        <v>0</v>
      </c>
      <c r="N929" t="n">
        <v>0</v>
      </c>
      <c r="O929" t="n">
        <v>0</v>
      </c>
      <c r="P929" t="n">
        <v>0</v>
      </c>
      <c r="Q929" t="n">
        <v>0</v>
      </c>
      <c r="R929" s="2" t="inlineStr"/>
    </row>
    <row r="930" ht="15" customHeight="1">
      <c r="A930" t="inlineStr">
        <is>
          <t>A 5831-2022</t>
        </is>
      </c>
      <c r="B930" s="1" t="n">
        <v>44596</v>
      </c>
      <c r="C930" s="1" t="n">
        <v>46104</v>
      </c>
      <c r="D930" t="inlineStr">
        <is>
          <t>STOCKHOLMS LÄN</t>
        </is>
      </c>
      <c r="E930" t="inlineStr">
        <is>
          <t>NORRTÄLJE</t>
        </is>
      </c>
      <c r="G930" t="n">
        <v>4.8</v>
      </c>
      <c r="H930" t="n">
        <v>0</v>
      </c>
      <c r="I930" t="n">
        <v>0</v>
      </c>
      <c r="J930" t="n">
        <v>0</v>
      </c>
      <c r="K930" t="n">
        <v>0</v>
      </c>
      <c r="L930" t="n">
        <v>0</v>
      </c>
      <c r="M930" t="n">
        <v>0</v>
      </c>
      <c r="N930" t="n">
        <v>0</v>
      </c>
      <c r="O930" t="n">
        <v>0</v>
      </c>
      <c r="P930" t="n">
        <v>0</v>
      </c>
      <c r="Q930" t="n">
        <v>0</v>
      </c>
      <c r="R930" s="2" t="inlineStr"/>
    </row>
    <row r="931" ht="15" customHeight="1">
      <c r="A931" t="inlineStr">
        <is>
          <t>A 5867-2022</t>
        </is>
      </c>
      <c r="B931" s="1" t="n">
        <v>44596.66335648148</v>
      </c>
      <c r="C931" s="1" t="n">
        <v>46104</v>
      </c>
      <c r="D931" t="inlineStr">
        <is>
          <t>STOCKHOLMS LÄN</t>
        </is>
      </c>
      <c r="E931" t="inlineStr">
        <is>
          <t>NORRTÄLJE</t>
        </is>
      </c>
      <c r="F931" t="inlineStr">
        <is>
          <t>Naturvårdsverket</t>
        </is>
      </c>
      <c r="G931" t="n">
        <v>1.6</v>
      </c>
      <c r="H931" t="n">
        <v>0</v>
      </c>
      <c r="I931" t="n">
        <v>0</v>
      </c>
      <c r="J931" t="n">
        <v>0</v>
      </c>
      <c r="K931" t="n">
        <v>0</v>
      </c>
      <c r="L931" t="n">
        <v>0</v>
      </c>
      <c r="M931" t="n">
        <v>0</v>
      </c>
      <c r="N931" t="n">
        <v>0</v>
      </c>
      <c r="O931" t="n">
        <v>0</v>
      </c>
      <c r="P931" t="n">
        <v>0</v>
      </c>
      <c r="Q931" t="n">
        <v>0</v>
      </c>
      <c r="R931" s="2" t="inlineStr"/>
    </row>
    <row r="932" ht="15" customHeight="1">
      <c r="A932" t="inlineStr">
        <is>
          <t>A 37632-2025</t>
        </is>
      </c>
      <c r="B932" s="1" t="n">
        <v>45880.46524305556</v>
      </c>
      <c r="C932" s="1" t="n">
        <v>46104</v>
      </c>
      <c r="D932" t="inlineStr">
        <is>
          <t>STOCKHOLMS LÄN</t>
        </is>
      </c>
      <c r="E932" t="inlineStr">
        <is>
          <t>NORRTÄLJE</t>
        </is>
      </c>
      <c r="F932" t="inlineStr">
        <is>
          <t>Sveaskog</t>
        </is>
      </c>
      <c r="G932" t="n">
        <v>6.4</v>
      </c>
      <c r="H932" t="n">
        <v>0</v>
      </c>
      <c r="I932" t="n">
        <v>0</v>
      </c>
      <c r="J932" t="n">
        <v>0</v>
      </c>
      <c r="K932" t="n">
        <v>0</v>
      </c>
      <c r="L932" t="n">
        <v>0</v>
      </c>
      <c r="M932" t="n">
        <v>0</v>
      </c>
      <c r="N932" t="n">
        <v>0</v>
      </c>
      <c r="O932" t="n">
        <v>0</v>
      </c>
      <c r="P932" t="n">
        <v>0</v>
      </c>
      <c r="Q932" t="n">
        <v>0</v>
      </c>
      <c r="R932" s="2" t="inlineStr"/>
    </row>
    <row r="933" ht="15" customHeight="1">
      <c r="A933" t="inlineStr">
        <is>
          <t>A 29841-2024</t>
        </is>
      </c>
      <c r="B933" s="1" t="n">
        <v>45485.60261574074</v>
      </c>
      <c r="C933" s="1" t="n">
        <v>46104</v>
      </c>
      <c r="D933" t="inlineStr">
        <is>
          <t>STOCKHOLMS LÄN</t>
        </is>
      </c>
      <c r="E933" t="inlineStr">
        <is>
          <t>NORRTÄLJE</t>
        </is>
      </c>
      <c r="G933" t="n">
        <v>15.9</v>
      </c>
      <c r="H933" t="n">
        <v>0</v>
      </c>
      <c r="I933" t="n">
        <v>0</v>
      </c>
      <c r="J933" t="n">
        <v>0</v>
      </c>
      <c r="K933" t="n">
        <v>0</v>
      </c>
      <c r="L933" t="n">
        <v>0</v>
      </c>
      <c r="M933" t="n">
        <v>0</v>
      </c>
      <c r="N933" t="n">
        <v>0</v>
      </c>
      <c r="O933" t="n">
        <v>0</v>
      </c>
      <c r="P933" t="n">
        <v>0</v>
      </c>
      <c r="Q933" t="n">
        <v>0</v>
      </c>
      <c r="R933" s="2" t="inlineStr"/>
    </row>
    <row r="934" ht="15" customHeight="1">
      <c r="A934" t="inlineStr">
        <is>
          <t>A 20692-2025</t>
        </is>
      </c>
      <c r="B934" s="1" t="n">
        <v>45776.46369212963</v>
      </c>
      <c r="C934" s="1" t="n">
        <v>46104</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37630-2025</t>
        </is>
      </c>
      <c r="B935" s="1" t="n">
        <v>45880.46372685185</v>
      </c>
      <c r="C935" s="1" t="n">
        <v>46104</v>
      </c>
      <c r="D935" t="inlineStr">
        <is>
          <t>STOCKHOLMS LÄN</t>
        </is>
      </c>
      <c r="E935" t="inlineStr">
        <is>
          <t>NORRTÄLJE</t>
        </is>
      </c>
      <c r="F935" t="inlineStr">
        <is>
          <t>Sveaskog</t>
        </is>
      </c>
      <c r="G935" t="n">
        <v>12.9</v>
      </c>
      <c r="H935" t="n">
        <v>0</v>
      </c>
      <c r="I935" t="n">
        <v>0</v>
      </c>
      <c r="J935" t="n">
        <v>0</v>
      </c>
      <c r="K935" t="n">
        <v>0</v>
      </c>
      <c r="L935" t="n">
        <v>0</v>
      </c>
      <c r="M935" t="n">
        <v>0</v>
      </c>
      <c r="N935" t="n">
        <v>0</v>
      </c>
      <c r="O935" t="n">
        <v>0</v>
      </c>
      <c r="P935" t="n">
        <v>0</v>
      </c>
      <c r="Q935" t="n">
        <v>0</v>
      </c>
      <c r="R935" s="2" t="inlineStr"/>
    </row>
    <row r="936" ht="15" customHeight="1">
      <c r="A936" t="inlineStr">
        <is>
          <t>A 20244-2025</t>
        </is>
      </c>
      <c r="B936" s="1" t="n">
        <v>45772.71221064815</v>
      </c>
      <c r="C936" s="1" t="n">
        <v>46104</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48633-2023</t>
        </is>
      </c>
      <c r="B937" s="1" t="n">
        <v>45208.58004629629</v>
      </c>
      <c r="C937" s="1" t="n">
        <v>46104</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39669-2024</t>
        </is>
      </c>
      <c r="B938" s="1" t="n">
        <v>45552.52827546297</v>
      </c>
      <c r="C938" s="1" t="n">
        <v>46104</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46071-2024</t>
        </is>
      </c>
      <c r="B939" s="1" t="n">
        <v>45581</v>
      </c>
      <c r="C939" s="1" t="n">
        <v>46104</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13137-2024</t>
        </is>
      </c>
      <c r="B940" s="1" t="n">
        <v>45386.34175925926</v>
      </c>
      <c r="C940" s="1" t="n">
        <v>46104</v>
      </c>
      <c r="D940" t="inlineStr">
        <is>
          <t>STOCKHOLMS LÄN</t>
        </is>
      </c>
      <c r="E940" t="inlineStr">
        <is>
          <t>NORRTÄLJE</t>
        </is>
      </c>
      <c r="G940" t="n">
        <v>5</v>
      </c>
      <c r="H940" t="n">
        <v>0</v>
      </c>
      <c r="I940" t="n">
        <v>0</v>
      </c>
      <c r="J940" t="n">
        <v>0</v>
      </c>
      <c r="K940" t="n">
        <v>0</v>
      </c>
      <c r="L940" t="n">
        <v>0</v>
      </c>
      <c r="M940" t="n">
        <v>0</v>
      </c>
      <c r="N940" t="n">
        <v>0</v>
      </c>
      <c r="O940" t="n">
        <v>0</v>
      </c>
      <c r="P940" t="n">
        <v>0</v>
      </c>
      <c r="Q940" t="n">
        <v>0</v>
      </c>
      <c r="R940" s="2" t="inlineStr"/>
    </row>
    <row r="941" ht="15" customHeight="1">
      <c r="A941" t="inlineStr">
        <is>
          <t>A 24350-2025</t>
        </is>
      </c>
      <c r="B941" s="1" t="n">
        <v>45797.58350694444</v>
      </c>
      <c r="C941" s="1" t="n">
        <v>46104</v>
      </c>
      <c r="D941" t="inlineStr">
        <is>
          <t>STOCKHOLMS LÄN</t>
        </is>
      </c>
      <c r="E941" t="inlineStr">
        <is>
          <t>NORRTÄLJE</t>
        </is>
      </c>
      <c r="G941" t="n">
        <v>4.5</v>
      </c>
      <c r="H941" t="n">
        <v>0</v>
      </c>
      <c r="I941" t="n">
        <v>0</v>
      </c>
      <c r="J941" t="n">
        <v>0</v>
      </c>
      <c r="K941" t="n">
        <v>0</v>
      </c>
      <c r="L941" t="n">
        <v>0</v>
      </c>
      <c r="M941" t="n">
        <v>0</v>
      </c>
      <c r="N941" t="n">
        <v>0</v>
      </c>
      <c r="O941" t="n">
        <v>0</v>
      </c>
      <c r="P941" t="n">
        <v>0</v>
      </c>
      <c r="Q941" t="n">
        <v>0</v>
      </c>
      <c r="R941" s="2" t="inlineStr"/>
    </row>
    <row r="942" ht="15" customHeight="1">
      <c r="A942" t="inlineStr">
        <is>
          <t>A 26703-2025</t>
        </is>
      </c>
      <c r="B942" s="1" t="n">
        <v>45810.45263888889</v>
      </c>
      <c r="C942" s="1" t="n">
        <v>46104</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43170-2023</t>
        </is>
      </c>
      <c r="B943" s="1" t="n">
        <v>45183</v>
      </c>
      <c r="C943" s="1" t="n">
        <v>46104</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9-2024</t>
        </is>
      </c>
      <c r="B944" s="1" t="n">
        <v>45293</v>
      </c>
      <c r="C944" s="1" t="n">
        <v>46104</v>
      </c>
      <c r="D944" t="inlineStr">
        <is>
          <t>STOCKHOLMS LÄN</t>
        </is>
      </c>
      <c r="E944" t="inlineStr">
        <is>
          <t>NORRTÄLJE</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22832-2021</t>
        </is>
      </c>
      <c r="B945" s="1" t="n">
        <v>44325</v>
      </c>
      <c r="C945" s="1" t="n">
        <v>46104</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16913-2025</t>
        </is>
      </c>
      <c r="B946" s="1" t="n">
        <v>45755.36583333334</v>
      </c>
      <c r="C946" s="1" t="n">
        <v>46104</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4035-2023</t>
        </is>
      </c>
      <c r="B947" s="1" t="n">
        <v>44952.57989583333</v>
      </c>
      <c r="C947" s="1" t="n">
        <v>46104</v>
      </c>
      <c r="D947" t="inlineStr">
        <is>
          <t>STOCKHOLMS LÄN</t>
        </is>
      </c>
      <c r="E947" t="inlineStr">
        <is>
          <t>NORRTÄLJE</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38153-2025</t>
        </is>
      </c>
      <c r="B948" s="1" t="n">
        <v>45882.59722222222</v>
      </c>
      <c r="C948" s="1" t="n">
        <v>46104</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46104</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53600-2022</t>
        </is>
      </c>
      <c r="B950" s="1" t="n">
        <v>44879.70518518519</v>
      </c>
      <c r="C950" s="1" t="n">
        <v>46104</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7697-2025</t>
        </is>
      </c>
      <c r="B951" s="1" t="n">
        <v>45706.40086805556</v>
      </c>
      <c r="C951" s="1" t="n">
        <v>46104</v>
      </c>
      <c r="D951" t="inlineStr">
        <is>
          <t>STOCKHOLMS LÄN</t>
        </is>
      </c>
      <c r="E951" t="inlineStr">
        <is>
          <t>NORRTÄLJE</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30221-2024</t>
        </is>
      </c>
      <c r="B952" s="1" t="n">
        <v>45490.45342592592</v>
      </c>
      <c r="C952" s="1" t="n">
        <v>46104</v>
      </c>
      <c r="D952" t="inlineStr">
        <is>
          <t>STOCKHOLMS LÄN</t>
        </is>
      </c>
      <c r="E952" t="inlineStr">
        <is>
          <t>NORRTÄLJE</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22816-2021</t>
        </is>
      </c>
      <c r="B953" s="1" t="n">
        <v>44325</v>
      </c>
      <c r="C953" s="1" t="n">
        <v>46104</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13-2024</t>
        </is>
      </c>
      <c r="B954" s="1" t="n">
        <v>45293.37263888889</v>
      </c>
      <c r="C954" s="1" t="n">
        <v>46104</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19-2024</t>
        </is>
      </c>
      <c r="B955" s="1" t="n">
        <v>45293</v>
      </c>
      <c r="C955" s="1" t="n">
        <v>46104</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31559-2022</t>
        </is>
      </c>
      <c r="B956" s="1" t="n">
        <v>44775</v>
      </c>
      <c r="C956" s="1" t="n">
        <v>46104</v>
      </c>
      <c r="D956" t="inlineStr">
        <is>
          <t>STOCKHOLMS LÄN</t>
        </is>
      </c>
      <c r="E956" t="inlineStr">
        <is>
          <t>NORRTÄLJE</t>
        </is>
      </c>
      <c r="G956" t="n">
        <v>5.6</v>
      </c>
      <c r="H956" t="n">
        <v>0</v>
      </c>
      <c r="I956" t="n">
        <v>0</v>
      </c>
      <c r="J956" t="n">
        <v>0</v>
      </c>
      <c r="K956" t="n">
        <v>0</v>
      </c>
      <c r="L956" t="n">
        <v>0</v>
      </c>
      <c r="M956" t="n">
        <v>0</v>
      </c>
      <c r="N956" t="n">
        <v>0</v>
      </c>
      <c r="O956" t="n">
        <v>0</v>
      </c>
      <c r="P956" t="n">
        <v>0</v>
      </c>
      <c r="Q956" t="n">
        <v>0</v>
      </c>
      <c r="R956" s="2" t="inlineStr"/>
    </row>
    <row r="957" ht="15" customHeight="1">
      <c r="A957" t="inlineStr">
        <is>
          <t>A 8419-2025</t>
        </is>
      </c>
      <c r="B957" s="1" t="n">
        <v>45709.40231481481</v>
      </c>
      <c r="C957" s="1" t="n">
        <v>46104</v>
      </c>
      <c r="D957" t="inlineStr">
        <is>
          <t>STOCKHOLMS LÄN</t>
        </is>
      </c>
      <c r="E957" t="inlineStr">
        <is>
          <t>NORRTÄLJE</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35161-2022</t>
        </is>
      </c>
      <c r="B958" s="1" t="n">
        <v>44797</v>
      </c>
      <c r="C958" s="1" t="n">
        <v>46104</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46104</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44490.02482638889</v>
      </c>
      <c r="C960" s="1" t="n">
        <v>46104</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46988-2024</t>
        </is>
      </c>
      <c r="B961" s="1" t="n">
        <v>45586</v>
      </c>
      <c r="C961" s="1" t="n">
        <v>46104</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21529-2021</t>
        </is>
      </c>
      <c r="B962" s="1" t="n">
        <v>44321</v>
      </c>
      <c r="C962" s="1" t="n">
        <v>46104</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13701-2022</t>
        </is>
      </c>
      <c r="B963" s="1" t="n">
        <v>44648</v>
      </c>
      <c r="C963" s="1" t="n">
        <v>46104</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65499-2021</t>
        </is>
      </c>
      <c r="B964" s="1" t="n">
        <v>44516</v>
      </c>
      <c r="C964" s="1" t="n">
        <v>46104</v>
      </c>
      <c r="D964" t="inlineStr">
        <is>
          <t>STOCKHOLMS LÄN</t>
        </is>
      </c>
      <c r="E964" t="inlineStr">
        <is>
          <t>NORRTÄLJE</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14132-2025</t>
        </is>
      </c>
      <c r="B965" s="1" t="n">
        <v>45740.47550925926</v>
      </c>
      <c r="C965" s="1" t="n">
        <v>46104</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14133-2025</t>
        </is>
      </c>
      <c r="B966" s="1" t="n">
        <v>45740.47724537037</v>
      </c>
      <c r="C966" s="1" t="n">
        <v>46104</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8792-2025</t>
        </is>
      </c>
      <c r="B967" s="1" t="n">
        <v>45712</v>
      </c>
      <c r="C967" s="1" t="n">
        <v>46104</v>
      </c>
      <c r="D967" t="inlineStr">
        <is>
          <t>STOCKHOLMS LÄN</t>
        </is>
      </c>
      <c r="E967" t="inlineStr">
        <is>
          <t>NORRTÄLJE</t>
        </is>
      </c>
      <c r="F967" t="inlineStr">
        <is>
          <t>Övriga Aktiebolag</t>
        </is>
      </c>
      <c r="G967" t="n">
        <v>6.6</v>
      </c>
      <c r="H967" t="n">
        <v>0</v>
      </c>
      <c r="I967" t="n">
        <v>0</v>
      </c>
      <c r="J967" t="n">
        <v>0</v>
      </c>
      <c r="K967" t="n">
        <v>0</v>
      </c>
      <c r="L967" t="n">
        <v>0</v>
      </c>
      <c r="M967" t="n">
        <v>0</v>
      </c>
      <c r="N967" t="n">
        <v>0</v>
      </c>
      <c r="O967" t="n">
        <v>0</v>
      </c>
      <c r="P967" t="n">
        <v>0</v>
      </c>
      <c r="Q967" t="n">
        <v>0</v>
      </c>
      <c r="R967" s="2" t="inlineStr"/>
    </row>
    <row r="968" ht="15" customHeight="1">
      <c r="A968" t="inlineStr">
        <is>
          <t>A 24887-2023</t>
        </is>
      </c>
      <c r="B968" s="1" t="n">
        <v>45085</v>
      </c>
      <c r="C968" s="1" t="n">
        <v>46104</v>
      </c>
      <c r="D968" t="inlineStr">
        <is>
          <t>STOCKHOLMS LÄN</t>
        </is>
      </c>
      <c r="E968" t="inlineStr">
        <is>
          <t>NORRTÄLJE</t>
        </is>
      </c>
      <c r="G968" t="n">
        <v>13.9</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46104</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4326-2023</t>
        </is>
      </c>
      <c r="B970" s="1" t="n">
        <v>44953.70481481482</v>
      </c>
      <c r="C970" s="1" t="n">
        <v>46104</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54504-2024</t>
        </is>
      </c>
      <c r="B971" s="1" t="n">
        <v>45617.58453703704</v>
      </c>
      <c r="C971" s="1" t="n">
        <v>46104</v>
      </c>
      <c r="D971" t="inlineStr">
        <is>
          <t>STOCKHOLMS LÄN</t>
        </is>
      </c>
      <c r="E971" t="inlineStr">
        <is>
          <t>NORRTÄLJE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21745-2023</t>
        </is>
      </c>
      <c r="B972" s="1" t="n">
        <v>45065.55917824074</v>
      </c>
      <c r="C972" s="1" t="n">
        <v>46104</v>
      </c>
      <c r="D972" t="inlineStr">
        <is>
          <t>STOCKHOLMS LÄN</t>
        </is>
      </c>
      <c r="E972" t="inlineStr">
        <is>
          <t>NORRTÄLJE</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21894-2023</t>
        </is>
      </c>
      <c r="B973" s="1" t="n">
        <v>45068.51783564815</v>
      </c>
      <c r="C973" s="1" t="n">
        <v>46104</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13276-2022</t>
        </is>
      </c>
      <c r="B974" s="1" t="n">
        <v>44644</v>
      </c>
      <c r="C974" s="1" t="n">
        <v>46104</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46104</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34461-2023</t>
        </is>
      </c>
      <c r="B976" s="1" t="n">
        <v>45139</v>
      </c>
      <c r="C976" s="1" t="n">
        <v>46104</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51046-2023</t>
        </is>
      </c>
      <c r="B977" s="1" t="n">
        <v>45218</v>
      </c>
      <c r="C977" s="1" t="n">
        <v>46104</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17382-2024</t>
        </is>
      </c>
      <c r="B978" s="1" t="n">
        <v>45414.65855324074</v>
      </c>
      <c r="C978" s="1" t="n">
        <v>46104</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6070-2022</t>
        </is>
      </c>
      <c r="B979" s="1" t="n">
        <v>44599.58428240741</v>
      </c>
      <c r="C979" s="1" t="n">
        <v>46104</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17039-2024</t>
        </is>
      </c>
      <c r="B980" s="1" t="n">
        <v>45412.4104050926</v>
      </c>
      <c r="C980" s="1" t="n">
        <v>46104</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48180-2023</t>
        </is>
      </c>
      <c r="B981" s="1" t="n">
        <v>45205</v>
      </c>
      <c r="C981" s="1" t="n">
        <v>46104</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35695-2023</t>
        </is>
      </c>
      <c r="B982" s="1" t="n">
        <v>45147.65407407407</v>
      </c>
      <c r="C982" s="1" t="n">
        <v>46104</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45173-2023</t>
        </is>
      </c>
      <c r="B983" s="1" t="n">
        <v>45191</v>
      </c>
      <c r="C983" s="1" t="n">
        <v>46104</v>
      </c>
      <c r="D983" t="inlineStr">
        <is>
          <t>STOCKHOLMS LÄN</t>
        </is>
      </c>
      <c r="E983" t="inlineStr">
        <is>
          <t>NORRTÄLJE</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24705-2023</t>
        </is>
      </c>
      <c r="B984" s="1" t="n">
        <v>45084.54459490741</v>
      </c>
      <c r="C984" s="1" t="n">
        <v>46104</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21696-2024</t>
        </is>
      </c>
      <c r="B985" s="1" t="n">
        <v>45442.45686342593</v>
      </c>
      <c r="C985" s="1" t="n">
        <v>46104</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67990-2021</t>
        </is>
      </c>
      <c r="B986" s="1" t="n">
        <v>44525</v>
      </c>
      <c r="C986" s="1" t="n">
        <v>46104</v>
      </c>
      <c r="D986" t="inlineStr">
        <is>
          <t>STOCKHOLMS LÄN</t>
        </is>
      </c>
      <c r="E986" t="inlineStr">
        <is>
          <t>NORRTÄLJE</t>
        </is>
      </c>
      <c r="F986" t="inlineStr">
        <is>
          <t>Sveaskog</t>
        </is>
      </c>
      <c r="G986" t="n">
        <v>7.8</v>
      </c>
      <c r="H986" t="n">
        <v>0</v>
      </c>
      <c r="I986" t="n">
        <v>0</v>
      </c>
      <c r="J986" t="n">
        <v>0</v>
      </c>
      <c r="K986" t="n">
        <v>0</v>
      </c>
      <c r="L986" t="n">
        <v>0</v>
      </c>
      <c r="M986" t="n">
        <v>0</v>
      </c>
      <c r="N986" t="n">
        <v>0</v>
      </c>
      <c r="O986" t="n">
        <v>0</v>
      </c>
      <c r="P986" t="n">
        <v>0</v>
      </c>
      <c r="Q986" t="n">
        <v>0</v>
      </c>
      <c r="R986" s="2" t="inlineStr"/>
    </row>
    <row r="987" ht="15" customHeight="1">
      <c r="A987" t="inlineStr">
        <is>
          <t>A 71552-2021</t>
        </is>
      </c>
      <c r="B987" s="1" t="n">
        <v>44540</v>
      </c>
      <c r="C987" s="1" t="n">
        <v>46104</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73992-2021</t>
        </is>
      </c>
      <c r="B988" s="1" t="n">
        <v>44556</v>
      </c>
      <c r="C988" s="1" t="n">
        <v>46104</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26113-2024</t>
        </is>
      </c>
      <c r="B989" s="1" t="n">
        <v>45468.45541666666</v>
      </c>
      <c r="C989" s="1" t="n">
        <v>46104</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26116-2024</t>
        </is>
      </c>
      <c r="B990" s="1" t="n">
        <v>45468.45747685185</v>
      </c>
      <c r="C990" s="1" t="n">
        <v>46104</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15978-2024</t>
        </is>
      </c>
      <c r="B991" s="1" t="n">
        <v>45405.57927083333</v>
      </c>
      <c r="C991" s="1" t="n">
        <v>46104</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11333-2025</t>
        </is>
      </c>
      <c r="B992" s="1" t="n">
        <v>45726.48377314815</v>
      </c>
      <c r="C992" s="1" t="n">
        <v>46104</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34391-2023</t>
        </is>
      </c>
      <c r="B993" s="1" t="n">
        <v>45139.51457175926</v>
      </c>
      <c r="C993" s="1" t="n">
        <v>46104</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46104</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25681-2024</t>
        </is>
      </c>
      <c r="B995" s="1" t="n">
        <v>45463.80486111111</v>
      </c>
      <c r="C995" s="1" t="n">
        <v>46104</v>
      </c>
      <c r="D995" t="inlineStr">
        <is>
          <t>STOCKHOLMS LÄN</t>
        </is>
      </c>
      <c r="E995" t="inlineStr">
        <is>
          <t>NORRTÄLJE</t>
        </is>
      </c>
      <c r="G995" t="n">
        <v>2.7</v>
      </c>
      <c r="H995" t="n">
        <v>0</v>
      </c>
      <c r="I995" t="n">
        <v>0</v>
      </c>
      <c r="J995" t="n">
        <v>0</v>
      </c>
      <c r="K995" t="n">
        <v>0</v>
      </c>
      <c r="L995" t="n">
        <v>0</v>
      </c>
      <c r="M995" t="n">
        <v>0</v>
      </c>
      <c r="N995" t="n">
        <v>0</v>
      </c>
      <c r="O995" t="n">
        <v>0</v>
      </c>
      <c r="P995" t="n">
        <v>0</v>
      </c>
      <c r="Q995" t="n">
        <v>0</v>
      </c>
      <c r="R995" s="2" t="inlineStr"/>
    </row>
    <row r="996" ht="15" customHeight="1">
      <c r="A996" t="inlineStr">
        <is>
          <t>A 58853-2024</t>
        </is>
      </c>
      <c r="B996" s="1" t="n">
        <v>45636.38974537037</v>
      </c>
      <c r="C996" s="1" t="n">
        <v>46104</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35438-2023</t>
        </is>
      </c>
      <c r="B997" s="1" t="n">
        <v>45146</v>
      </c>
      <c r="C997" s="1" t="n">
        <v>46104</v>
      </c>
      <c r="D997" t="inlineStr">
        <is>
          <t>STOCKHOLMS LÄN</t>
        </is>
      </c>
      <c r="E997" t="inlineStr">
        <is>
          <t>NORRTÄLJE</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20291-2022</t>
        </is>
      </c>
      <c r="B998" s="1" t="n">
        <v>44698</v>
      </c>
      <c r="C998" s="1" t="n">
        <v>46104</v>
      </c>
      <c r="D998" t="inlineStr">
        <is>
          <t>STOCKHOLMS LÄN</t>
        </is>
      </c>
      <c r="E998" t="inlineStr">
        <is>
          <t>NORRTÄLJE</t>
        </is>
      </c>
      <c r="F998" t="inlineStr">
        <is>
          <t>Naturvårdsverket</t>
        </is>
      </c>
      <c r="G998" t="n">
        <v>2</v>
      </c>
      <c r="H998" t="n">
        <v>0</v>
      </c>
      <c r="I998" t="n">
        <v>0</v>
      </c>
      <c r="J998" t="n">
        <v>0</v>
      </c>
      <c r="K998" t="n">
        <v>0</v>
      </c>
      <c r="L998" t="n">
        <v>0</v>
      </c>
      <c r="M998" t="n">
        <v>0</v>
      </c>
      <c r="N998" t="n">
        <v>0</v>
      </c>
      <c r="O998" t="n">
        <v>0</v>
      </c>
      <c r="P998" t="n">
        <v>0</v>
      </c>
      <c r="Q998" t="n">
        <v>0</v>
      </c>
      <c r="R998" s="2" t="inlineStr"/>
    </row>
    <row r="999" ht="15" customHeight="1">
      <c r="A999" t="inlineStr">
        <is>
          <t>A 26115-2024</t>
        </is>
      </c>
      <c r="B999" s="1" t="n">
        <v>45468.45628472222</v>
      </c>
      <c r="C999" s="1" t="n">
        <v>46104</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19118-2022</t>
        </is>
      </c>
      <c r="B1000" s="1" t="n">
        <v>44691.5652662037</v>
      </c>
      <c r="C1000" s="1" t="n">
        <v>46104</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8739-2024</t>
        </is>
      </c>
      <c r="B1001" s="1" t="n">
        <v>45356.47784722222</v>
      </c>
      <c r="C1001" s="1" t="n">
        <v>46104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38759-2022</t>
        </is>
      </c>
      <c r="B1002" s="1" t="n">
        <v>44816</v>
      </c>
      <c r="C1002" s="1" t="n">
        <v>46104</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32857-2021</t>
        </is>
      </c>
      <c r="B1003" s="1" t="n">
        <v>44375</v>
      </c>
      <c r="C1003" s="1" t="n">
        <v>46104</v>
      </c>
      <c r="D1003" t="inlineStr">
        <is>
          <t>STOCKHOLMS LÄN</t>
        </is>
      </c>
      <c r="E1003" t="inlineStr">
        <is>
          <t>NORRTÄLJE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29714-2023</t>
        </is>
      </c>
      <c r="B1004" s="1" t="n">
        <v>45107.42538194444</v>
      </c>
      <c r="C1004" s="1" t="n">
        <v>46104</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23271-2023</t>
        </is>
      </c>
      <c r="B1005" s="1" t="n">
        <v>45075.91362268518</v>
      </c>
      <c r="C1005" s="1" t="n">
        <v>46104</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23273-2023</t>
        </is>
      </c>
      <c r="B1006" s="1" t="n">
        <v>45075.91971064815</v>
      </c>
      <c r="C1006" s="1" t="n">
        <v>46104</v>
      </c>
      <c r="D1006" t="inlineStr">
        <is>
          <t>STOCKHOLMS LÄN</t>
        </is>
      </c>
      <c r="E1006" t="inlineStr">
        <is>
          <t>NORRTÄLJE</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7603-2025</t>
        </is>
      </c>
      <c r="B1007" s="1" t="n">
        <v>45705.66126157407</v>
      </c>
      <c r="C1007" s="1" t="n">
        <v>46104</v>
      </c>
      <c r="D1007" t="inlineStr">
        <is>
          <t>STOCKHOLMS LÄN</t>
        </is>
      </c>
      <c r="E1007" t="inlineStr">
        <is>
          <t>NORRTÄLJE</t>
        </is>
      </c>
      <c r="F1007" t="inlineStr">
        <is>
          <t>Holmen skog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30802-2022</t>
        </is>
      </c>
      <c r="B1008" s="1" t="n">
        <v>44764</v>
      </c>
      <c r="C1008" s="1" t="n">
        <v>46104</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46104</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61113-2023</t>
        </is>
      </c>
      <c r="B1010" s="1" t="n">
        <v>45261</v>
      </c>
      <c r="C1010" s="1" t="n">
        <v>46104</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3283-2025</t>
        </is>
      </c>
      <c r="B1011" s="1" t="n">
        <v>45679</v>
      </c>
      <c r="C1011" s="1" t="n">
        <v>46104</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34295-2024</t>
        </is>
      </c>
      <c r="B1012" s="1" t="n">
        <v>45524</v>
      </c>
      <c r="C1012" s="1" t="n">
        <v>46104</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46104</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23692-2024</t>
        </is>
      </c>
      <c r="B1014" s="1" t="n">
        <v>45454.65774305556</v>
      </c>
      <c r="C1014" s="1" t="n">
        <v>46104</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20473-2021</t>
        </is>
      </c>
      <c r="B1015" s="1" t="n">
        <v>44315</v>
      </c>
      <c r="C1015" s="1" t="n">
        <v>46104</v>
      </c>
      <c r="D1015" t="inlineStr">
        <is>
          <t>STOCKHOLMS LÄN</t>
        </is>
      </c>
      <c r="E1015" t="inlineStr">
        <is>
          <t>NORRTÄLJE</t>
        </is>
      </c>
      <c r="F1015" t="inlineStr">
        <is>
          <t>Övriga Aktiebolag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54273-2021</t>
        </is>
      </c>
      <c r="B1016" s="1" t="n">
        <v>44470.72987268519</v>
      </c>
      <c r="C1016" s="1" t="n">
        <v>46104</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7806-2025</t>
        </is>
      </c>
      <c r="B1017" s="1" t="n">
        <v>45706.61178240741</v>
      </c>
      <c r="C1017" s="1" t="n">
        <v>46104</v>
      </c>
      <c r="D1017" t="inlineStr">
        <is>
          <t>STOCKHOLMS LÄN</t>
        </is>
      </c>
      <c r="E1017" t="inlineStr">
        <is>
          <t>NORRTÄLJE</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53792-2023</t>
        </is>
      </c>
      <c r="B1018" s="1" t="n">
        <v>45231.34144675926</v>
      </c>
      <c r="C1018" s="1" t="n">
        <v>46104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21329-2022</t>
        </is>
      </c>
      <c r="B1019" s="1" t="n">
        <v>44705.60626157407</v>
      </c>
      <c r="C1019" s="1" t="n">
        <v>46104</v>
      </c>
      <c r="D1019" t="inlineStr">
        <is>
          <t>STOCKHOLMS LÄN</t>
        </is>
      </c>
      <c r="E1019" t="inlineStr">
        <is>
          <t>NORRTÄLJE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50569-2022</t>
        </is>
      </c>
      <c r="B1020" s="1" t="n">
        <v>44866.63775462963</v>
      </c>
      <c r="C1020" s="1" t="n">
        <v>46104</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24501-2023</t>
        </is>
      </c>
      <c r="B1021" s="1" t="n">
        <v>45082</v>
      </c>
      <c r="C1021" s="1" t="n">
        <v>46104</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24520-2023</t>
        </is>
      </c>
      <c r="B1022" s="1" t="n">
        <v>45082.68922453704</v>
      </c>
      <c r="C1022" s="1" t="n">
        <v>46104</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60654-2023</t>
        </is>
      </c>
      <c r="B1023" s="1" t="n">
        <v>45260.43225694444</v>
      </c>
      <c r="C1023" s="1" t="n">
        <v>46104</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60656-2023</t>
        </is>
      </c>
      <c r="B1024" s="1" t="n">
        <v>45260.4333449074</v>
      </c>
      <c r="C1024" s="1" t="n">
        <v>46104</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54496-2024</t>
        </is>
      </c>
      <c r="B1025" s="1" t="n">
        <v>45617.57439814815</v>
      </c>
      <c r="C1025" s="1" t="n">
        <v>46104</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21386-2023</t>
        </is>
      </c>
      <c r="B1026" s="1" t="n">
        <v>45063.35880787037</v>
      </c>
      <c r="C1026" s="1" t="n">
        <v>46104</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10642-2025</t>
        </is>
      </c>
      <c r="B1027" s="1" t="n">
        <v>45721.65858796296</v>
      </c>
      <c r="C1027" s="1" t="n">
        <v>46104</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20144-2023</t>
        </is>
      </c>
      <c r="B1028" s="1" t="n">
        <v>45055.43509259259</v>
      </c>
      <c r="C1028" s="1" t="n">
        <v>46104</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53312-2024</t>
        </is>
      </c>
      <c r="B1029" s="1" t="n">
        <v>45614.39627314815</v>
      </c>
      <c r="C1029" s="1" t="n">
        <v>46104</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46104</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22756-2022</t>
        </is>
      </c>
      <c r="B1031" s="1" t="n">
        <v>44714.92253472222</v>
      </c>
      <c r="C1031" s="1" t="n">
        <v>46104</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4581-2025</t>
        </is>
      </c>
      <c r="B1032" s="1" t="n">
        <v>45687</v>
      </c>
      <c r="C1032" s="1" t="n">
        <v>46104</v>
      </c>
      <c r="D1032" t="inlineStr">
        <is>
          <t>STOCKHOLMS LÄN</t>
        </is>
      </c>
      <c r="E1032" t="inlineStr">
        <is>
          <t>NORRTÄLJE</t>
        </is>
      </c>
      <c r="F1032" t="inlineStr">
        <is>
          <t>Holmen skog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60765-2023</t>
        </is>
      </c>
      <c r="B1033" s="1" t="n">
        <v>45260</v>
      </c>
      <c r="C1033" s="1" t="n">
        <v>46104</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23801-2022</t>
        </is>
      </c>
      <c r="B1034" s="1" t="n">
        <v>44722</v>
      </c>
      <c r="C1034" s="1" t="n">
        <v>46104</v>
      </c>
      <c r="D1034" t="inlineStr">
        <is>
          <t>STOCKHOLMS LÄN</t>
        </is>
      </c>
      <c r="E1034" t="inlineStr">
        <is>
          <t>NORRTÄLJE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59276-2023</t>
        </is>
      </c>
      <c r="B1035" s="1" t="n">
        <v>45253.55641203704</v>
      </c>
      <c r="C1035" s="1" t="n">
        <v>46104</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46914-2022</t>
        </is>
      </c>
      <c r="B1036" s="1" t="n">
        <v>44851</v>
      </c>
      <c r="C1036" s="1" t="n">
        <v>46104</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18541-2023</t>
        </is>
      </c>
      <c r="B1037" s="1" t="n">
        <v>45042.74291666667</v>
      </c>
      <c r="C1037" s="1" t="n">
        <v>46104</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3509-2022</t>
        </is>
      </c>
      <c r="B1038" s="1" t="n">
        <v>44585</v>
      </c>
      <c r="C1038" s="1" t="n">
        <v>46104</v>
      </c>
      <c r="D1038" t="inlineStr">
        <is>
          <t>STOCKHOLMS LÄN</t>
        </is>
      </c>
      <c r="E1038" t="inlineStr">
        <is>
          <t>NORRTÄLJE</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26407-2024</t>
        </is>
      </c>
      <c r="B1039" s="1" t="n">
        <v>45469</v>
      </c>
      <c r="C1039" s="1" t="n">
        <v>46104</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12890-2024</t>
        </is>
      </c>
      <c r="B1040" s="1" t="n">
        <v>45385.36243055556</v>
      </c>
      <c r="C1040" s="1" t="n">
        <v>46104</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47419-2023</t>
        </is>
      </c>
      <c r="B1041" s="1" t="n">
        <v>45202.65660879629</v>
      </c>
      <c r="C1041" s="1" t="n">
        <v>46104</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23070-2023</t>
        </is>
      </c>
      <c r="B1042" s="1" t="n">
        <v>45075</v>
      </c>
      <c r="C1042" s="1" t="n">
        <v>46104</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27824-2022</t>
        </is>
      </c>
      <c r="B1043" s="1" t="n">
        <v>44743.59331018518</v>
      </c>
      <c r="C1043" s="1" t="n">
        <v>46104</v>
      </c>
      <c r="D1043" t="inlineStr">
        <is>
          <t>STOCKHOLMS LÄN</t>
        </is>
      </c>
      <c r="E1043" t="inlineStr">
        <is>
          <t>NORRTÄLJE</t>
        </is>
      </c>
      <c r="F1043" t="inlineStr">
        <is>
          <t>Kommuner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25619-2022</t>
        </is>
      </c>
      <c r="B1044" s="1" t="n">
        <v>44732</v>
      </c>
      <c r="C1044" s="1" t="n">
        <v>46104</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36246-2021</t>
        </is>
      </c>
      <c r="B1045" s="1" t="n">
        <v>44390</v>
      </c>
      <c r="C1045" s="1" t="n">
        <v>46104</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19952-2023</t>
        </is>
      </c>
      <c r="B1046" s="1" t="n">
        <v>45054.54091435186</v>
      </c>
      <c r="C1046" s="1" t="n">
        <v>46104</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19994-2023</t>
        </is>
      </c>
      <c r="B1047" s="1" t="n">
        <v>45054</v>
      </c>
      <c r="C1047" s="1" t="n">
        <v>46104</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14130-2025</t>
        </is>
      </c>
      <c r="B1048" s="1" t="n">
        <v>45740.47288194444</v>
      </c>
      <c r="C1048" s="1" t="n">
        <v>46104</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574-2023</t>
        </is>
      </c>
      <c r="B1049" s="1" t="n">
        <v>44925</v>
      </c>
      <c r="C1049" s="1" t="n">
        <v>46104</v>
      </c>
      <c r="D1049" t="inlineStr">
        <is>
          <t>STOCKHOLMS LÄN</t>
        </is>
      </c>
      <c r="E1049" t="inlineStr">
        <is>
          <t>NORRTÄLJE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30283-2022</t>
        </is>
      </c>
      <c r="B1050" s="1" t="n">
        <v>44760</v>
      </c>
      <c r="C1050" s="1" t="n">
        <v>46104</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30290-2022</t>
        </is>
      </c>
      <c r="B1051" s="1" t="n">
        <v>44760</v>
      </c>
      <c r="C1051" s="1" t="n">
        <v>46104</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29684-2021</t>
        </is>
      </c>
      <c r="B1052" s="1" t="n">
        <v>44362.37172453704</v>
      </c>
      <c r="C1052" s="1" t="n">
        <v>46104</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60884-2024</t>
        </is>
      </c>
      <c r="B1053" s="1" t="n">
        <v>45644.90815972222</v>
      </c>
      <c r="C1053" s="1" t="n">
        <v>46104</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38610-2022</t>
        </is>
      </c>
      <c r="B1054" s="1" t="n">
        <v>44813.59915509259</v>
      </c>
      <c r="C1054" s="1" t="n">
        <v>46104</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10090-2022</t>
        </is>
      </c>
      <c r="B1055" s="1" t="n">
        <v>44621</v>
      </c>
      <c r="C1055" s="1" t="n">
        <v>46104</v>
      </c>
      <c r="D1055" t="inlineStr">
        <is>
          <t>STOCKHOLMS LÄN</t>
        </is>
      </c>
      <c r="E1055" t="inlineStr">
        <is>
          <t>NORRTÄLJE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14724-2022</t>
        </is>
      </c>
      <c r="B1056" s="1" t="n">
        <v>44656</v>
      </c>
      <c r="C1056" s="1" t="n">
        <v>46104</v>
      </c>
      <c r="D1056" t="inlineStr">
        <is>
          <t>STOCKHOLMS LÄN</t>
        </is>
      </c>
      <c r="E1056" t="inlineStr">
        <is>
          <t>NORRTÄLJE</t>
        </is>
      </c>
      <c r="F1056" t="inlineStr">
        <is>
          <t>Sveaskog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18846-2022</t>
        </is>
      </c>
      <c r="B1057" s="1" t="n">
        <v>44690</v>
      </c>
      <c r="C1057" s="1" t="n">
        <v>46104</v>
      </c>
      <c r="D1057" t="inlineStr">
        <is>
          <t>STOCKHOLMS LÄN</t>
        </is>
      </c>
      <c r="E1057" t="inlineStr">
        <is>
          <t>NORRTÄLJE</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43300-2023</t>
        </is>
      </c>
      <c r="B1058" s="1" t="n">
        <v>45183</v>
      </c>
      <c r="C1058" s="1" t="n">
        <v>46104</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25654-2023</t>
        </is>
      </c>
      <c r="B1059" s="1" t="n">
        <v>45089</v>
      </c>
      <c r="C1059" s="1" t="n">
        <v>46104</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23125-2022</t>
        </is>
      </c>
      <c r="B1060" s="1" t="n">
        <v>44719</v>
      </c>
      <c r="C1060" s="1" t="n">
        <v>46104</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20121-2022</t>
        </is>
      </c>
      <c r="B1061" s="1" t="n">
        <v>44698</v>
      </c>
      <c r="C1061" s="1" t="n">
        <v>46104</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33385-2024</t>
        </is>
      </c>
      <c r="B1062" s="1" t="n">
        <v>45519</v>
      </c>
      <c r="C1062" s="1" t="n">
        <v>46104</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41172-2023</t>
        </is>
      </c>
      <c r="B1063" s="1" t="n">
        <v>45170</v>
      </c>
      <c r="C1063" s="1" t="n">
        <v>46104</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73307-2021</t>
        </is>
      </c>
      <c r="B1064" s="1" t="n">
        <v>44549</v>
      </c>
      <c r="C1064" s="1" t="n">
        <v>46104</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50534-2024</t>
        </is>
      </c>
      <c r="B1065" s="1" t="n">
        <v>45601.56726851852</v>
      </c>
      <c r="C1065" s="1" t="n">
        <v>46104</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65499-2021</t>
        </is>
      </c>
      <c r="B1066" s="1" t="n">
        <v>44516</v>
      </c>
      <c r="C1066" s="1" t="n">
        <v>46104</v>
      </c>
      <c r="D1066" t="inlineStr">
        <is>
          <t>STOCKHOLMS LÄN</t>
        </is>
      </c>
      <c r="E1066" t="inlineStr">
        <is>
          <t>NORRTÄLJE</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65511-2021</t>
        </is>
      </c>
      <c r="B1067" s="1" t="n">
        <v>44516.40674768519</v>
      </c>
      <c r="C1067" s="1" t="n">
        <v>46104</v>
      </c>
      <c r="D1067" t="inlineStr">
        <is>
          <t>STOCKHOLMS LÄN</t>
        </is>
      </c>
      <c r="E1067" t="inlineStr">
        <is>
          <t>NORRTÄLJE</t>
        </is>
      </c>
      <c r="F1067" t="inlineStr">
        <is>
          <t>Kommuner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22833-2024</t>
        </is>
      </c>
      <c r="B1068" s="1" t="n">
        <v>45448.56746527777</v>
      </c>
      <c r="C1068" s="1" t="n">
        <v>46104</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32514-2022</t>
        </is>
      </c>
      <c r="B1069" s="1" t="n">
        <v>44782</v>
      </c>
      <c r="C1069" s="1" t="n">
        <v>46104</v>
      </c>
      <c r="D1069" t="inlineStr">
        <is>
          <t>STOCKHOLMS LÄN</t>
        </is>
      </c>
      <c r="E1069" t="inlineStr">
        <is>
          <t>NORRTÄLJE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29362-2022</t>
        </is>
      </c>
      <c r="B1070" s="1" t="n">
        <v>44753</v>
      </c>
      <c r="C1070" s="1" t="n">
        <v>46104</v>
      </c>
      <c r="D1070" t="inlineStr">
        <is>
          <t>STOCKHOLMS LÄN</t>
        </is>
      </c>
      <c r="E1070" t="inlineStr">
        <is>
          <t>NORRTÄLJE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58492-2022</t>
        </is>
      </c>
      <c r="B1071" s="1" t="n">
        <v>44902</v>
      </c>
      <c r="C1071" s="1" t="n">
        <v>46104</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51315-2021</t>
        </is>
      </c>
      <c r="B1072" s="1" t="n">
        <v>44461</v>
      </c>
      <c r="C1072" s="1" t="n">
        <v>46104</v>
      </c>
      <c r="D1072" t="inlineStr">
        <is>
          <t>STOCKHOLMS LÄN</t>
        </is>
      </c>
      <c r="E1072" t="inlineStr">
        <is>
          <t>NORRTÄLJE</t>
        </is>
      </c>
      <c r="F1072" t="inlineStr">
        <is>
          <t>Holmen skog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14873-2025</t>
        </is>
      </c>
      <c r="B1073" s="1" t="n">
        <v>45743.44953703704</v>
      </c>
      <c r="C1073" s="1" t="n">
        <v>46104</v>
      </c>
      <c r="D1073" t="inlineStr">
        <is>
          <t>STOCKHOLMS LÄN</t>
        </is>
      </c>
      <c r="E1073" t="inlineStr">
        <is>
          <t>NORRTÄLJE</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34773-2022</t>
        </is>
      </c>
      <c r="B1074" s="1" t="n">
        <v>44795</v>
      </c>
      <c r="C1074" s="1" t="n">
        <v>46104</v>
      </c>
      <c r="D1074" t="inlineStr">
        <is>
          <t>STOCKHOLMS LÄN</t>
        </is>
      </c>
      <c r="E1074" t="inlineStr">
        <is>
          <t>NORRTÄLJE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33173-2024</t>
        </is>
      </c>
      <c r="B1075" s="1" t="n">
        <v>45518</v>
      </c>
      <c r="C1075" s="1" t="n">
        <v>46104</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4484-2025</t>
        </is>
      </c>
      <c r="B1076" s="1" t="n">
        <v>45686.65545138889</v>
      </c>
      <c r="C1076" s="1" t="n">
        <v>46104</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33878-2024</t>
        </is>
      </c>
      <c r="B1077" s="1" t="n">
        <v>45522.44414351852</v>
      </c>
      <c r="C1077" s="1" t="n">
        <v>46104</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9246-2024</t>
        </is>
      </c>
      <c r="B1078" s="1" t="n">
        <v>45357</v>
      </c>
      <c r="C1078" s="1" t="n">
        <v>46104</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35698-2023</t>
        </is>
      </c>
      <c r="B1079" s="1" t="n">
        <v>45147</v>
      </c>
      <c r="C1079" s="1" t="n">
        <v>46104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62398-2022</t>
        </is>
      </c>
      <c r="B1080" s="1" t="n">
        <v>44923.90159722222</v>
      </c>
      <c r="C1080" s="1" t="n">
        <v>46104</v>
      </c>
      <c r="D1080" t="inlineStr">
        <is>
          <t>STOCKHOLMS LÄN</t>
        </is>
      </c>
      <c r="E1080" t="inlineStr">
        <is>
          <t>NORRTÄLJE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49700-2023</t>
        </is>
      </c>
      <c r="B1081" s="1" t="n">
        <v>45212</v>
      </c>
      <c r="C1081" s="1" t="n">
        <v>46104</v>
      </c>
      <c r="D1081" t="inlineStr">
        <is>
          <t>STOCKHOLMS LÄN</t>
        </is>
      </c>
      <c r="E1081" t="inlineStr">
        <is>
          <t>NORRTÄLJE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32071-2023</t>
        </is>
      </c>
      <c r="B1082" s="1" t="n">
        <v>45119.57728009259</v>
      </c>
      <c r="C1082" s="1" t="n">
        <v>46104</v>
      </c>
      <c r="D1082" t="inlineStr">
        <is>
          <t>STOCKHOLMS LÄN</t>
        </is>
      </c>
      <c r="E1082" t="inlineStr">
        <is>
          <t>NORRTÄLJE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1425-2025</t>
        </is>
      </c>
      <c r="B1083" s="1" t="n">
        <v>45668.67446759259</v>
      </c>
      <c r="C1083" s="1" t="n">
        <v>46104</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17775-2022</t>
        </is>
      </c>
      <c r="B1084" s="1" t="n">
        <v>44682.78430555556</v>
      </c>
      <c r="C1084" s="1" t="n">
        <v>46104</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38720-2022</t>
        </is>
      </c>
      <c r="B1085" s="1" t="n">
        <v>44815.74539351852</v>
      </c>
      <c r="C1085" s="1" t="n">
        <v>46104</v>
      </c>
      <c r="D1085" t="inlineStr">
        <is>
          <t>STOCKHOLMS LÄN</t>
        </is>
      </c>
      <c r="E1085" t="inlineStr">
        <is>
          <t>NORRTÄLJE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44986.5887962963</v>
      </c>
      <c r="C1086" s="1" t="n">
        <v>46104</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25609-2023</t>
        </is>
      </c>
      <c r="B1087" s="1" t="n">
        <v>45089</v>
      </c>
      <c r="C1087" s="1" t="n">
        <v>46104</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20014-2025</t>
        </is>
      </c>
      <c r="B1088" s="1" t="n">
        <v>45772.3078125</v>
      </c>
      <c r="C1088" s="1" t="n">
        <v>46104</v>
      </c>
      <c r="D1088" t="inlineStr">
        <is>
          <t>STOCKHOLMS LÄN</t>
        </is>
      </c>
      <c r="E1088" t="inlineStr">
        <is>
          <t>NORRTÄLJE</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20136-2025</t>
        </is>
      </c>
      <c r="B1089" s="1" t="n">
        <v>45772.51127314815</v>
      </c>
      <c r="C1089" s="1" t="n">
        <v>46104</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2287-2024</t>
        </is>
      </c>
      <c r="B1090" s="1" t="n">
        <v>45310</v>
      </c>
      <c r="C1090" s="1" t="n">
        <v>46104</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13785-2024</t>
        </is>
      </c>
      <c r="B1091" s="1" t="n">
        <v>45391.3395949074</v>
      </c>
      <c r="C1091" s="1" t="n">
        <v>46104</v>
      </c>
      <c r="D1091" t="inlineStr">
        <is>
          <t>STOCKHOLMS LÄN</t>
        </is>
      </c>
      <c r="E1091" t="inlineStr">
        <is>
          <t>NORRTÄLJE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50469-2022</t>
        </is>
      </c>
      <c r="B1092" s="1" t="n">
        <v>44866.49827546296</v>
      </c>
      <c r="C1092" s="1" t="n">
        <v>46104</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51116-2022</t>
        </is>
      </c>
      <c r="B1093" s="1" t="n">
        <v>44868.45741898148</v>
      </c>
      <c r="C1093" s="1" t="n">
        <v>46104</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60217-2021</t>
        </is>
      </c>
      <c r="B1094" s="1" t="n">
        <v>44495.5893287037</v>
      </c>
      <c r="C1094" s="1" t="n">
        <v>46104</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5839-2023</t>
        </is>
      </c>
      <c r="B1095" s="1" t="n">
        <v>44963</v>
      </c>
      <c r="C1095" s="1" t="n">
        <v>46104</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38985-2022</t>
        </is>
      </c>
      <c r="B1096" s="1" t="n">
        <v>44816</v>
      </c>
      <c r="C1096" s="1" t="n">
        <v>46104</v>
      </c>
      <c r="D1096" t="inlineStr">
        <is>
          <t>STOCKHOLMS LÄN</t>
        </is>
      </c>
      <c r="E1096" t="inlineStr">
        <is>
          <t>NORRTÄLJE</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5665-2025</t>
        </is>
      </c>
      <c r="B1097" s="1" t="n">
        <v>45693</v>
      </c>
      <c r="C1097" s="1" t="n">
        <v>46104</v>
      </c>
      <c r="D1097" t="inlineStr">
        <is>
          <t>STOCKHOLMS LÄN</t>
        </is>
      </c>
      <c r="E1097" t="inlineStr">
        <is>
          <t>NORRTÄLJE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3426-2025</t>
        </is>
      </c>
      <c r="B1098" s="1" t="n">
        <v>45680.42665509259</v>
      </c>
      <c r="C1098" s="1" t="n">
        <v>46104</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58530-2024</t>
        </is>
      </c>
      <c r="B1099" s="1" t="n">
        <v>45635.44788194444</v>
      </c>
      <c r="C1099" s="1" t="n">
        <v>46104</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22421-2021</t>
        </is>
      </c>
      <c r="B1100" s="1" t="n">
        <v>44326</v>
      </c>
      <c r="C1100" s="1" t="n">
        <v>46104</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40761-2024</t>
        </is>
      </c>
      <c r="B1101" s="1" t="n">
        <v>45558.46283564815</v>
      </c>
      <c r="C1101" s="1" t="n">
        <v>46104</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4553-2023</t>
        </is>
      </c>
      <c r="B1102" s="1" t="n">
        <v>44956.65920138889</v>
      </c>
      <c r="C1102" s="1" t="n">
        <v>46104</v>
      </c>
      <c r="D1102" t="inlineStr">
        <is>
          <t>STOCKHOLMS LÄN</t>
        </is>
      </c>
      <c r="E1102" t="inlineStr">
        <is>
          <t>NORRTÄLJE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4593-2023</t>
        </is>
      </c>
      <c r="B1103" s="1" t="n">
        <v>44956</v>
      </c>
      <c r="C1103" s="1" t="n">
        <v>46104</v>
      </c>
      <c r="D1103" t="inlineStr">
        <is>
          <t>STOCKHOLMS LÄN</t>
        </is>
      </c>
      <c r="E1103" t="inlineStr">
        <is>
          <t>NORRTÄLJE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13171-2025</t>
        </is>
      </c>
      <c r="B1104" s="1" t="n">
        <v>45735.36594907408</v>
      </c>
      <c r="C1104" s="1" t="n">
        <v>46104</v>
      </c>
      <c r="D1104" t="inlineStr">
        <is>
          <t>STOCKHOLMS LÄN</t>
        </is>
      </c>
      <c r="E1104" t="inlineStr">
        <is>
          <t>NORRTÄLJE</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51978-2023</t>
        </is>
      </c>
      <c r="B1105" s="1" t="n">
        <v>45223</v>
      </c>
      <c r="C1105" s="1" t="n">
        <v>46104</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18092-2022</t>
        </is>
      </c>
      <c r="B1106" s="1" t="n">
        <v>44684</v>
      </c>
      <c r="C1106" s="1" t="n">
        <v>46104</v>
      </c>
      <c r="D1106" t="inlineStr">
        <is>
          <t>STOCKHOLMS LÄN</t>
        </is>
      </c>
      <c r="E1106" t="inlineStr">
        <is>
          <t>NORRTÄLJE</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59310-2023</t>
        </is>
      </c>
      <c r="B1107" s="1" t="n">
        <v>45253.61146990741</v>
      </c>
      <c r="C1107" s="1" t="n">
        <v>46104</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9329-2023</t>
        </is>
      </c>
      <c r="B1108" s="1" t="n">
        <v>44980</v>
      </c>
      <c r="C1108" s="1" t="n">
        <v>46104</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59878-2024</t>
        </is>
      </c>
      <c r="B1109" s="1" t="n">
        <v>45640.60240740741</v>
      </c>
      <c r="C1109" s="1" t="n">
        <v>46104</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41335-2023</t>
        </is>
      </c>
      <c r="B1110" s="1" t="n">
        <v>45174.68702546296</v>
      </c>
      <c r="C1110" s="1" t="n">
        <v>46104</v>
      </c>
      <c r="D1110" t="inlineStr">
        <is>
          <t>STOCKHOLMS LÄN</t>
        </is>
      </c>
      <c r="E1110" t="inlineStr">
        <is>
          <t>NORRTÄLJE</t>
        </is>
      </c>
      <c r="F1110" t="inlineStr">
        <is>
          <t>Holmen skog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33040-2021</t>
        </is>
      </c>
      <c r="B1111" s="1" t="n">
        <v>44376.50728009259</v>
      </c>
      <c r="C1111" s="1" t="n">
        <v>46104</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33053-2021</t>
        </is>
      </c>
      <c r="B1112" s="1" t="n">
        <v>44376</v>
      </c>
      <c r="C1112" s="1" t="n">
        <v>46104</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43150-2023</t>
        </is>
      </c>
      <c r="B1113" s="1" t="n">
        <v>45183</v>
      </c>
      <c r="C1113" s="1" t="n">
        <v>46104</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54259-2023</t>
        </is>
      </c>
      <c r="B1114" s="1" t="n">
        <v>45232</v>
      </c>
      <c r="C1114" s="1" t="n">
        <v>46104</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60822-2023</t>
        </is>
      </c>
      <c r="B1115" s="1" t="n">
        <v>45259</v>
      </c>
      <c r="C1115" s="1" t="n">
        <v>46104</v>
      </c>
      <c r="D1115" t="inlineStr">
        <is>
          <t>STOCKHOLMS LÄN</t>
        </is>
      </c>
      <c r="E1115" t="inlineStr">
        <is>
          <t>NORRTÄLJE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27381-2024</t>
        </is>
      </c>
      <c r="B1116" s="1" t="n">
        <v>45473.94501157408</v>
      </c>
      <c r="C1116" s="1" t="n">
        <v>46104</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23265-2023</t>
        </is>
      </c>
      <c r="B1117" s="1" t="n">
        <v>45075.90703703704</v>
      </c>
      <c r="C1117" s="1" t="n">
        <v>46104</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26117-2024</t>
        </is>
      </c>
      <c r="B1118" s="1" t="n">
        <v>45468.45877314815</v>
      </c>
      <c r="C1118" s="1" t="n">
        <v>46104</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20336-2024</t>
        </is>
      </c>
      <c r="B1119" s="1" t="n">
        <v>45435.43123842592</v>
      </c>
      <c r="C1119" s="1" t="n">
        <v>46104</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1847-2023</t>
        </is>
      </c>
      <c r="B1120" s="1" t="n">
        <v>44938</v>
      </c>
      <c r="C1120" s="1" t="n">
        <v>46104</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59721-2024</t>
        </is>
      </c>
      <c r="B1121" s="1" t="n">
        <v>45639.47385416667</v>
      </c>
      <c r="C1121" s="1" t="n">
        <v>46104</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37010-2022</t>
        </is>
      </c>
      <c r="B1122" s="1" t="n">
        <v>44806.41576388889</v>
      </c>
      <c r="C1122" s="1" t="n">
        <v>46104</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951-2023</t>
        </is>
      </c>
      <c r="B1123" s="1" t="n">
        <v>44934</v>
      </c>
      <c r="C1123" s="1" t="n">
        <v>46104</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5423-2023</t>
        </is>
      </c>
      <c r="B1124" s="1" t="n">
        <v>44959.74533564815</v>
      </c>
      <c r="C1124" s="1" t="n">
        <v>46104</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50182-2024</t>
        </is>
      </c>
      <c r="B1125" s="1" t="n">
        <v>45600.47275462963</v>
      </c>
      <c r="C1125" s="1" t="n">
        <v>46104</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12629-2024</t>
        </is>
      </c>
      <c r="B1126" s="1" t="n">
        <v>45383</v>
      </c>
      <c r="C1126" s="1" t="n">
        <v>46104</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35708-2022</t>
        </is>
      </c>
      <c r="B1127" s="1" t="n">
        <v>44799.65013888889</v>
      </c>
      <c r="C1127" s="1" t="n">
        <v>46104</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45220-2024</t>
        </is>
      </c>
      <c r="B1128" s="1" t="n">
        <v>45575</v>
      </c>
      <c r="C1128" s="1" t="n">
        <v>46104</v>
      </c>
      <c r="D1128" t="inlineStr">
        <is>
          <t>STOCKHOLMS LÄN</t>
        </is>
      </c>
      <c r="E1128" t="inlineStr">
        <is>
          <t>NORRTÄLJE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21731-2023</t>
        </is>
      </c>
      <c r="B1129" s="1" t="n">
        <v>45063</v>
      </c>
      <c r="C1129" s="1" t="n">
        <v>46104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23266-2023</t>
        </is>
      </c>
      <c r="B1130" s="1" t="n">
        <v>45075.90817129629</v>
      </c>
      <c r="C1130" s="1" t="n">
        <v>46104</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47521-2024</t>
        </is>
      </c>
      <c r="B1131" s="1" t="n">
        <v>45587.62565972222</v>
      </c>
      <c r="C1131" s="1" t="n">
        <v>46104</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46104</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46104</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29266-2022</t>
        </is>
      </c>
      <c r="B1134" s="1" t="n">
        <v>44750.66068287037</v>
      </c>
      <c r="C1134" s="1" t="n">
        <v>46104</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29278-2022</t>
        </is>
      </c>
      <c r="B1135" s="1" t="n">
        <v>44750</v>
      </c>
      <c r="C1135" s="1" t="n">
        <v>46104</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37273-2024</t>
        </is>
      </c>
      <c r="B1136" s="1" t="n">
        <v>45540</v>
      </c>
      <c r="C1136" s="1" t="n">
        <v>46104</v>
      </c>
      <c r="D1136" t="inlineStr">
        <is>
          <t>STOCKHOLMS LÄN</t>
        </is>
      </c>
      <c r="E1136" t="inlineStr">
        <is>
          <t>NORRTÄLJE</t>
        </is>
      </c>
      <c r="F1136" t="inlineStr">
        <is>
          <t>Sveaskog</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12908-2025</t>
        </is>
      </c>
      <c r="B1137" s="1" t="n">
        <v>45733.82105324074</v>
      </c>
      <c r="C1137" s="1" t="n">
        <v>46104</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23060-2023</t>
        </is>
      </c>
      <c r="B1138" s="1" t="n">
        <v>45075</v>
      </c>
      <c r="C1138" s="1" t="n">
        <v>46104</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32103-2022</t>
        </is>
      </c>
      <c r="B1139" s="1" t="n">
        <v>44778</v>
      </c>
      <c r="C1139" s="1" t="n">
        <v>46104</v>
      </c>
      <c r="D1139" t="inlineStr">
        <is>
          <t>STOCKHOLMS LÄN</t>
        </is>
      </c>
      <c r="E1139" t="inlineStr">
        <is>
          <t>NORRTÄLJE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6401-2024</t>
        </is>
      </c>
      <c r="B1140" s="1" t="n">
        <v>45338</v>
      </c>
      <c r="C1140" s="1" t="n">
        <v>46104</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59504-2023</t>
        </is>
      </c>
      <c r="B1141" s="1" t="n">
        <v>45254</v>
      </c>
      <c r="C1141" s="1" t="n">
        <v>46104</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52321-2024</t>
        </is>
      </c>
      <c r="B1142" s="1" t="n">
        <v>45608</v>
      </c>
      <c r="C1142" s="1" t="n">
        <v>46104</v>
      </c>
      <c r="D1142" t="inlineStr">
        <is>
          <t>STOCKHOLMS LÄN</t>
        </is>
      </c>
      <c r="E1142" t="inlineStr">
        <is>
          <t>NORRTÄLJE</t>
        </is>
      </c>
      <c r="G1142" t="n">
        <v>18.1</v>
      </c>
      <c r="H1142" t="n">
        <v>0</v>
      </c>
      <c r="I1142" t="n">
        <v>0</v>
      </c>
      <c r="J1142" t="n">
        <v>0</v>
      </c>
      <c r="K1142" t="n">
        <v>0</v>
      </c>
      <c r="L1142" t="n">
        <v>0</v>
      </c>
      <c r="M1142" t="n">
        <v>0</v>
      </c>
      <c r="N1142" t="n">
        <v>0</v>
      </c>
      <c r="O1142" t="n">
        <v>0</v>
      </c>
      <c r="P1142" t="n">
        <v>0</v>
      </c>
      <c r="Q1142" t="n">
        <v>0</v>
      </c>
      <c r="R1142" s="2" t="inlineStr"/>
    </row>
    <row r="1143" ht="15" customHeight="1">
      <c r="A1143" t="inlineStr">
        <is>
          <t>A 48151-2024</t>
        </is>
      </c>
      <c r="B1143" s="1" t="n">
        <v>45589.68289351852</v>
      </c>
      <c r="C1143" s="1" t="n">
        <v>46104</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20370-2025</t>
        </is>
      </c>
      <c r="B1144" s="1" t="n">
        <v>45775.41451388889</v>
      </c>
      <c r="C1144" s="1" t="n">
        <v>46104</v>
      </c>
      <c r="D1144" t="inlineStr">
        <is>
          <t>STOCKHOLMS LÄN</t>
        </is>
      </c>
      <c r="E1144" t="inlineStr">
        <is>
          <t>NORRTÄLJE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19580-2022</t>
        </is>
      </c>
      <c r="B1145" s="1" t="n">
        <v>44693</v>
      </c>
      <c r="C1145" s="1" t="n">
        <v>46104</v>
      </c>
      <c r="D1145" t="inlineStr">
        <is>
          <t>STOCKHOLMS LÄN</t>
        </is>
      </c>
      <c r="E1145" t="inlineStr">
        <is>
          <t>NORRTÄLJE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30731-2023</t>
        </is>
      </c>
      <c r="B1146" s="1" t="n">
        <v>45112</v>
      </c>
      <c r="C1146" s="1" t="n">
        <v>46104</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4580-2025</t>
        </is>
      </c>
      <c r="B1147" s="1" t="n">
        <v>45687.5038425926</v>
      </c>
      <c r="C1147" s="1" t="n">
        <v>46104</v>
      </c>
      <c r="D1147" t="inlineStr">
        <is>
          <t>STOCKHOLMS LÄN</t>
        </is>
      </c>
      <c r="E1147" t="inlineStr">
        <is>
          <t>NORRTÄLJE</t>
        </is>
      </c>
      <c r="F1147" t="inlineStr">
        <is>
          <t>Holmen skog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31057-2022</t>
        </is>
      </c>
      <c r="B1148" s="1" t="n">
        <v>44769</v>
      </c>
      <c r="C1148" s="1" t="n">
        <v>46104</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31140-2023</t>
        </is>
      </c>
      <c r="B1149" s="1" t="n">
        <v>45113</v>
      </c>
      <c r="C1149" s="1" t="n">
        <v>46104</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31149-2023</t>
        </is>
      </c>
      <c r="B1150" s="1" t="n">
        <v>45113</v>
      </c>
      <c r="C1150" s="1" t="n">
        <v>46104</v>
      </c>
      <c r="D1150" t="inlineStr">
        <is>
          <t>STOCKHOLMS LÄN</t>
        </is>
      </c>
      <c r="E1150" t="inlineStr">
        <is>
          <t>NORRTÄLJE</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4658-2024</t>
        </is>
      </c>
      <c r="B1151" s="1" t="n">
        <v>45328.46336805556</v>
      </c>
      <c r="C1151" s="1" t="n">
        <v>46104</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19131-2025</t>
        </is>
      </c>
      <c r="B1152" s="1" t="n">
        <v>45769</v>
      </c>
      <c r="C1152" s="1" t="n">
        <v>46104</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7571-2024</t>
        </is>
      </c>
      <c r="B1153" s="1" t="n">
        <v>45348.46300925926</v>
      </c>
      <c r="C1153" s="1" t="n">
        <v>46104</v>
      </c>
      <c r="D1153" t="inlineStr">
        <is>
          <t>STOCKHOLMS LÄN</t>
        </is>
      </c>
      <c r="E1153" t="inlineStr">
        <is>
          <t>NORRTÄLJE</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11849-2025</t>
        </is>
      </c>
      <c r="B1154" s="1" t="n">
        <v>45728.38409722222</v>
      </c>
      <c r="C1154" s="1" t="n">
        <v>46104</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40425-2021</t>
        </is>
      </c>
      <c r="B1155" s="1" t="n">
        <v>44419</v>
      </c>
      <c r="C1155" s="1" t="n">
        <v>46104</v>
      </c>
      <c r="D1155" t="inlineStr">
        <is>
          <t>STOCKHOLMS LÄN</t>
        </is>
      </c>
      <c r="E1155" t="inlineStr">
        <is>
          <t>NORRTÄLJE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58990-2021</t>
        </is>
      </c>
      <c r="B1156" s="1" t="n">
        <v>44490.03621527777</v>
      </c>
      <c r="C1156" s="1" t="n">
        <v>46104</v>
      </c>
      <c r="D1156" t="inlineStr">
        <is>
          <t>STOCKHOLMS LÄN</t>
        </is>
      </c>
      <c r="E1156" t="inlineStr">
        <is>
          <t>NORRTÄLJE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20790-2025</t>
        </is>
      </c>
      <c r="B1157" s="1" t="n">
        <v>45776.62563657408</v>
      </c>
      <c r="C1157" s="1" t="n">
        <v>46104</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20699-2025</t>
        </is>
      </c>
      <c r="B1158" s="1" t="n">
        <v>45776.47346064815</v>
      </c>
      <c r="C1158" s="1" t="n">
        <v>46104</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3152-2024</t>
        </is>
      </c>
      <c r="B1159" s="1" t="n">
        <v>45316.60306712963</v>
      </c>
      <c r="C1159" s="1" t="n">
        <v>46104</v>
      </c>
      <c r="D1159" t="inlineStr">
        <is>
          <t>STOCKHOLMS LÄN</t>
        </is>
      </c>
      <c r="E1159" t="inlineStr">
        <is>
          <t>NORRTÄLJE</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59326-2023</t>
        </is>
      </c>
      <c r="B1160" s="1" t="n">
        <v>45253.63089120371</v>
      </c>
      <c r="C1160" s="1" t="n">
        <v>46104</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44836-2023</t>
        </is>
      </c>
      <c r="B1161" s="1" t="n">
        <v>45190.55609953704</v>
      </c>
      <c r="C1161" s="1" t="n">
        <v>46104</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46104</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21771-2025</t>
        </is>
      </c>
      <c r="B1163" s="1" t="n">
        <v>45783</v>
      </c>
      <c r="C1163" s="1" t="n">
        <v>46104</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21778-2025</t>
        </is>
      </c>
      <c r="B1164" s="1" t="n">
        <v>45783.66429398148</v>
      </c>
      <c r="C1164" s="1" t="n">
        <v>46104</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c r="A1165" t="inlineStr">
        <is>
          <t>A 22202-2025</t>
        </is>
      </c>
      <c r="B1165" s="1" t="n">
        <v>45785.65300925926</v>
      </c>
      <c r="C1165" s="1" t="n">
        <v>46104</v>
      </c>
      <c r="D1165" t="inlineStr">
        <is>
          <t>STOCKHOLMS LÄN</t>
        </is>
      </c>
      <c r="E1165" t="inlineStr">
        <is>
          <t>NORRTÄLJE</t>
        </is>
      </c>
      <c r="G1165" t="n">
        <v>10.2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2026-03-23T11:31:05Z</dcterms:created>
  <dcterms:modified xmlns:dcterms="http://purl.org/dc/terms/" xmlns:xsi="http://www.w3.org/2001/XMLSchema-instance" xsi:type="dcterms:W3CDTF">2026-03-23T11:31:06Z</dcterms:modified>
</cp:coreProperties>
</file>