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46192</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46192</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46192</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46192</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46192</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46192</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46192</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46192</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46192</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46192</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46192</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46192</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46192</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46192</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46192</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46192</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46192</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46192</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3472-2023</t>
        </is>
      </c>
      <c r="B20" s="1" t="n">
        <v>44949</v>
      </c>
      <c r="C20" s="1" t="n">
        <v>46192</v>
      </c>
      <c r="D20" t="inlineStr">
        <is>
          <t>STOCKHOLMS LÄN</t>
        </is>
      </c>
      <c r="E20" t="inlineStr">
        <is>
          <t>NORRTÄLJE</t>
        </is>
      </c>
      <c r="G20" t="n">
        <v>26.3</v>
      </c>
      <c r="H20" t="n">
        <v>1</v>
      </c>
      <c r="I20" t="n">
        <v>6</v>
      </c>
      <c r="J20" t="n">
        <v>3</v>
      </c>
      <c r="K20" t="n">
        <v>1</v>
      </c>
      <c r="L20" t="n">
        <v>0</v>
      </c>
      <c r="M20" t="n">
        <v>0</v>
      </c>
      <c r="N20" t="n">
        <v>0</v>
      </c>
      <c r="O20" t="n">
        <v>4</v>
      </c>
      <c r="P20" t="n">
        <v>1</v>
      </c>
      <c r="Q20" t="n">
        <v>11</v>
      </c>
      <c r="R20" s="2" t="inlineStr">
        <is>
          <t>Blackticka
Tallticka
Ullticka
Vårärt
Aspvedgnagare
Platt fjädermossa
Rävticka
Rökmusseron
Stor aspticka
Svavelriska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46192</v>
      </c>
      <c r="D21" t="inlineStr">
        <is>
          <t>STOCKHOLMS LÄN</t>
        </is>
      </c>
      <c r="E21" t="inlineStr">
        <is>
          <t>NORRTÄLJE</t>
        </is>
      </c>
      <c r="G21" t="n">
        <v>7.4</v>
      </c>
      <c r="H21" t="n">
        <v>5</v>
      </c>
      <c r="I21" t="n">
        <v>3</v>
      </c>
      <c r="J21" t="n">
        <v>4</v>
      </c>
      <c r="K21" t="n">
        <v>2</v>
      </c>
      <c r="L21" t="n">
        <v>0</v>
      </c>
      <c r="M21" t="n">
        <v>0</v>
      </c>
      <c r="N21" t="n">
        <v>0</v>
      </c>
      <c r="O21" t="n">
        <v>6</v>
      </c>
      <c r="P21" t="n">
        <v>2</v>
      </c>
      <c r="Q21" t="n">
        <v>11</v>
      </c>
      <c r="R21" s="2" t="inlineStr">
        <is>
          <t>Knärot
Skrovlig taggsvamp
Blå taggsvamp
Dropptaggsvamp
Motaggsvamp
Talltita
Björksplintborre
Grönpyrola
Plattlummer
Spillkråka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73093-2021</t>
        </is>
      </c>
      <c r="B22" s="1" t="n">
        <v>44550</v>
      </c>
      <c r="C22" s="1" t="n">
        <v>46192</v>
      </c>
      <c r="D22" t="inlineStr">
        <is>
          <t>STOCKHOLMS LÄN</t>
        </is>
      </c>
      <c r="E22" t="inlineStr">
        <is>
          <t>NORRTÄLJE</t>
        </is>
      </c>
      <c r="G22" t="n">
        <v>5.1</v>
      </c>
      <c r="H22" t="n">
        <v>8</v>
      </c>
      <c r="I22" t="n">
        <v>6</v>
      </c>
      <c r="J22" t="n">
        <v>1</v>
      </c>
      <c r="K22" t="n">
        <v>0</v>
      </c>
      <c r="L22" t="n">
        <v>0</v>
      </c>
      <c r="M22" t="n">
        <v>0</v>
      </c>
      <c r="N22" t="n">
        <v>0</v>
      </c>
      <c r="O22" t="n">
        <v>1</v>
      </c>
      <c r="P22" t="n">
        <v>0</v>
      </c>
      <c r="Q22" t="n">
        <v>11</v>
      </c>
      <c r="R22" s="2" t="inlineStr">
        <is>
          <t>Rödvingetrast
Guckusko
Myskmadra
Nästrot
Skogsknipprot
Tibast
Vätteros
Blåsippa
Spillkråka
Grönsiska
Nattviol</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50326-2024</t>
        </is>
      </c>
      <c r="B23" s="1" t="n">
        <v>45600</v>
      </c>
      <c r="C23" s="1" t="n">
        <v>46192</v>
      </c>
      <c r="D23" t="inlineStr">
        <is>
          <t>STOCKHOLMS LÄN</t>
        </is>
      </c>
      <c r="E23" t="inlineStr">
        <is>
          <t>NORRTÄLJE</t>
        </is>
      </c>
      <c r="G23" t="n">
        <v>23.9</v>
      </c>
      <c r="H23" t="n">
        <v>5</v>
      </c>
      <c r="I23" t="n">
        <v>5</v>
      </c>
      <c r="J23" t="n">
        <v>2</v>
      </c>
      <c r="K23" t="n">
        <v>0</v>
      </c>
      <c r="L23" t="n">
        <v>0</v>
      </c>
      <c r="M23" t="n">
        <v>0</v>
      </c>
      <c r="N23" t="n">
        <v>0</v>
      </c>
      <c r="O23" t="n">
        <v>2</v>
      </c>
      <c r="P23" t="n">
        <v>0</v>
      </c>
      <c r="Q23" t="n">
        <v>11</v>
      </c>
      <c r="R23" s="2" t="inlineStr">
        <is>
          <t>Sommarfibbla
Vårärt
Nästrot
Slät lönnlav
Svart trolldruva
Tibast
Tvåblad
Blåsippa
Tandrot
Fläcknycklar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1054-2022</t>
        </is>
      </c>
      <c r="B24" s="1" t="n">
        <v>44571</v>
      </c>
      <c r="C24" s="1" t="n">
        <v>46192</v>
      </c>
      <c r="D24" t="inlineStr">
        <is>
          <t>STOCKHOLMS LÄN</t>
        </is>
      </c>
      <c r="E24" t="inlineStr">
        <is>
          <t>NORRTÄLJE</t>
        </is>
      </c>
      <c r="G24" t="n">
        <v>5</v>
      </c>
      <c r="H24" t="n">
        <v>1</v>
      </c>
      <c r="I24" t="n">
        <v>5</v>
      </c>
      <c r="J24" t="n">
        <v>5</v>
      </c>
      <c r="K24" t="n">
        <v>0</v>
      </c>
      <c r="L24" t="n">
        <v>0</v>
      </c>
      <c r="M24" t="n">
        <v>0</v>
      </c>
      <c r="N24" t="n">
        <v>0</v>
      </c>
      <c r="O24" t="n">
        <v>5</v>
      </c>
      <c r="P24" t="n">
        <v>0</v>
      </c>
      <c r="Q24" t="n">
        <v>10</v>
      </c>
      <c r="R24" s="2" t="inlineStr">
        <is>
          <t>Fjällig taggsvamp s.str.
Fyrflikig jordstjärna
Kryddspindling
Odörspindling
Äggspindling
Anisspindling
Olivspindling
Rödgul trumpetsvamp
Skogsknipprot
Svavelriska</t>
        </is>
      </c>
      <c r="S24">
        <f>HYPERLINK("https://klasma.github.io/Logging_0188/artfynd/A 1054-2022 artfynd.xlsx", "A 1054-2022")</f>
        <v/>
      </c>
      <c r="T24">
        <f>HYPERLINK("https://klasma.github.io/Logging_0188/kartor/A 1054-2022 karta.png", "A 1054-2022")</f>
        <v/>
      </c>
      <c r="V24">
        <f>HYPERLINK("https://klasma.github.io/Logging_0188/klagomål/A 1054-2022 FSC-klagomål.docx", "A 1054-2022")</f>
        <v/>
      </c>
      <c r="W24">
        <f>HYPERLINK("https://klasma.github.io/Logging_0188/klagomålsmail/A 1054-2022 FSC-klagomål mail.docx", "A 1054-2022")</f>
        <v/>
      </c>
      <c r="X24">
        <f>HYPERLINK("https://klasma.github.io/Logging_0188/tillsyn/A 1054-2022 tillsynsbegäran.docx", "A 1054-2022")</f>
        <v/>
      </c>
      <c r="Y24">
        <f>HYPERLINK("https://klasma.github.io/Logging_0188/tillsynsmail/A 1054-2022 tillsynsbegäran mail.docx", "A 1054-2022")</f>
        <v/>
      </c>
    </row>
    <row r="25" ht="15" customHeight="1">
      <c r="A25" t="inlineStr">
        <is>
          <t>A 17785-2024</t>
        </is>
      </c>
      <c r="B25" s="1" t="n">
        <v>45418</v>
      </c>
      <c r="C25" s="1" t="n">
        <v>46192</v>
      </c>
      <c r="D25" t="inlineStr">
        <is>
          <t>STOCKHOLMS LÄN</t>
        </is>
      </c>
      <c r="E25" t="inlineStr">
        <is>
          <t>NORRTÄLJE</t>
        </is>
      </c>
      <c r="G25" t="n">
        <v>1</v>
      </c>
      <c r="H25" t="n">
        <v>10</v>
      </c>
      <c r="I25" t="n">
        <v>0</v>
      </c>
      <c r="J25" t="n">
        <v>3</v>
      </c>
      <c r="K25" t="n">
        <v>5</v>
      </c>
      <c r="L25" t="n">
        <v>1</v>
      </c>
      <c r="M25" t="n">
        <v>0</v>
      </c>
      <c r="N25" t="n">
        <v>0</v>
      </c>
      <c r="O25" t="n">
        <v>9</v>
      </c>
      <c r="P25" t="n">
        <v>6</v>
      </c>
      <c r="Q25" t="n">
        <v>10</v>
      </c>
      <c r="R25" s="2" t="inlineStr">
        <is>
          <t>Kornknarr
Blå kärrhök
Gräshoppsångare
Stare
Svart rödstjärt
Tornseglare
Flodsångare
Göktyta
Sädesärla
Svartvit flugsnappare</t>
        </is>
      </c>
      <c r="S25">
        <f>HYPERLINK("https://klasma.github.io/Logging_0188/artfynd/A 17785-2024 artfynd.xlsx", "A 17785-2024")</f>
        <v/>
      </c>
      <c r="T25">
        <f>HYPERLINK("https://klasma.github.io/Logging_0188/kartor/A 17785-2024 karta.png", "A 17785-2024")</f>
        <v/>
      </c>
      <c r="V25">
        <f>HYPERLINK("https://klasma.github.io/Logging_0188/klagomål/A 17785-2024 FSC-klagomål.docx", "A 17785-2024")</f>
        <v/>
      </c>
      <c r="W25">
        <f>HYPERLINK("https://klasma.github.io/Logging_0188/klagomålsmail/A 17785-2024 FSC-klagomål mail.docx", "A 17785-2024")</f>
        <v/>
      </c>
      <c r="X25">
        <f>HYPERLINK("https://klasma.github.io/Logging_0188/tillsyn/A 17785-2024 tillsynsbegäran.docx", "A 17785-2024")</f>
        <v/>
      </c>
      <c r="Y25">
        <f>HYPERLINK("https://klasma.github.io/Logging_0188/tillsynsmail/A 17785-2024 tillsynsbegäran mail.docx", "A 17785-2024")</f>
        <v/>
      </c>
      <c r="Z25">
        <f>HYPERLINK("https://klasma.github.io/Logging_0188/fåglar/A 17785-2024 prioriterade fågelarter.docx", "A 17785-2024")</f>
        <v/>
      </c>
    </row>
    <row r="26" ht="15" customHeight="1">
      <c r="A26" t="inlineStr">
        <is>
          <t>A 44847-2023</t>
        </is>
      </c>
      <c r="B26" s="1" t="n">
        <v>45190</v>
      </c>
      <c r="C26" s="1" t="n">
        <v>46192</v>
      </c>
      <c r="D26" t="inlineStr">
        <is>
          <t>STOCKHOLMS LÄN</t>
        </is>
      </c>
      <c r="E26" t="inlineStr">
        <is>
          <t>NORRTÄLJE</t>
        </is>
      </c>
      <c r="G26" t="n">
        <v>8.5</v>
      </c>
      <c r="H26" t="n">
        <v>10</v>
      </c>
      <c r="I26" t="n">
        <v>0</v>
      </c>
      <c r="J26" t="n">
        <v>2</v>
      </c>
      <c r="K26" t="n">
        <v>3</v>
      </c>
      <c r="L26" t="n">
        <v>2</v>
      </c>
      <c r="M26" t="n">
        <v>0</v>
      </c>
      <c r="N26" t="n">
        <v>0</v>
      </c>
      <c r="O26" t="n">
        <v>7</v>
      </c>
      <c r="P26" t="n">
        <v>5</v>
      </c>
      <c r="Q26" t="n">
        <v>10</v>
      </c>
      <c r="R26" s="2" t="inlineStr">
        <is>
          <t>Ejder
Havstrut
Gråtrut
Knärot
Stare
Skrattmås
Strandskata
Grönsiska
Havsörn
Kråka</t>
        </is>
      </c>
      <c r="S26">
        <f>HYPERLINK("https://klasma.github.io/Logging_0188/artfynd/A 44847-2023 artfynd.xlsx", "A 44847-2023")</f>
        <v/>
      </c>
      <c r="T26">
        <f>HYPERLINK("https://klasma.github.io/Logging_0188/kartor/A 44847-2023 karta.png", "A 44847-2023")</f>
        <v/>
      </c>
      <c r="U26">
        <f>HYPERLINK("https://klasma.github.io/Logging_0188/knärot/A 44847-2023 karta knärot.png", "A 44847-2023")</f>
        <v/>
      </c>
      <c r="V26">
        <f>HYPERLINK("https://klasma.github.io/Logging_0188/klagomål/A 44847-2023 FSC-klagomål.docx", "A 44847-2023")</f>
        <v/>
      </c>
      <c r="W26">
        <f>HYPERLINK("https://klasma.github.io/Logging_0188/klagomålsmail/A 44847-2023 FSC-klagomål mail.docx", "A 44847-2023")</f>
        <v/>
      </c>
      <c r="X26">
        <f>HYPERLINK("https://klasma.github.io/Logging_0188/tillsyn/A 44847-2023 tillsynsbegäran.docx", "A 44847-2023")</f>
        <v/>
      </c>
      <c r="Y26">
        <f>HYPERLINK("https://klasma.github.io/Logging_0188/tillsynsmail/A 44847-2023 tillsynsbegäran mail.docx", "A 44847-2023")</f>
        <v/>
      </c>
      <c r="Z26">
        <f>HYPERLINK("https://klasma.github.io/Logging_0188/fåglar/A 44847-2023 prioriterade fågelarter.docx", "A 44847-2023")</f>
        <v/>
      </c>
    </row>
    <row r="27" ht="15" customHeight="1">
      <c r="A27" t="inlineStr">
        <is>
          <t>A 15925-2026</t>
        </is>
      </c>
      <c r="B27" s="1" t="n">
        <v>46107</v>
      </c>
      <c r="C27" s="1" t="n">
        <v>46192</v>
      </c>
      <c r="D27" t="inlineStr">
        <is>
          <t>STOCKHOLMS LÄN</t>
        </is>
      </c>
      <c r="E27" t="inlineStr">
        <is>
          <t>NORRTÄLJE</t>
        </is>
      </c>
      <c r="G27" t="n">
        <v>2.9</v>
      </c>
      <c r="H27" t="n">
        <v>4</v>
      </c>
      <c r="I27" t="n">
        <v>3</v>
      </c>
      <c r="J27" t="n">
        <v>3</v>
      </c>
      <c r="K27" t="n">
        <v>1</v>
      </c>
      <c r="L27" t="n">
        <v>0</v>
      </c>
      <c r="M27" t="n">
        <v>0</v>
      </c>
      <c r="N27" t="n">
        <v>0</v>
      </c>
      <c r="O27" t="n">
        <v>4</v>
      </c>
      <c r="P27" t="n">
        <v>1</v>
      </c>
      <c r="Q27" t="n">
        <v>10</v>
      </c>
      <c r="R27" s="2" t="inlineStr">
        <is>
          <t>Knärot
Fjällig taggsvamp s.str.
Sårläka
Ullticka
Kamjordstjärna
Svart trolldruva
Svavelriska
Blåsippa
Spillkråka
Tofsmes</t>
        </is>
      </c>
      <c r="S27">
        <f>HYPERLINK("https://klasma.github.io/Logging_0188/artfynd/A 15925-2026 artfynd.xlsx", "A 15925-2026")</f>
        <v/>
      </c>
      <c r="T27">
        <f>HYPERLINK("https://klasma.github.io/Logging_0188/kartor/A 15925-2026 karta.png", "A 15925-2026")</f>
        <v/>
      </c>
      <c r="U27">
        <f>HYPERLINK("https://klasma.github.io/Logging_0188/knärot/A 15925-2026 karta knärot.png", "A 15925-2026")</f>
        <v/>
      </c>
      <c r="V27">
        <f>HYPERLINK("https://klasma.github.io/Logging_0188/klagomål/A 15925-2026 FSC-klagomål.docx", "A 15925-2026")</f>
        <v/>
      </c>
      <c r="W27">
        <f>HYPERLINK("https://klasma.github.io/Logging_0188/klagomålsmail/A 15925-2026 FSC-klagomål mail.docx", "A 15925-2026")</f>
        <v/>
      </c>
      <c r="X27">
        <f>HYPERLINK("https://klasma.github.io/Logging_0188/tillsyn/A 15925-2026 tillsynsbegäran.docx", "A 15925-2026")</f>
        <v/>
      </c>
      <c r="Y27">
        <f>HYPERLINK("https://klasma.github.io/Logging_0188/tillsynsmail/A 15925-2026 tillsynsbegäran mail.docx", "A 15925-2026")</f>
        <v/>
      </c>
      <c r="Z27">
        <f>HYPERLINK("https://klasma.github.io/Logging_0188/fåglar/A 15925-2026 prioriterade fågelarter.docx", "A 15925-2026")</f>
        <v/>
      </c>
    </row>
    <row r="28" ht="15" customHeight="1">
      <c r="A28" t="inlineStr">
        <is>
          <t>A 20722-2024</t>
        </is>
      </c>
      <c r="B28" s="1" t="n">
        <v>45436</v>
      </c>
      <c r="C28" s="1" t="n">
        <v>46192</v>
      </c>
      <c r="D28" t="inlineStr">
        <is>
          <t>STOCKHOLMS LÄN</t>
        </is>
      </c>
      <c r="E28" t="inlineStr">
        <is>
          <t>NORRTÄLJE</t>
        </is>
      </c>
      <c r="G28" t="n">
        <v>5.2</v>
      </c>
      <c r="H28" t="n">
        <v>4</v>
      </c>
      <c r="I28" t="n">
        <v>2</v>
      </c>
      <c r="J28" t="n">
        <v>2</v>
      </c>
      <c r="K28" t="n">
        <v>3</v>
      </c>
      <c r="L28" t="n">
        <v>0</v>
      </c>
      <c r="M28" t="n">
        <v>0</v>
      </c>
      <c r="N28" t="n">
        <v>0</v>
      </c>
      <c r="O28" t="n">
        <v>5</v>
      </c>
      <c r="P28" t="n">
        <v>3</v>
      </c>
      <c r="Q28" t="n">
        <v>10</v>
      </c>
      <c r="R28" s="2" t="inlineStr">
        <is>
          <t>Garnlav
Gränsticka
Knärot
Kattfotslav
Ullticka
Bronshjon
Vågbandad barkbock
Blåsippa
Spillkråka
Svartvit flugsnappare</t>
        </is>
      </c>
      <c r="S28">
        <f>HYPERLINK("https://klasma.github.io/Logging_0188/artfynd/A 20722-2024 artfynd.xlsx", "A 20722-2024")</f>
        <v/>
      </c>
      <c r="T28">
        <f>HYPERLINK("https://klasma.github.io/Logging_0188/kartor/A 20722-2024 karta.png", "A 20722-2024")</f>
        <v/>
      </c>
      <c r="U28">
        <f>HYPERLINK("https://klasma.github.io/Logging_0188/knärot/A 20722-2024 karta knärot.png", "A 20722-2024")</f>
        <v/>
      </c>
      <c r="V28">
        <f>HYPERLINK("https://klasma.github.io/Logging_0188/klagomål/A 20722-2024 FSC-klagomål.docx", "A 20722-2024")</f>
        <v/>
      </c>
      <c r="W28">
        <f>HYPERLINK("https://klasma.github.io/Logging_0188/klagomålsmail/A 20722-2024 FSC-klagomål mail.docx", "A 20722-2024")</f>
        <v/>
      </c>
      <c r="X28">
        <f>HYPERLINK("https://klasma.github.io/Logging_0188/tillsyn/A 20722-2024 tillsynsbegäran.docx", "A 20722-2024")</f>
        <v/>
      </c>
      <c r="Y28">
        <f>HYPERLINK("https://klasma.github.io/Logging_0188/tillsynsmail/A 20722-2024 tillsynsbegäran mail.docx", "A 20722-2024")</f>
        <v/>
      </c>
      <c r="Z28">
        <f>HYPERLINK("https://klasma.github.io/Logging_0188/fåglar/A 20722-2024 prioriterade fågelarter.docx", "A 20722-2024")</f>
        <v/>
      </c>
    </row>
    <row r="29" ht="15" customHeight="1">
      <c r="A29" t="inlineStr">
        <is>
          <t>A 52815-2021</t>
        </is>
      </c>
      <c r="B29" s="1" t="n">
        <v>44467</v>
      </c>
      <c r="C29" s="1" t="n">
        <v>46192</v>
      </c>
      <c r="D29" t="inlineStr">
        <is>
          <t>STOCKHOLMS LÄN</t>
        </is>
      </c>
      <c r="E29" t="inlineStr">
        <is>
          <t>NORRTÄLJE</t>
        </is>
      </c>
      <c r="G29" t="n">
        <v>2.8</v>
      </c>
      <c r="H29" t="n">
        <v>0</v>
      </c>
      <c r="I29" t="n">
        <v>1</v>
      </c>
      <c r="J29" t="n">
        <v>3</v>
      </c>
      <c r="K29" t="n">
        <v>2</v>
      </c>
      <c r="L29" t="n">
        <v>3</v>
      </c>
      <c r="M29" t="n">
        <v>0</v>
      </c>
      <c r="N29" t="n">
        <v>0</v>
      </c>
      <c r="O29" t="n">
        <v>8</v>
      </c>
      <c r="P29" t="n">
        <v>5</v>
      </c>
      <c r="Q29" t="n">
        <v>9</v>
      </c>
      <c r="R29" s="2" t="inlineStr">
        <is>
          <t>Koppartaggsvamp
Raggtaggsvamp
Spricktaggsvamp
Gul lammticka
Svartfjällig musseron
Bittermusseron
Fjällig taggsvamp s.str.
Flattoppad klubbsvamp
Diskvaxskivling</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52526-2025</t>
        </is>
      </c>
      <c r="B30" s="1" t="n">
        <v>45954</v>
      </c>
      <c r="C30" s="1" t="n">
        <v>46192</v>
      </c>
      <c r="D30" t="inlineStr">
        <is>
          <t>STOCKHOLMS LÄN</t>
        </is>
      </c>
      <c r="E30" t="inlineStr">
        <is>
          <t>NORRTÄLJE</t>
        </is>
      </c>
      <c r="F30" t="inlineStr">
        <is>
          <t>Sveaskog</t>
        </is>
      </c>
      <c r="G30" t="n">
        <v>2.9</v>
      </c>
      <c r="H30" t="n">
        <v>9</v>
      </c>
      <c r="I30" t="n">
        <v>0</v>
      </c>
      <c r="J30" t="n">
        <v>4</v>
      </c>
      <c r="K30" t="n">
        <v>0</v>
      </c>
      <c r="L30" t="n">
        <v>0</v>
      </c>
      <c r="M30" t="n">
        <v>0</v>
      </c>
      <c r="N30" t="n">
        <v>0</v>
      </c>
      <c r="O30" t="n">
        <v>4</v>
      </c>
      <c r="P30" t="n">
        <v>0</v>
      </c>
      <c r="Q30" t="n">
        <v>9</v>
      </c>
      <c r="R30" s="2" t="inlineStr">
        <is>
          <t>Järnsparv
Kricka
Rödvingetrast
Talltita
Gröngöling
Grönsiska
Kungsfågel
Orre
Slaguggla</t>
        </is>
      </c>
      <c r="S30">
        <f>HYPERLINK("https://klasma.github.io/Logging_0188/artfynd/A 52526-2025 artfynd.xlsx", "A 52526-2025")</f>
        <v/>
      </c>
      <c r="T30">
        <f>HYPERLINK("https://klasma.github.io/Logging_0188/kartor/A 52526-2025 karta.png", "A 52526-2025")</f>
        <v/>
      </c>
      <c r="V30">
        <f>HYPERLINK("https://klasma.github.io/Logging_0188/klagomål/A 52526-2025 FSC-klagomål.docx", "A 52526-2025")</f>
        <v/>
      </c>
      <c r="W30">
        <f>HYPERLINK("https://klasma.github.io/Logging_0188/klagomålsmail/A 52526-2025 FSC-klagomål mail.docx", "A 52526-2025")</f>
        <v/>
      </c>
      <c r="X30">
        <f>HYPERLINK("https://klasma.github.io/Logging_0188/tillsyn/A 52526-2025 tillsynsbegäran.docx", "A 52526-2025")</f>
        <v/>
      </c>
      <c r="Y30">
        <f>HYPERLINK("https://klasma.github.io/Logging_0188/tillsynsmail/A 52526-2025 tillsynsbegäran mail.docx", "A 52526-2025")</f>
        <v/>
      </c>
      <c r="Z30">
        <f>HYPERLINK("https://klasma.github.io/Logging_0188/fåglar/A 52526-2025 prioriterade fågelarter.docx", "A 52526-2025")</f>
        <v/>
      </c>
    </row>
    <row r="31" ht="15" customHeight="1">
      <c r="A31" t="inlineStr">
        <is>
          <t>A 26081-2026</t>
        </is>
      </c>
      <c r="B31" s="1" t="n">
        <v>46181</v>
      </c>
      <c r="C31" s="1" t="n">
        <v>46192</v>
      </c>
      <c r="D31" t="inlineStr">
        <is>
          <t>STOCKHOLMS LÄN</t>
        </is>
      </c>
      <c r="E31" t="inlineStr">
        <is>
          <t>NORRTÄLJE</t>
        </is>
      </c>
      <c r="G31" t="n">
        <v>13.9</v>
      </c>
      <c r="H31" t="n">
        <v>1</v>
      </c>
      <c r="I31" t="n">
        <v>3</v>
      </c>
      <c r="J31" t="n">
        <v>4</v>
      </c>
      <c r="K31" t="n">
        <v>0</v>
      </c>
      <c r="L31" t="n">
        <v>1</v>
      </c>
      <c r="M31" t="n">
        <v>0</v>
      </c>
      <c r="N31" t="n">
        <v>0</v>
      </c>
      <c r="O31" t="n">
        <v>5</v>
      </c>
      <c r="P31" t="n">
        <v>1</v>
      </c>
      <c r="Q31" t="n">
        <v>9</v>
      </c>
      <c r="R31" s="2" t="inlineStr">
        <is>
          <t>Koppartaggsvamp
Dofttaggsvamp
Fjällig taggsvamp s.str.
Orange taggsvamp
Ullticka
Grönpyrola
Kamjordstjärna
Svavelriska
Blåsippa</t>
        </is>
      </c>
      <c r="S31">
        <f>HYPERLINK("https://klasma.github.io/Logging_0188/artfynd/A 26081-2026 artfynd.xlsx", "A 26081-2026")</f>
        <v/>
      </c>
      <c r="T31">
        <f>HYPERLINK("https://klasma.github.io/Logging_0188/kartor/A 26081-2026 karta.png", "A 26081-2026")</f>
        <v/>
      </c>
      <c r="V31">
        <f>HYPERLINK("https://klasma.github.io/Logging_0188/klagomål/A 26081-2026 FSC-klagomål.docx", "A 26081-2026")</f>
        <v/>
      </c>
      <c r="W31">
        <f>HYPERLINK("https://klasma.github.io/Logging_0188/klagomålsmail/A 26081-2026 FSC-klagomål mail.docx", "A 26081-2026")</f>
        <v/>
      </c>
      <c r="X31">
        <f>HYPERLINK("https://klasma.github.io/Logging_0188/tillsyn/A 26081-2026 tillsynsbegäran.docx", "A 26081-2026")</f>
        <v/>
      </c>
      <c r="Y31">
        <f>HYPERLINK("https://klasma.github.io/Logging_0188/tillsynsmail/A 26081-2026 tillsynsbegäran mail.docx", "A 26081-2026")</f>
        <v/>
      </c>
    </row>
    <row r="32" ht="15" customHeight="1">
      <c r="A32" t="inlineStr">
        <is>
          <t>A 47274-2024</t>
        </is>
      </c>
      <c r="B32" s="1" t="n">
        <v>45586</v>
      </c>
      <c r="C32" s="1" t="n">
        <v>46192</v>
      </c>
      <c r="D32" t="inlineStr">
        <is>
          <t>STOCKHOLMS LÄN</t>
        </is>
      </c>
      <c r="E32" t="inlineStr">
        <is>
          <t>NORRTÄLJE</t>
        </is>
      </c>
      <c r="G32" t="n">
        <v>20.1</v>
      </c>
      <c r="H32" t="n">
        <v>2</v>
      </c>
      <c r="I32" t="n">
        <v>2</v>
      </c>
      <c r="J32" t="n">
        <v>5</v>
      </c>
      <c r="K32" t="n">
        <v>1</v>
      </c>
      <c r="L32" t="n">
        <v>0</v>
      </c>
      <c r="M32" t="n">
        <v>0</v>
      </c>
      <c r="N32" t="n">
        <v>0</v>
      </c>
      <c r="O32" t="n">
        <v>6</v>
      </c>
      <c r="P32" t="n">
        <v>1</v>
      </c>
      <c r="Q32" t="n">
        <v>9</v>
      </c>
      <c r="R32" s="2" t="inlineStr">
        <is>
          <t>Knärot
Dropptaggsvamp
Grönhjon
Motaggsvamp
Ullticka
Vedskivlav
Grönpyrola
Svavelriska
Blåsippa</t>
        </is>
      </c>
      <c r="S32">
        <f>HYPERLINK("https://klasma.github.io/Logging_0188/artfynd/A 47274-2024 artfynd.xlsx", "A 47274-2024")</f>
        <v/>
      </c>
      <c r="T32">
        <f>HYPERLINK("https://klasma.github.io/Logging_0188/kartor/A 47274-2024 karta.png", "A 47274-2024")</f>
        <v/>
      </c>
      <c r="U32">
        <f>HYPERLINK("https://klasma.github.io/Logging_0188/knärot/A 47274-2024 karta knärot.png", "A 47274-2024")</f>
        <v/>
      </c>
      <c r="V32">
        <f>HYPERLINK("https://klasma.github.io/Logging_0188/klagomål/A 47274-2024 FSC-klagomål.docx", "A 47274-2024")</f>
        <v/>
      </c>
      <c r="W32">
        <f>HYPERLINK("https://klasma.github.io/Logging_0188/klagomålsmail/A 47274-2024 FSC-klagomål mail.docx", "A 47274-2024")</f>
        <v/>
      </c>
      <c r="X32">
        <f>HYPERLINK("https://klasma.github.io/Logging_0188/tillsyn/A 47274-2024 tillsynsbegäran.docx", "A 47274-2024")</f>
        <v/>
      </c>
      <c r="Y32">
        <f>HYPERLINK("https://klasma.github.io/Logging_0188/tillsynsmail/A 47274-2024 tillsynsbegäran mail.docx", "A 47274-2024")</f>
        <v/>
      </c>
    </row>
    <row r="33" ht="15" customHeight="1">
      <c r="A33" t="inlineStr">
        <is>
          <t>A 61099-2025</t>
        </is>
      </c>
      <c r="B33" s="1" t="n">
        <v>46000</v>
      </c>
      <c r="C33" s="1" t="n">
        <v>46192</v>
      </c>
      <c r="D33" t="inlineStr">
        <is>
          <t>STOCKHOLMS LÄN</t>
        </is>
      </c>
      <c r="E33" t="inlineStr">
        <is>
          <t>NORRTÄLJE</t>
        </is>
      </c>
      <c r="G33" t="n">
        <v>9.5</v>
      </c>
      <c r="H33" t="n">
        <v>5</v>
      </c>
      <c r="I33" t="n">
        <v>2</v>
      </c>
      <c r="J33" t="n">
        <v>2</v>
      </c>
      <c r="K33" t="n">
        <v>1</v>
      </c>
      <c r="L33" t="n">
        <v>0</v>
      </c>
      <c r="M33" t="n">
        <v>0</v>
      </c>
      <c r="N33" t="n">
        <v>0</v>
      </c>
      <c r="O33" t="n">
        <v>3</v>
      </c>
      <c r="P33" t="n">
        <v>1</v>
      </c>
      <c r="Q33" t="n">
        <v>9</v>
      </c>
      <c r="R33" s="2" t="inlineStr">
        <is>
          <t>Knärot
Tallkötticka
Vedtrappmossa
Skogshakmossa
Stubbspretmossa
Blåsippa
Spillkråka
Kungsfågel
Nattviol</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45811-2022</t>
        </is>
      </c>
      <c r="B34" s="1" t="n">
        <v>44846</v>
      </c>
      <c r="C34" s="1" t="n">
        <v>46192</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46192</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46192</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46192</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21922-2023</t>
        </is>
      </c>
      <c r="B38" s="1" t="n">
        <v>45068</v>
      </c>
      <c r="C38" s="1" t="n">
        <v>46192</v>
      </c>
      <c r="D38" t="inlineStr">
        <is>
          <t>STOCKHOLMS LÄN</t>
        </is>
      </c>
      <c r="E38" t="inlineStr">
        <is>
          <t>NORRTÄLJE</t>
        </is>
      </c>
      <c r="G38" t="n">
        <v>4.9</v>
      </c>
      <c r="H38" t="n">
        <v>3</v>
      </c>
      <c r="I38" t="n">
        <v>2</v>
      </c>
      <c r="J38" t="n">
        <v>3</v>
      </c>
      <c r="K38" t="n">
        <v>0</v>
      </c>
      <c r="L38" t="n">
        <v>0</v>
      </c>
      <c r="M38" t="n">
        <v>0</v>
      </c>
      <c r="N38" t="n">
        <v>0</v>
      </c>
      <c r="O38" t="n">
        <v>3</v>
      </c>
      <c r="P38" t="n">
        <v>0</v>
      </c>
      <c r="Q38" t="n">
        <v>7</v>
      </c>
      <c r="R38" s="2" t="inlineStr">
        <is>
          <t>Adam och eva
Jungfrulin
Solvända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13933-2022</t>
        </is>
      </c>
      <c r="B39" s="1" t="n">
        <v>44650</v>
      </c>
      <c r="C39" s="1" t="n">
        <v>46192</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62715-2025</t>
        </is>
      </c>
      <c r="B40" s="1" t="n">
        <v>46008</v>
      </c>
      <c r="C40" s="1" t="n">
        <v>46192</v>
      </c>
      <c r="D40" t="inlineStr">
        <is>
          <t>STOCKHOLMS LÄN</t>
        </is>
      </c>
      <c r="E40" t="inlineStr">
        <is>
          <t>NORRTÄLJE</t>
        </is>
      </c>
      <c r="G40" t="n">
        <v>0.8</v>
      </c>
      <c r="H40" t="n">
        <v>1</v>
      </c>
      <c r="I40" t="n">
        <v>4</v>
      </c>
      <c r="J40" t="n">
        <v>2</v>
      </c>
      <c r="K40" t="n">
        <v>0</v>
      </c>
      <c r="L40" t="n">
        <v>0</v>
      </c>
      <c r="M40" t="n">
        <v>0</v>
      </c>
      <c r="N40" t="n">
        <v>0</v>
      </c>
      <c r="O40" t="n">
        <v>2</v>
      </c>
      <c r="P40" t="n">
        <v>0</v>
      </c>
      <c r="Q40" t="n">
        <v>7</v>
      </c>
      <c r="R40" s="2" t="inlineStr">
        <is>
          <t>Gullpudra
Sårläka
Bronshjon
Granbarkgnagare
Jättesvampmal
Svavelriska
Blåsippa</t>
        </is>
      </c>
      <c r="S40">
        <f>HYPERLINK("https://klasma.github.io/Logging_0188/artfynd/A 62715-2025 artfynd.xlsx", "A 62715-2025")</f>
        <v/>
      </c>
      <c r="T40">
        <f>HYPERLINK("https://klasma.github.io/Logging_0188/kartor/A 62715-2025 karta.png", "A 62715-2025")</f>
        <v/>
      </c>
      <c r="V40">
        <f>HYPERLINK("https://klasma.github.io/Logging_0188/klagomål/A 62715-2025 FSC-klagomål.docx", "A 62715-2025")</f>
        <v/>
      </c>
      <c r="W40">
        <f>HYPERLINK("https://klasma.github.io/Logging_0188/klagomålsmail/A 62715-2025 FSC-klagomål mail.docx", "A 62715-2025")</f>
        <v/>
      </c>
      <c r="X40">
        <f>HYPERLINK("https://klasma.github.io/Logging_0188/tillsyn/A 62715-2025 tillsynsbegäran.docx", "A 62715-2025")</f>
        <v/>
      </c>
      <c r="Y40">
        <f>HYPERLINK("https://klasma.github.io/Logging_0188/tillsynsmail/A 62715-2025 tillsynsbegäran mail.docx", "A 62715-2025")</f>
        <v/>
      </c>
    </row>
    <row r="41" ht="15" customHeight="1">
      <c r="A41" t="inlineStr">
        <is>
          <t>A 3444-2023</t>
        </is>
      </c>
      <c r="B41" s="1" t="n">
        <v>44949</v>
      </c>
      <c r="C41" s="1" t="n">
        <v>46192</v>
      </c>
      <c r="D41" t="inlineStr">
        <is>
          <t>STOCKHOLMS LÄN</t>
        </is>
      </c>
      <c r="E41" t="inlineStr">
        <is>
          <t>NORRTÄLJE</t>
        </is>
      </c>
      <c r="G41" t="n">
        <v>5.1</v>
      </c>
      <c r="H41" t="n">
        <v>6</v>
      </c>
      <c r="I41" t="n">
        <v>0</v>
      </c>
      <c r="J41" t="n">
        <v>2</v>
      </c>
      <c r="K41" t="n">
        <v>0</v>
      </c>
      <c r="L41" t="n">
        <v>0</v>
      </c>
      <c r="M41" t="n">
        <v>0</v>
      </c>
      <c r="N41" t="n">
        <v>0</v>
      </c>
      <c r="O41" t="n">
        <v>2</v>
      </c>
      <c r="P41" t="n">
        <v>0</v>
      </c>
      <c r="Q41" t="n">
        <v>7</v>
      </c>
      <c r="R41" s="2" t="inlineStr">
        <is>
          <t>Jungfrulin
Nordfladdermus
Dvärgpipistrell
Gråskimlig fladdermus
Större brunfladdermus
Trollpipistrell
Gullviva</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22190-2024</t>
        </is>
      </c>
      <c r="B42" s="1" t="n">
        <v>45446</v>
      </c>
      <c r="C42" s="1" t="n">
        <v>46192</v>
      </c>
      <c r="D42" t="inlineStr">
        <is>
          <t>STOCKHOLMS LÄN</t>
        </is>
      </c>
      <c r="E42" t="inlineStr">
        <is>
          <t>NORRTÄLJE</t>
        </is>
      </c>
      <c r="G42" t="n">
        <v>2.8</v>
      </c>
      <c r="H42" t="n">
        <v>7</v>
      </c>
      <c r="I42" t="n">
        <v>1</v>
      </c>
      <c r="J42" t="n">
        <v>1</v>
      </c>
      <c r="K42" t="n">
        <v>1</v>
      </c>
      <c r="L42" t="n">
        <v>0</v>
      </c>
      <c r="M42" t="n">
        <v>0</v>
      </c>
      <c r="N42" t="n">
        <v>0</v>
      </c>
      <c r="O42" t="n">
        <v>2</v>
      </c>
      <c r="P42" t="n">
        <v>1</v>
      </c>
      <c r="Q42" t="n">
        <v>7</v>
      </c>
      <c r="R42" s="2" t="inlineStr">
        <is>
          <t>Grönfink
Björktrast
Skogsknipprot
Röd glada
Svartvit flugsnappare
Åkergroda
Vanlig groda</t>
        </is>
      </c>
      <c r="S42">
        <f>HYPERLINK("https://klasma.github.io/Logging_0188/artfynd/A 22190-2024 artfynd.xlsx", "A 22190-2024")</f>
        <v/>
      </c>
      <c r="T42">
        <f>HYPERLINK("https://klasma.github.io/Logging_0188/kartor/A 22190-2024 karta.png", "A 22190-2024")</f>
        <v/>
      </c>
      <c r="V42">
        <f>HYPERLINK("https://klasma.github.io/Logging_0188/klagomål/A 22190-2024 FSC-klagomål.docx", "A 22190-2024")</f>
        <v/>
      </c>
      <c r="W42">
        <f>HYPERLINK("https://klasma.github.io/Logging_0188/klagomålsmail/A 22190-2024 FSC-klagomål mail.docx", "A 22190-2024")</f>
        <v/>
      </c>
      <c r="X42">
        <f>HYPERLINK("https://klasma.github.io/Logging_0188/tillsyn/A 22190-2024 tillsynsbegäran.docx", "A 22190-2024")</f>
        <v/>
      </c>
      <c r="Y42">
        <f>HYPERLINK("https://klasma.github.io/Logging_0188/tillsynsmail/A 22190-2024 tillsynsbegäran mail.docx", "A 22190-2024")</f>
        <v/>
      </c>
      <c r="Z42">
        <f>HYPERLINK("https://klasma.github.io/Logging_0188/fåglar/A 22190-2024 prioriterade fågelarter.docx", "A 22190-2024")</f>
        <v/>
      </c>
    </row>
    <row r="43" ht="15" customHeight="1">
      <c r="A43" t="inlineStr">
        <is>
          <t>A 72111-2021</t>
        </is>
      </c>
      <c r="B43" s="1" t="n">
        <v>44544</v>
      </c>
      <c r="C43" s="1" t="n">
        <v>46192</v>
      </c>
      <c r="D43" t="inlineStr">
        <is>
          <t>STOCKHOLMS LÄN</t>
        </is>
      </c>
      <c r="E43" t="inlineStr">
        <is>
          <t>NORRTÄLJE</t>
        </is>
      </c>
      <c r="G43" t="n">
        <v>5.1</v>
      </c>
      <c r="H43" t="n">
        <v>1</v>
      </c>
      <c r="I43" t="n">
        <v>1</v>
      </c>
      <c r="J43" t="n">
        <v>4</v>
      </c>
      <c r="K43" t="n">
        <v>1</v>
      </c>
      <c r="L43" t="n">
        <v>0</v>
      </c>
      <c r="M43" t="n">
        <v>0</v>
      </c>
      <c r="N43" t="n">
        <v>0</v>
      </c>
      <c r="O43" t="n">
        <v>5</v>
      </c>
      <c r="P43" t="n">
        <v>1</v>
      </c>
      <c r="Q43" t="n">
        <v>7</v>
      </c>
      <c r="R43" s="2" t="inlineStr">
        <is>
          <t>Grangråticka
Lunglav
Oxtungssvamp
Sårläka
Vårärt
Scharlakansvårskål agg.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15278-2024</t>
        </is>
      </c>
      <c r="B44" s="1" t="n">
        <v>45400</v>
      </c>
      <c r="C44" s="1" t="n">
        <v>46192</v>
      </c>
      <c r="D44" t="inlineStr">
        <is>
          <t>STOCKHOLMS LÄN</t>
        </is>
      </c>
      <c r="E44" t="inlineStr">
        <is>
          <t>NORRTÄLJE</t>
        </is>
      </c>
      <c r="G44" t="n">
        <v>7.4</v>
      </c>
      <c r="H44" t="n">
        <v>2</v>
      </c>
      <c r="I44" t="n">
        <v>2</v>
      </c>
      <c r="J44" t="n">
        <v>3</v>
      </c>
      <c r="K44" t="n">
        <v>1</v>
      </c>
      <c r="L44" t="n">
        <v>0</v>
      </c>
      <c r="M44" t="n">
        <v>0</v>
      </c>
      <c r="N44" t="n">
        <v>0</v>
      </c>
      <c r="O44" t="n">
        <v>4</v>
      </c>
      <c r="P44" t="n">
        <v>1</v>
      </c>
      <c r="Q44" t="n">
        <v>7</v>
      </c>
      <c r="R44" s="2" t="inlineStr">
        <is>
          <t>Knärot
Fjällig taggsvamp s.str.
Kattfotslav
Ullticka
Grönpyrola
Vedticka
Blåsippa</t>
        </is>
      </c>
      <c r="S44">
        <f>HYPERLINK("https://klasma.github.io/Logging_0188/artfynd/A 15278-2024 artfynd.xlsx", "A 15278-2024")</f>
        <v/>
      </c>
      <c r="T44">
        <f>HYPERLINK("https://klasma.github.io/Logging_0188/kartor/A 15278-2024 karta.png", "A 15278-2024")</f>
        <v/>
      </c>
      <c r="U44">
        <f>HYPERLINK("https://klasma.github.io/Logging_0188/knärot/A 15278-2024 karta knärot.png", "A 15278-2024")</f>
        <v/>
      </c>
      <c r="V44">
        <f>HYPERLINK("https://klasma.github.io/Logging_0188/klagomål/A 15278-2024 FSC-klagomål.docx", "A 15278-2024")</f>
        <v/>
      </c>
      <c r="W44">
        <f>HYPERLINK("https://klasma.github.io/Logging_0188/klagomålsmail/A 15278-2024 FSC-klagomål mail.docx", "A 15278-2024")</f>
        <v/>
      </c>
      <c r="X44">
        <f>HYPERLINK("https://klasma.github.io/Logging_0188/tillsyn/A 15278-2024 tillsynsbegäran.docx", "A 15278-2024")</f>
        <v/>
      </c>
      <c r="Y44">
        <f>HYPERLINK("https://klasma.github.io/Logging_0188/tillsynsmail/A 15278-2024 tillsynsbegäran mail.docx", "A 15278-2024")</f>
        <v/>
      </c>
    </row>
    <row r="45" ht="15" customHeight="1">
      <c r="A45" t="inlineStr">
        <is>
          <t>A 15913-2026</t>
        </is>
      </c>
      <c r="B45" s="1" t="n">
        <v>46107</v>
      </c>
      <c r="C45" s="1" t="n">
        <v>46192</v>
      </c>
      <c r="D45" t="inlineStr">
        <is>
          <t>STOCKHOLMS LÄN</t>
        </is>
      </c>
      <c r="E45" t="inlineStr">
        <is>
          <t>NORRTÄLJE</t>
        </is>
      </c>
      <c r="G45" t="n">
        <v>4.2</v>
      </c>
      <c r="H45" t="n">
        <v>5</v>
      </c>
      <c r="I45" t="n">
        <v>1</v>
      </c>
      <c r="J45" t="n">
        <v>3</v>
      </c>
      <c r="K45" t="n">
        <v>1</v>
      </c>
      <c r="L45" t="n">
        <v>0</v>
      </c>
      <c r="M45" t="n">
        <v>0</v>
      </c>
      <c r="N45" t="n">
        <v>0</v>
      </c>
      <c r="O45" t="n">
        <v>4</v>
      </c>
      <c r="P45" t="n">
        <v>1</v>
      </c>
      <c r="Q45" t="n">
        <v>7</v>
      </c>
      <c r="R45" s="2" t="inlineStr">
        <is>
          <t>Knärot
Fjällig taggsvamp s.str.
Talltita
Vårärt
Nästrot
Blåsippa
Nattviol</t>
        </is>
      </c>
      <c r="S45">
        <f>HYPERLINK("https://klasma.github.io/Logging_0188/artfynd/A 15913-2026 artfynd.xlsx", "A 15913-2026")</f>
        <v/>
      </c>
      <c r="T45">
        <f>HYPERLINK("https://klasma.github.io/Logging_0188/kartor/A 15913-2026 karta.png", "A 15913-2026")</f>
        <v/>
      </c>
      <c r="U45">
        <f>HYPERLINK("https://klasma.github.io/Logging_0188/knärot/A 15913-2026 karta knärot.png", "A 15913-2026")</f>
        <v/>
      </c>
      <c r="V45">
        <f>HYPERLINK("https://klasma.github.io/Logging_0188/klagomål/A 15913-2026 FSC-klagomål.docx", "A 15913-2026")</f>
        <v/>
      </c>
      <c r="W45">
        <f>HYPERLINK("https://klasma.github.io/Logging_0188/klagomålsmail/A 15913-2026 FSC-klagomål mail.docx", "A 15913-2026")</f>
        <v/>
      </c>
      <c r="X45">
        <f>HYPERLINK("https://klasma.github.io/Logging_0188/tillsyn/A 15913-2026 tillsynsbegäran.docx", "A 15913-2026")</f>
        <v/>
      </c>
      <c r="Y45">
        <f>HYPERLINK("https://klasma.github.io/Logging_0188/tillsynsmail/A 15913-2026 tillsynsbegäran mail.docx", "A 15913-2026")</f>
        <v/>
      </c>
      <c r="Z45">
        <f>HYPERLINK("https://klasma.github.io/Logging_0188/fåglar/A 15913-2026 prioriterade fågelarter.docx", "A 15913-2026")</f>
        <v/>
      </c>
    </row>
    <row r="46" ht="15" customHeight="1">
      <c r="A46" t="inlineStr">
        <is>
          <t>A 34524-2025</t>
        </is>
      </c>
      <c r="B46" s="1" t="n">
        <v>45847</v>
      </c>
      <c r="C46" s="1" t="n">
        <v>46192</v>
      </c>
      <c r="D46" t="inlineStr">
        <is>
          <t>STOCKHOLMS LÄN</t>
        </is>
      </c>
      <c r="E46" t="inlineStr">
        <is>
          <t>NORRTÄLJE</t>
        </is>
      </c>
      <c r="G46" t="n">
        <v>3.3</v>
      </c>
      <c r="H46" t="n">
        <v>0</v>
      </c>
      <c r="I46" t="n">
        <v>4</v>
      </c>
      <c r="J46" t="n">
        <v>3</v>
      </c>
      <c r="K46" t="n">
        <v>0</v>
      </c>
      <c r="L46" t="n">
        <v>0</v>
      </c>
      <c r="M46" t="n">
        <v>0</v>
      </c>
      <c r="N46" t="n">
        <v>0</v>
      </c>
      <c r="O46" t="n">
        <v>3</v>
      </c>
      <c r="P46" t="n">
        <v>0</v>
      </c>
      <c r="Q46" t="n">
        <v>7</v>
      </c>
      <c r="R46" s="2" t="inlineStr">
        <is>
          <t>Kattfotslav
Tallticka
Vedtrappmossa
Bronshjon
Kornknutmossa
Stubbspretmossa
Vanlig rörsvepemossa</t>
        </is>
      </c>
      <c r="S46">
        <f>HYPERLINK("https://klasma.github.io/Logging_0188/artfynd/A 34524-2025 artfynd.xlsx", "A 34524-2025")</f>
        <v/>
      </c>
      <c r="T46">
        <f>HYPERLINK("https://klasma.github.io/Logging_0188/kartor/A 34524-2025 karta.png", "A 34524-2025")</f>
        <v/>
      </c>
      <c r="V46">
        <f>HYPERLINK("https://klasma.github.io/Logging_0188/klagomål/A 34524-2025 FSC-klagomål.docx", "A 34524-2025")</f>
        <v/>
      </c>
      <c r="W46">
        <f>HYPERLINK("https://klasma.github.io/Logging_0188/klagomålsmail/A 34524-2025 FSC-klagomål mail.docx", "A 34524-2025")</f>
        <v/>
      </c>
      <c r="X46">
        <f>HYPERLINK("https://klasma.github.io/Logging_0188/tillsyn/A 34524-2025 tillsynsbegäran.docx", "A 34524-2025")</f>
        <v/>
      </c>
      <c r="Y46">
        <f>HYPERLINK("https://klasma.github.io/Logging_0188/tillsynsmail/A 34524-2025 tillsynsbegäran mail.docx", "A 34524-2025")</f>
        <v/>
      </c>
    </row>
    <row r="47" ht="15" customHeight="1">
      <c r="A47" t="inlineStr">
        <is>
          <t>A 48370-2025</t>
        </is>
      </c>
      <c r="B47" s="1" t="n">
        <v>45933</v>
      </c>
      <c r="C47" s="1" t="n">
        <v>46192</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34528-2025</t>
        </is>
      </c>
      <c r="B48" s="1" t="n">
        <v>45847</v>
      </c>
      <c r="C48" s="1" t="n">
        <v>46192</v>
      </c>
      <c r="D48" t="inlineStr">
        <is>
          <t>STOCKHOLMS LÄN</t>
        </is>
      </c>
      <c r="E48" t="inlineStr">
        <is>
          <t>NORRTÄLJE</t>
        </is>
      </c>
      <c r="G48" t="n">
        <v>1</v>
      </c>
      <c r="H48" t="n">
        <v>1</v>
      </c>
      <c r="I48" t="n">
        <v>1</v>
      </c>
      <c r="J48" t="n">
        <v>3</v>
      </c>
      <c r="K48" t="n">
        <v>0</v>
      </c>
      <c r="L48" t="n">
        <v>1</v>
      </c>
      <c r="M48" t="n">
        <v>0</v>
      </c>
      <c r="N48" t="n">
        <v>0</v>
      </c>
      <c r="O48" t="n">
        <v>4</v>
      </c>
      <c r="P48" t="n">
        <v>1</v>
      </c>
      <c r="Q48" t="n">
        <v>6</v>
      </c>
      <c r="R48" s="2" t="inlineStr">
        <is>
          <t>Gyllenfingersvamp
Fjällig taggsvamp s.str.
Gammelgransskål
Motaggsvamp
Svavelriska
Spillkråka</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c r="Z48">
        <f>HYPERLINK("https://klasma.github.io/Logging_0188/fåglar/A 34528-2025 prioriterade fågelarter.docx", "A 34528-2025")</f>
        <v/>
      </c>
    </row>
    <row r="49" ht="15" customHeight="1">
      <c r="A49" t="inlineStr">
        <is>
          <t>A 53608-2025</t>
        </is>
      </c>
      <c r="B49" s="1" t="n">
        <v>45960</v>
      </c>
      <c r="C49" s="1" t="n">
        <v>46192</v>
      </c>
      <c r="D49" t="inlineStr">
        <is>
          <t>STOCKHOLMS LÄN</t>
        </is>
      </c>
      <c r="E49" t="inlineStr">
        <is>
          <t>NORRTÄLJE</t>
        </is>
      </c>
      <c r="F49" t="inlineStr">
        <is>
          <t>Holmen skog AB</t>
        </is>
      </c>
      <c r="G49" t="n">
        <v>3.2</v>
      </c>
      <c r="H49" t="n">
        <v>3</v>
      </c>
      <c r="I49" t="n">
        <v>2</v>
      </c>
      <c r="J49" t="n">
        <v>1</v>
      </c>
      <c r="K49" t="n">
        <v>0</v>
      </c>
      <c r="L49" t="n">
        <v>1</v>
      </c>
      <c r="M49" t="n">
        <v>0</v>
      </c>
      <c r="N49" t="n">
        <v>0</v>
      </c>
      <c r="O49" t="n">
        <v>2</v>
      </c>
      <c r="P49" t="n">
        <v>1</v>
      </c>
      <c r="Q49" t="n">
        <v>6</v>
      </c>
      <c r="R49" s="2" t="inlineStr">
        <is>
          <t>Asknätfjäril
Hålskenknäppare
Björksplintborre
Robust tickgnagare
Spillkråka
Orre</t>
        </is>
      </c>
      <c r="S49">
        <f>HYPERLINK("https://klasma.github.io/Logging_0188/artfynd/A 53608-2025 artfynd.xlsx", "A 53608-2025")</f>
        <v/>
      </c>
      <c r="T49">
        <f>HYPERLINK("https://klasma.github.io/Logging_0188/kartor/A 53608-2025 karta.png", "A 53608-2025")</f>
        <v/>
      </c>
      <c r="V49">
        <f>HYPERLINK("https://klasma.github.io/Logging_0188/klagomål/A 53608-2025 FSC-klagomål.docx", "A 53608-2025")</f>
        <v/>
      </c>
      <c r="W49">
        <f>HYPERLINK("https://klasma.github.io/Logging_0188/klagomålsmail/A 53608-2025 FSC-klagomål mail.docx", "A 53608-2025")</f>
        <v/>
      </c>
      <c r="X49">
        <f>HYPERLINK("https://klasma.github.io/Logging_0188/tillsyn/A 53608-2025 tillsynsbegäran.docx", "A 53608-2025")</f>
        <v/>
      </c>
      <c r="Y49">
        <f>HYPERLINK("https://klasma.github.io/Logging_0188/tillsynsmail/A 53608-2025 tillsynsbegäran mail.docx", "A 53608-2025")</f>
        <v/>
      </c>
      <c r="Z49">
        <f>HYPERLINK("https://klasma.github.io/Logging_0188/fåglar/A 53608-2025 prioriterade fågelarter.docx", "A 53608-2025")</f>
        <v/>
      </c>
    </row>
    <row r="50" ht="15" customHeight="1">
      <c r="A50" t="inlineStr">
        <is>
          <t>A 58676-2021</t>
        </is>
      </c>
      <c r="B50" s="1" t="n">
        <v>44489</v>
      </c>
      <c r="C50" s="1" t="n">
        <v>46192</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46192</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29972-2024</t>
        </is>
      </c>
      <c r="B52" s="1" t="n">
        <v>45485</v>
      </c>
      <c r="C52" s="1" t="n">
        <v>46192</v>
      </c>
      <c r="D52" t="inlineStr">
        <is>
          <t>STOCKHOLMS LÄN</t>
        </is>
      </c>
      <c r="E52" t="inlineStr">
        <is>
          <t>NORRTÄLJE</t>
        </is>
      </c>
      <c r="G52" t="n">
        <v>1.1</v>
      </c>
      <c r="H52" t="n">
        <v>1</v>
      </c>
      <c r="I52" t="n">
        <v>2</v>
      </c>
      <c r="J52" t="n">
        <v>1</v>
      </c>
      <c r="K52" t="n">
        <v>0</v>
      </c>
      <c r="L52" t="n">
        <v>1</v>
      </c>
      <c r="M52" t="n">
        <v>0</v>
      </c>
      <c r="N52" t="n">
        <v>0</v>
      </c>
      <c r="O52" t="n">
        <v>2</v>
      </c>
      <c r="P52" t="n">
        <v>1</v>
      </c>
      <c r="Q52" t="n">
        <v>5</v>
      </c>
      <c r="R52" s="2" t="inlineStr">
        <is>
          <t>Ask
Sårläka
Bronshjon
Granbarkgnagare
Blåsippa</t>
        </is>
      </c>
      <c r="S52">
        <f>HYPERLINK("https://klasma.github.io/Logging_0188/artfynd/A 29972-2024 artfynd.xlsx", "A 29972-2024")</f>
        <v/>
      </c>
      <c r="T52">
        <f>HYPERLINK("https://klasma.github.io/Logging_0188/kartor/A 29972-2024 karta.png", "A 29972-2024")</f>
        <v/>
      </c>
      <c r="V52">
        <f>HYPERLINK("https://klasma.github.io/Logging_0188/klagomål/A 29972-2024 FSC-klagomål.docx", "A 29972-2024")</f>
        <v/>
      </c>
      <c r="W52">
        <f>HYPERLINK("https://klasma.github.io/Logging_0188/klagomålsmail/A 29972-2024 FSC-klagomål mail.docx", "A 29972-2024")</f>
        <v/>
      </c>
      <c r="X52">
        <f>HYPERLINK("https://klasma.github.io/Logging_0188/tillsyn/A 29972-2024 tillsynsbegäran.docx", "A 29972-2024")</f>
        <v/>
      </c>
      <c r="Y52">
        <f>HYPERLINK("https://klasma.github.io/Logging_0188/tillsynsmail/A 29972-2024 tillsynsbegäran mail.docx", "A 29972-2024")</f>
        <v/>
      </c>
    </row>
    <row r="53" ht="15" customHeight="1">
      <c r="A53" t="inlineStr">
        <is>
          <t>A 38591-2023</t>
        </is>
      </c>
      <c r="B53" s="1" t="n">
        <v>45162</v>
      </c>
      <c r="C53" s="1" t="n">
        <v>46192</v>
      </c>
      <c r="D53" t="inlineStr">
        <is>
          <t>STOCKHOLMS LÄN</t>
        </is>
      </c>
      <c r="E53" t="inlineStr">
        <is>
          <t>NORRTÄLJE</t>
        </is>
      </c>
      <c r="F53" t="inlineStr">
        <is>
          <t>Övriga Aktiebolag</t>
        </is>
      </c>
      <c r="G53" t="n">
        <v>3.1</v>
      </c>
      <c r="H53" t="n">
        <v>2</v>
      </c>
      <c r="I53" t="n">
        <v>0</v>
      </c>
      <c r="J53" t="n">
        <v>2</v>
      </c>
      <c r="K53" t="n">
        <v>1</v>
      </c>
      <c r="L53" t="n">
        <v>1</v>
      </c>
      <c r="M53" t="n">
        <v>0</v>
      </c>
      <c r="N53" t="n">
        <v>0</v>
      </c>
      <c r="O53" t="n">
        <v>4</v>
      </c>
      <c r="P53" t="n">
        <v>2</v>
      </c>
      <c r="Q53" t="n">
        <v>5</v>
      </c>
      <c r="R53" s="2" t="inlineStr">
        <is>
          <t>Brun mårfältmätare
Porfyrljusmott
Brunflammig fältmätare
Sädesärla
Trädlärka</t>
        </is>
      </c>
      <c r="S53">
        <f>HYPERLINK("https://klasma.github.io/Logging_0188/artfynd/A 38591-2023 artfynd.xlsx", "A 38591-2023")</f>
        <v/>
      </c>
      <c r="T53">
        <f>HYPERLINK("https://klasma.github.io/Logging_0188/kartor/A 38591-2023 karta.png", "A 38591-2023")</f>
        <v/>
      </c>
      <c r="V53">
        <f>HYPERLINK("https://klasma.github.io/Logging_0188/klagomål/A 38591-2023 FSC-klagomål.docx", "A 38591-2023")</f>
        <v/>
      </c>
      <c r="W53">
        <f>HYPERLINK("https://klasma.github.io/Logging_0188/klagomålsmail/A 38591-2023 FSC-klagomål mail.docx", "A 38591-2023")</f>
        <v/>
      </c>
      <c r="X53">
        <f>HYPERLINK("https://klasma.github.io/Logging_0188/tillsyn/A 38591-2023 tillsynsbegäran.docx", "A 38591-2023")</f>
        <v/>
      </c>
      <c r="Y53">
        <f>HYPERLINK("https://klasma.github.io/Logging_0188/tillsynsmail/A 38591-2023 tillsynsbegäran mail.docx", "A 38591-2023")</f>
        <v/>
      </c>
      <c r="Z53">
        <f>HYPERLINK("https://klasma.github.io/Logging_0188/fåglar/A 38591-2023 prioriterade fågelarter.docx", "A 38591-2023")</f>
        <v/>
      </c>
    </row>
    <row r="54" ht="15" customHeight="1">
      <c r="A54" t="inlineStr">
        <is>
          <t>A 4438-2023</t>
        </is>
      </c>
      <c r="B54" s="1" t="n">
        <v>44956</v>
      </c>
      <c r="C54" s="1" t="n">
        <v>46192</v>
      </c>
      <c r="D54" t="inlineStr">
        <is>
          <t>STOCKHOLMS LÄN</t>
        </is>
      </c>
      <c r="E54" t="inlineStr">
        <is>
          <t>NORRTÄLJE</t>
        </is>
      </c>
      <c r="G54" t="n">
        <v>9.199999999999999</v>
      </c>
      <c r="H54" t="n">
        <v>2</v>
      </c>
      <c r="I54" t="n">
        <v>0</v>
      </c>
      <c r="J54" t="n">
        <v>1</v>
      </c>
      <c r="K54" t="n">
        <v>0</v>
      </c>
      <c r="L54" t="n">
        <v>2</v>
      </c>
      <c r="M54" t="n">
        <v>0</v>
      </c>
      <c r="N54" t="n">
        <v>0</v>
      </c>
      <c r="O54" t="n">
        <v>3</v>
      </c>
      <c r="P54" t="n">
        <v>2</v>
      </c>
      <c r="Q54" t="n">
        <v>5</v>
      </c>
      <c r="R54" s="2" t="inlineStr">
        <is>
          <t>Ask
Skogsalm
Jungfrulin
Blåsippa
Spillkråka</t>
        </is>
      </c>
      <c r="S54">
        <f>HYPERLINK("https://klasma.github.io/Logging_0188/artfynd/A 4438-2023 artfynd.xlsx", "A 4438-2023")</f>
        <v/>
      </c>
      <c r="T54">
        <f>HYPERLINK("https://klasma.github.io/Logging_0188/kartor/A 4438-2023 karta.png", "A 4438-2023")</f>
        <v/>
      </c>
      <c r="V54">
        <f>HYPERLINK("https://klasma.github.io/Logging_0188/klagomål/A 4438-2023 FSC-klagomål.docx", "A 4438-2023")</f>
        <v/>
      </c>
      <c r="W54">
        <f>HYPERLINK("https://klasma.github.io/Logging_0188/klagomålsmail/A 4438-2023 FSC-klagomål mail.docx", "A 4438-2023")</f>
        <v/>
      </c>
      <c r="X54">
        <f>HYPERLINK("https://klasma.github.io/Logging_0188/tillsyn/A 4438-2023 tillsynsbegäran.docx", "A 4438-2023")</f>
        <v/>
      </c>
      <c r="Y54">
        <f>HYPERLINK("https://klasma.github.io/Logging_0188/tillsynsmail/A 4438-2023 tillsynsbegäran mail.docx", "A 4438-2023")</f>
        <v/>
      </c>
      <c r="Z54">
        <f>HYPERLINK("https://klasma.github.io/Logging_0188/fåglar/A 4438-2023 prioriterade fågelarter.docx", "A 4438-2023")</f>
        <v/>
      </c>
    </row>
    <row r="55" ht="15" customHeight="1">
      <c r="A55" t="inlineStr">
        <is>
          <t>A 21730-2025</t>
        </is>
      </c>
      <c r="B55" s="1" t="n">
        <v>45783</v>
      </c>
      <c r="C55" s="1" t="n">
        <v>46192</v>
      </c>
      <c r="D55" t="inlineStr">
        <is>
          <t>STOCKHOLMS LÄN</t>
        </is>
      </c>
      <c r="E55" t="inlineStr">
        <is>
          <t>NORRTÄLJE</t>
        </is>
      </c>
      <c r="G55" t="n">
        <v>4.2</v>
      </c>
      <c r="H55" t="n">
        <v>2</v>
      </c>
      <c r="I55" t="n">
        <v>3</v>
      </c>
      <c r="J55" t="n">
        <v>0</v>
      </c>
      <c r="K55" t="n">
        <v>0</v>
      </c>
      <c r="L55" t="n">
        <v>0</v>
      </c>
      <c r="M55" t="n">
        <v>0</v>
      </c>
      <c r="N55" t="n">
        <v>0</v>
      </c>
      <c r="O55" t="n">
        <v>0</v>
      </c>
      <c r="P55" t="n">
        <v>0</v>
      </c>
      <c r="Q55" t="n">
        <v>5</v>
      </c>
      <c r="R55" s="2" t="inlineStr">
        <is>
          <t>Blåmossa
Brandticka
Skogsbräsma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652-2025</t>
        </is>
      </c>
      <c r="B56" s="1" t="n">
        <v>45664</v>
      </c>
      <c r="C56" s="1" t="n">
        <v>46192</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26703-2025</t>
        </is>
      </c>
      <c r="B57" s="1" t="n">
        <v>45810</v>
      </c>
      <c r="C57" s="1" t="n">
        <v>46192</v>
      </c>
      <c r="D57" t="inlineStr">
        <is>
          <t>STOCKHOLMS LÄN</t>
        </is>
      </c>
      <c r="E57" t="inlineStr">
        <is>
          <t>NORRTÄLJE</t>
        </is>
      </c>
      <c r="G57" t="n">
        <v>1.8</v>
      </c>
      <c r="H57" t="n">
        <v>1</v>
      </c>
      <c r="I57" t="n">
        <v>1</v>
      </c>
      <c r="J57" t="n">
        <v>1</v>
      </c>
      <c r="K57" t="n">
        <v>2</v>
      </c>
      <c r="L57" t="n">
        <v>0</v>
      </c>
      <c r="M57" t="n">
        <v>0</v>
      </c>
      <c r="N57" t="n">
        <v>0</v>
      </c>
      <c r="O57" t="n">
        <v>3</v>
      </c>
      <c r="P57" t="n">
        <v>2</v>
      </c>
      <c r="Q57" t="n">
        <v>5</v>
      </c>
      <c r="R57" s="2" t="inlineStr">
        <is>
          <t>Aspgelélav
Grangråticka
Fjällig taggsvamp s.str.
Svavelriska
Blåsippa</t>
        </is>
      </c>
      <c r="S57">
        <f>HYPERLINK("https://klasma.github.io/Logging_0188/artfynd/A 26703-2025 artfynd.xlsx", "A 26703-2025")</f>
        <v/>
      </c>
      <c r="T57">
        <f>HYPERLINK("https://klasma.github.io/Logging_0188/kartor/A 26703-2025 karta.png", "A 26703-2025")</f>
        <v/>
      </c>
      <c r="V57">
        <f>HYPERLINK("https://klasma.github.io/Logging_0188/klagomål/A 26703-2025 FSC-klagomål.docx", "A 26703-2025")</f>
        <v/>
      </c>
      <c r="W57">
        <f>HYPERLINK("https://klasma.github.io/Logging_0188/klagomålsmail/A 26703-2025 FSC-klagomål mail.docx", "A 26703-2025")</f>
        <v/>
      </c>
      <c r="X57">
        <f>HYPERLINK("https://klasma.github.io/Logging_0188/tillsyn/A 26703-2025 tillsynsbegäran.docx", "A 26703-2025")</f>
        <v/>
      </c>
      <c r="Y57">
        <f>HYPERLINK("https://klasma.github.io/Logging_0188/tillsynsmail/A 26703-2025 tillsynsbegäran mail.docx", "A 26703-2025")</f>
        <v/>
      </c>
    </row>
    <row r="58" ht="15" customHeight="1">
      <c r="A58" t="inlineStr">
        <is>
          <t>A 28836-2022</t>
        </is>
      </c>
      <c r="B58" s="1" t="n">
        <v>44749</v>
      </c>
      <c r="C58" s="1" t="n">
        <v>46192</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41276-2025</t>
        </is>
      </c>
      <c r="B59" s="1" t="n">
        <v>45898</v>
      </c>
      <c r="C59" s="1" t="n">
        <v>46192</v>
      </c>
      <c r="D59" t="inlineStr">
        <is>
          <t>STOCKHOLMS LÄN</t>
        </is>
      </c>
      <c r="E59" t="inlineStr">
        <is>
          <t>NORRTÄLJE</t>
        </is>
      </c>
      <c r="G59" t="n">
        <v>3.2</v>
      </c>
      <c r="H59" t="n">
        <v>1</v>
      </c>
      <c r="I59" t="n">
        <v>1</v>
      </c>
      <c r="J59" t="n">
        <v>1</v>
      </c>
      <c r="K59" t="n">
        <v>0</v>
      </c>
      <c r="L59" t="n">
        <v>1</v>
      </c>
      <c r="M59" t="n">
        <v>0</v>
      </c>
      <c r="N59" t="n">
        <v>0</v>
      </c>
      <c r="O59" t="n">
        <v>2</v>
      </c>
      <c r="P59" t="n">
        <v>1</v>
      </c>
      <c r="Q59" t="n">
        <v>4</v>
      </c>
      <c r="R59" s="2" t="inlineStr">
        <is>
          <t>Ask
Vårärt
Underviol
Blåsippa</t>
        </is>
      </c>
      <c r="S59">
        <f>HYPERLINK("https://klasma.github.io/Logging_0188/artfynd/A 41276-2025 artfynd.xlsx", "A 41276-2025")</f>
        <v/>
      </c>
      <c r="T59">
        <f>HYPERLINK("https://klasma.github.io/Logging_0188/kartor/A 41276-2025 karta.png", "A 41276-2025")</f>
        <v/>
      </c>
      <c r="V59">
        <f>HYPERLINK("https://klasma.github.io/Logging_0188/klagomål/A 41276-2025 FSC-klagomål.docx", "A 41276-2025")</f>
        <v/>
      </c>
      <c r="W59">
        <f>HYPERLINK("https://klasma.github.io/Logging_0188/klagomålsmail/A 41276-2025 FSC-klagomål mail.docx", "A 41276-2025")</f>
        <v/>
      </c>
      <c r="X59">
        <f>HYPERLINK("https://klasma.github.io/Logging_0188/tillsyn/A 41276-2025 tillsynsbegäran.docx", "A 41276-2025")</f>
        <v/>
      </c>
      <c r="Y59">
        <f>HYPERLINK("https://klasma.github.io/Logging_0188/tillsynsmail/A 41276-2025 tillsynsbegäran mail.docx", "A 41276-2025")</f>
        <v/>
      </c>
    </row>
    <row r="60" ht="15" customHeight="1">
      <c r="A60" t="inlineStr">
        <is>
          <t>A 30687-2025</t>
        </is>
      </c>
      <c r="B60" s="1" t="n">
        <v>45831</v>
      </c>
      <c r="C60" s="1" t="n">
        <v>46192</v>
      </c>
      <c r="D60" t="inlineStr">
        <is>
          <t>STOCKHOLMS LÄN</t>
        </is>
      </c>
      <c r="E60" t="inlineStr">
        <is>
          <t>NORRTÄLJE</t>
        </is>
      </c>
      <c r="G60" t="n">
        <v>6.7</v>
      </c>
      <c r="H60" t="n">
        <v>1</v>
      </c>
      <c r="I60" t="n">
        <v>2</v>
      </c>
      <c r="J60" t="n">
        <v>1</v>
      </c>
      <c r="K60" t="n">
        <v>0</v>
      </c>
      <c r="L60" t="n">
        <v>0</v>
      </c>
      <c r="M60" t="n">
        <v>0</v>
      </c>
      <c r="N60" t="n">
        <v>0</v>
      </c>
      <c r="O60" t="n">
        <v>1</v>
      </c>
      <c r="P60" t="n">
        <v>0</v>
      </c>
      <c r="Q60" t="n">
        <v>4</v>
      </c>
      <c r="R60" s="2" t="inlineStr">
        <is>
          <t>Kandelabersvamp
Stinkbrosking
Svart trolldruva
Blåsippa</t>
        </is>
      </c>
      <c r="S60">
        <f>HYPERLINK("https://klasma.github.io/Logging_0188/artfynd/A 30687-2025 artfynd.xlsx", "A 30687-2025")</f>
        <v/>
      </c>
      <c r="T60">
        <f>HYPERLINK("https://klasma.github.io/Logging_0188/kartor/A 30687-2025 karta.png", "A 30687-2025")</f>
        <v/>
      </c>
      <c r="V60">
        <f>HYPERLINK("https://klasma.github.io/Logging_0188/klagomål/A 30687-2025 FSC-klagomål.docx", "A 30687-2025")</f>
        <v/>
      </c>
      <c r="W60">
        <f>HYPERLINK("https://klasma.github.io/Logging_0188/klagomålsmail/A 30687-2025 FSC-klagomål mail.docx", "A 30687-2025")</f>
        <v/>
      </c>
      <c r="X60">
        <f>HYPERLINK("https://klasma.github.io/Logging_0188/tillsyn/A 30687-2025 tillsynsbegäran.docx", "A 30687-2025")</f>
        <v/>
      </c>
      <c r="Y60">
        <f>HYPERLINK("https://klasma.github.io/Logging_0188/tillsynsmail/A 30687-2025 tillsynsbegäran mail.docx", "A 30687-2025")</f>
        <v/>
      </c>
    </row>
    <row r="61" ht="15" customHeight="1">
      <c r="A61" t="inlineStr">
        <is>
          <t>A 24535-2023</t>
        </is>
      </c>
      <c r="B61" s="1" t="n">
        <v>45082</v>
      </c>
      <c r="C61" s="1" t="n">
        <v>46192</v>
      </c>
      <c r="D61" t="inlineStr">
        <is>
          <t>STOCKHOLMS LÄN</t>
        </is>
      </c>
      <c r="E61" t="inlineStr">
        <is>
          <t>NORRTÄLJE</t>
        </is>
      </c>
      <c r="F61" t="inlineStr">
        <is>
          <t>Kommuner</t>
        </is>
      </c>
      <c r="G61" t="n">
        <v>2</v>
      </c>
      <c r="H61" t="n">
        <v>3</v>
      </c>
      <c r="I61" t="n">
        <v>2</v>
      </c>
      <c r="J61" t="n">
        <v>0</v>
      </c>
      <c r="K61" t="n">
        <v>0</v>
      </c>
      <c r="L61" t="n">
        <v>0</v>
      </c>
      <c r="M61" t="n">
        <v>0</v>
      </c>
      <c r="N61" t="n">
        <v>0</v>
      </c>
      <c r="O61" t="n">
        <v>0</v>
      </c>
      <c r="P61" t="n">
        <v>0</v>
      </c>
      <c r="Q61" t="n">
        <v>4</v>
      </c>
      <c r="R61" s="2" t="inlineStr">
        <is>
          <t>Nästrot
Svavelriska
Blåsippa
Mindre flugsnappare</t>
        </is>
      </c>
      <c r="S61">
        <f>HYPERLINK("https://klasma.github.io/Logging_0188/artfynd/A 24535-2023 artfynd.xlsx", "A 24535-2023")</f>
        <v/>
      </c>
      <c r="T61">
        <f>HYPERLINK("https://klasma.github.io/Logging_0188/kartor/A 24535-2023 karta.png", "A 24535-2023")</f>
        <v/>
      </c>
      <c r="V61">
        <f>HYPERLINK("https://klasma.github.io/Logging_0188/klagomål/A 24535-2023 FSC-klagomål.docx", "A 24535-2023")</f>
        <v/>
      </c>
      <c r="W61">
        <f>HYPERLINK("https://klasma.github.io/Logging_0188/klagomålsmail/A 24535-2023 FSC-klagomål mail.docx", "A 24535-2023")</f>
        <v/>
      </c>
      <c r="X61">
        <f>HYPERLINK("https://klasma.github.io/Logging_0188/tillsyn/A 24535-2023 tillsynsbegäran.docx", "A 24535-2023")</f>
        <v/>
      </c>
      <c r="Y61">
        <f>HYPERLINK("https://klasma.github.io/Logging_0188/tillsynsmail/A 24535-2023 tillsynsbegäran mail.docx", "A 24535-2023")</f>
        <v/>
      </c>
      <c r="Z61">
        <f>HYPERLINK("https://klasma.github.io/Logging_0188/fåglar/A 24535-2023 prioriterade fågelarter.docx", "A 24535-2023")</f>
        <v/>
      </c>
    </row>
    <row r="62" ht="15" customHeight="1">
      <c r="A62" t="inlineStr">
        <is>
          <t>A 44709-2022</t>
        </is>
      </c>
      <c r="B62" s="1" t="n">
        <v>44839</v>
      </c>
      <c r="C62" s="1" t="n">
        <v>46192</v>
      </c>
      <c r="D62" t="inlineStr">
        <is>
          <t>STOCKHOLMS LÄN</t>
        </is>
      </c>
      <c r="E62" t="inlineStr">
        <is>
          <t>NORRTÄLJE</t>
        </is>
      </c>
      <c r="G62" t="n">
        <v>16.3</v>
      </c>
      <c r="H62" t="n">
        <v>3</v>
      </c>
      <c r="I62" t="n">
        <v>0</v>
      </c>
      <c r="J62" t="n">
        <v>2</v>
      </c>
      <c r="K62" t="n">
        <v>0</v>
      </c>
      <c r="L62" t="n">
        <v>0</v>
      </c>
      <c r="M62" t="n">
        <v>0</v>
      </c>
      <c r="N62" t="n">
        <v>0</v>
      </c>
      <c r="O62" t="n">
        <v>2</v>
      </c>
      <c r="P62" t="n">
        <v>0</v>
      </c>
      <c r="Q62" t="n">
        <v>4</v>
      </c>
      <c r="R62" s="2" t="inlineStr">
        <is>
          <t>Enkelbeckasin
Jungfrulin
Spillkråka
Orre</t>
        </is>
      </c>
      <c r="S62">
        <f>HYPERLINK("https://klasma.github.io/Logging_0188/artfynd/A 44709-2022 artfynd.xlsx", "A 44709-2022")</f>
        <v/>
      </c>
      <c r="T62">
        <f>HYPERLINK("https://klasma.github.io/Logging_0188/kartor/A 44709-2022 karta.png", "A 44709-2022")</f>
        <v/>
      </c>
      <c r="V62">
        <f>HYPERLINK("https://klasma.github.io/Logging_0188/klagomål/A 44709-2022 FSC-klagomål.docx", "A 44709-2022")</f>
        <v/>
      </c>
      <c r="W62">
        <f>HYPERLINK("https://klasma.github.io/Logging_0188/klagomålsmail/A 44709-2022 FSC-klagomål mail.docx", "A 44709-2022")</f>
        <v/>
      </c>
      <c r="X62">
        <f>HYPERLINK("https://klasma.github.io/Logging_0188/tillsyn/A 44709-2022 tillsynsbegäran.docx", "A 44709-2022")</f>
        <v/>
      </c>
      <c r="Y62">
        <f>HYPERLINK("https://klasma.github.io/Logging_0188/tillsynsmail/A 44709-2022 tillsynsbegäran mail.docx", "A 44709-2022")</f>
        <v/>
      </c>
      <c r="Z62">
        <f>HYPERLINK("https://klasma.github.io/Logging_0188/fåglar/A 44709-2022 prioriterade fågelarter.docx", "A 44709-2022")</f>
        <v/>
      </c>
    </row>
    <row r="63" ht="15" customHeight="1">
      <c r="A63" t="inlineStr">
        <is>
          <t>A 72305-2021</t>
        </is>
      </c>
      <c r="B63" s="1" t="n">
        <v>44545</v>
      </c>
      <c r="C63" s="1" t="n">
        <v>46192</v>
      </c>
      <c r="D63" t="inlineStr">
        <is>
          <t>STOCKHOLMS LÄN</t>
        </is>
      </c>
      <c r="E63" t="inlineStr">
        <is>
          <t>NORRTÄLJE</t>
        </is>
      </c>
      <c r="G63" t="n">
        <v>1.5</v>
      </c>
      <c r="H63" t="n">
        <v>1</v>
      </c>
      <c r="I63" t="n">
        <v>1</v>
      </c>
      <c r="J63" t="n">
        <v>2</v>
      </c>
      <c r="K63" t="n">
        <v>0</v>
      </c>
      <c r="L63" t="n">
        <v>0</v>
      </c>
      <c r="M63" t="n">
        <v>0</v>
      </c>
      <c r="N63" t="n">
        <v>0</v>
      </c>
      <c r="O63" t="n">
        <v>2</v>
      </c>
      <c r="P63" t="n">
        <v>0</v>
      </c>
      <c r="Q63" t="n">
        <v>4</v>
      </c>
      <c r="R63" s="2" t="inlineStr">
        <is>
          <t>Sårläka
Vårärt
Svart trolldruva
Blåsippa</t>
        </is>
      </c>
      <c r="S63">
        <f>HYPERLINK("https://klasma.github.io/Logging_0188/artfynd/A 72305-2021 artfynd.xlsx", "A 72305-2021")</f>
        <v/>
      </c>
      <c r="T63">
        <f>HYPERLINK("https://klasma.github.io/Logging_0188/kartor/A 72305-2021 karta.png", "A 72305-2021")</f>
        <v/>
      </c>
      <c r="V63">
        <f>HYPERLINK("https://klasma.github.io/Logging_0188/klagomål/A 72305-2021 FSC-klagomål.docx", "A 72305-2021")</f>
        <v/>
      </c>
      <c r="W63">
        <f>HYPERLINK("https://klasma.github.io/Logging_0188/klagomålsmail/A 72305-2021 FSC-klagomål mail.docx", "A 72305-2021")</f>
        <v/>
      </c>
      <c r="X63">
        <f>HYPERLINK("https://klasma.github.io/Logging_0188/tillsyn/A 72305-2021 tillsynsbegäran.docx", "A 72305-2021")</f>
        <v/>
      </c>
      <c r="Y63">
        <f>HYPERLINK("https://klasma.github.io/Logging_0188/tillsynsmail/A 72305-2021 tillsynsbegäran mail.docx", "A 72305-2021")</f>
        <v/>
      </c>
    </row>
    <row r="64" ht="15" customHeight="1">
      <c r="A64" t="inlineStr">
        <is>
          <t>A 32103-2022</t>
        </is>
      </c>
      <c r="B64" s="1" t="n">
        <v>44778</v>
      </c>
      <c r="C64" s="1" t="n">
        <v>46192</v>
      </c>
      <c r="D64" t="inlineStr">
        <is>
          <t>STOCKHOLMS LÄN</t>
        </is>
      </c>
      <c r="E64" t="inlineStr">
        <is>
          <t>NORRTÄLJE</t>
        </is>
      </c>
      <c r="G64" t="n">
        <v>3.4</v>
      </c>
      <c r="H64" t="n">
        <v>4</v>
      </c>
      <c r="I64" t="n">
        <v>0</v>
      </c>
      <c r="J64" t="n">
        <v>1</v>
      </c>
      <c r="K64" t="n">
        <v>1</v>
      </c>
      <c r="L64" t="n">
        <v>1</v>
      </c>
      <c r="M64" t="n">
        <v>0</v>
      </c>
      <c r="N64" t="n">
        <v>0</v>
      </c>
      <c r="O64" t="n">
        <v>3</v>
      </c>
      <c r="P64" t="n">
        <v>2</v>
      </c>
      <c r="Q64" t="n">
        <v>4</v>
      </c>
      <c r="R64" s="2" t="inlineStr">
        <is>
          <t>Kornknarr
Gräshoppsångare
Rörsångare
Näktergal</t>
        </is>
      </c>
      <c r="S64">
        <f>HYPERLINK("https://klasma.github.io/Logging_0188/artfynd/A 32103-2022 artfynd.xlsx", "A 32103-2022")</f>
        <v/>
      </c>
      <c r="T64">
        <f>HYPERLINK("https://klasma.github.io/Logging_0188/kartor/A 32103-2022 karta.png", "A 32103-2022")</f>
        <v/>
      </c>
      <c r="V64">
        <f>HYPERLINK("https://klasma.github.io/Logging_0188/klagomål/A 32103-2022 FSC-klagomål.docx", "A 32103-2022")</f>
        <v/>
      </c>
      <c r="W64">
        <f>HYPERLINK("https://klasma.github.io/Logging_0188/klagomålsmail/A 32103-2022 FSC-klagomål mail.docx", "A 32103-2022")</f>
        <v/>
      </c>
      <c r="X64">
        <f>HYPERLINK("https://klasma.github.io/Logging_0188/tillsyn/A 32103-2022 tillsynsbegäran.docx", "A 32103-2022")</f>
        <v/>
      </c>
      <c r="Y64">
        <f>HYPERLINK("https://klasma.github.io/Logging_0188/tillsynsmail/A 32103-2022 tillsynsbegäran mail.docx", "A 32103-2022")</f>
        <v/>
      </c>
      <c r="Z64">
        <f>HYPERLINK("https://klasma.github.io/Logging_0188/fåglar/A 32103-2022 prioriterade fågelarter.docx", "A 32103-2022")</f>
        <v/>
      </c>
    </row>
    <row r="65" ht="15" customHeight="1">
      <c r="A65" t="inlineStr">
        <is>
          <t>A 17952-2022</t>
        </is>
      </c>
      <c r="B65" s="1" t="n">
        <v>44683</v>
      </c>
      <c r="C65" s="1" t="n">
        <v>46192</v>
      </c>
      <c r="D65" t="inlineStr">
        <is>
          <t>STOCKHOLMS LÄN</t>
        </is>
      </c>
      <c r="E65" t="inlineStr">
        <is>
          <t>NORRTÄLJE</t>
        </is>
      </c>
      <c r="G65" t="n">
        <v>51.1</v>
      </c>
      <c r="H65" t="n">
        <v>3</v>
      </c>
      <c r="I65" t="n">
        <v>0</v>
      </c>
      <c r="J65" t="n">
        <v>2</v>
      </c>
      <c r="K65" t="n">
        <v>1</v>
      </c>
      <c r="L65" t="n">
        <v>0</v>
      </c>
      <c r="M65" t="n">
        <v>0</v>
      </c>
      <c r="N65" t="n">
        <v>0</v>
      </c>
      <c r="O65" t="n">
        <v>3</v>
      </c>
      <c r="P65" t="n">
        <v>1</v>
      </c>
      <c r="Q65" t="n">
        <v>4</v>
      </c>
      <c r="R65" s="2" t="inlineStr">
        <is>
          <t>Kattunvisslare
Mindre hackspett
Talltita
Revlummer</t>
        </is>
      </c>
      <c r="S65">
        <f>HYPERLINK("https://klasma.github.io/Logging_0188/artfynd/A 17952-2022 artfynd.xlsx", "A 17952-2022")</f>
        <v/>
      </c>
      <c r="T65">
        <f>HYPERLINK("https://klasma.github.io/Logging_0188/kartor/A 17952-2022 karta.png", "A 17952-2022")</f>
        <v/>
      </c>
      <c r="V65">
        <f>HYPERLINK("https://klasma.github.io/Logging_0188/klagomål/A 17952-2022 FSC-klagomål.docx", "A 17952-2022")</f>
        <v/>
      </c>
      <c r="W65">
        <f>HYPERLINK("https://klasma.github.io/Logging_0188/klagomålsmail/A 17952-2022 FSC-klagomål mail.docx", "A 17952-2022")</f>
        <v/>
      </c>
      <c r="X65">
        <f>HYPERLINK("https://klasma.github.io/Logging_0188/tillsyn/A 17952-2022 tillsynsbegäran.docx", "A 17952-2022")</f>
        <v/>
      </c>
      <c r="Y65">
        <f>HYPERLINK("https://klasma.github.io/Logging_0188/tillsynsmail/A 17952-2022 tillsynsbegäran mail.docx", "A 17952-2022")</f>
        <v/>
      </c>
      <c r="Z65">
        <f>HYPERLINK("https://klasma.github.io/Logging_0188/fåglar/A 17952-2022 prioriterade fågelarter.docx", "A 17952-2022")</f>
        <v/>
      </c>
    </row>
    <row r="66" ht="15" customHeight="1">
      <c r="A66" t="inlineStr">
        <is>
          <t>A 27870-2022</t>
        </is>
      </c>
      <c r="B66" s="1" t="n">
        <v>44743</v>
      </c>
      <c r="C66" s="1" t="n">
        <v>46192</v>
      </c>
      <c r="D66" t="inlineStr">
        <is>
          <t>STOCKHOLMS LÄN</t>
        </is>
      </c>
      <c r="E66" t="inlineStr">
        <is>
          <t>NORRTÄLJE</t>
        </is>
      </c>
      <c r="F66" t="inlineStr">
        <is>
          <t>Holmen skog AB</t>
        </is>
      </c>
      <c r="G66" t="n">
        <v>1.8</v>
      </c>
      <c r="H66" t="n">
        <v>3</v>
      </c>
      <c r="I66" t="n">
        <v>0</v>
      </c>
      <c r="J66" t="n">
        <v>1</v>
      </c>
      <c r="K66" t="n">
        <v>0</v>
      </c>
      <c r="L66" t="n">
        <v>1</v>
      </c>
      <c r="M66" t="n">
        <v>0</v>
      </c>
      <c r="N66" t="n">
        <v>0</v>
      </c>
      <c r="O66" t="n">
        <v>2</v>
      </c>
      <c r="P66" t="n">
        <v>1</v>
      </c>
      <c r="Q66" t="n">
        <v>4</v>
      </c>
      <c r="R66" s="2" t="inlineStr">
        <is>
          <t>Ask
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54110-2024</t>
        </is>
      </c>
      <c r="B67" s="1" t="n">
        <v>45616</v>
      </c>
      <c r="C67" s="1" t="n">
        <v>46192</v>
      </c>
      <c r="D67" t="inlineStr">
        <is>
          <t>STOCKHOLMS LÄN</t>
        </is>
      </c>
      <c r="E67" t="inlineStr">
        <is>
          <t>NORRTÄLJE</t>
        </is>
      </c>
      <c r="G67" t="n">
        <v>6.7</v>
      </c>
      <c r="H67" t="n">
        <v>2</v>
      </c>
      <c r="I67" t="n">
        <v>0</v>
      </c>
      <c r="J67" t="n">
        <v>2</v>
      </c>
      <c r="K67" t="n">
        <v>0</v>
      </c>
      <c r="L67" t="n">
        <v>0</v>
      </c>
      <c r="M67" t="n">
        <v>0</v>
      </c>
      <c r="N67" t="n">
        <v>0</v>
      </c>
      <c r="O67" t="n">
        <v>2</v>
      </c>
      <c r="P67" t="n">
        <v>0</v>
      </c>
      <c r="Q67" t="n">
        <v>4</v>
      </c>
      <c r="R67" s="2" t="inlineStr">
        <is>
          <t>Jungfrulin
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51980-2022</t>
        </is>
      </c>
      <c r="B68" s="1" t="n">
        <v>44872</v>
      </c>
      <c r="C68" s="1" t="n">
        <v>46192</v>
      </c>
      <c r="D68" t="inlineStr">
        <is>
          <t>STOCKHOLMS LÄN</t>
        </is>
      </c>
      <c r="E68" t="inlineStr">
        <is>
          <t>NORRTÄLJE</t>
        </is>
      </c>
      <c r="G68" t="n">
        <v>7.9</v>
      </c>
      <c r="H68" t="n">
        <v>2</v>
      </c>
      <c r="I68" t="n">
        <v>4</v>
      </c>
      <c r="J68" t="n">
        <v>0</v>
      </c>
      <c r="K68" t="n">
        <v>0</v>
      </c>
      <c r="L68" t="n">
        <v>0</v>
      </c>
      <c r="M68" t="n">
        <v>0</v>
      </c>
      <c r="N68" t="n">
        <v>0</v>
      </c>
      <c r="O68" t="n">
        <v>0</v>
      </c>
      <c r="P68" t="n">
        <v>0</v>
      </c>
      <c r="Q68" t="n">
        <v>4</v>
      </c>
      <c r="R68" s="2" t="inlineStr">
        <is>
          <t>Rödgul trumpetsvamp
Skogsknipprot
Trådfräken
Tvåblad</t>
        </is>
      </c>
      <c r="S68">
        <f>HYPERLINK("https://klasma.github.io/Logging_0188/artfynd/A 51980-2022 artfynd.xlsx", "A 51980-2022")</f>
        <v/>
      </c>
      <c r="T68">
        <f>HYPERLINK("https://klasma.github.io/Logging_0188/kartor/A 51980-2022 karta.png", "A 51980-2022")</f>
        <v/>
      </c>
      <c r="V68">
        <f>HYPERLINK("https://klasma.github.io/Logging_0188/klagomål/A 51980-2022 FSC-klagomål.docx", "A 51980-2022")</f>
        <v/>
      </c>
      <c r="W68">
        <f>HYPERLINK("https://klasma.github.io/Logging_0188/klagomålsmail/A 51980-2022 FSC-klagomål mail.docx", "A 51980-2022")</f>
        <v/>
      </c>
      <c r="X68">
        <f>HYPERLINK("https://klasma.github.io/Logging_0188/tillsyn/A 51980-2022 tillsynsbegäran.docx", "A 51980-2022")</f>
        <v/>
      </c>
      <c r="Y68">
        <f>HYPERLINK("https://klasma.github.io/Logging_0188/tillsynsmail/A 51980-2022 tillsynsbegäran mail.docx", "A 51980-2022")</f>
        <v/>
      </c>
    </row>
    <row r="69" ht="15" customHeight="1">
      <c r="A69" t="inlineStr">
        <is>
          <t>A 29185-2025</t>
        </is>
      </c>
      <c r="B69" s="1" t="n">
        <v>45821</v>
      </c>
      <c r="C69" s="1" t="n">
        <v>46192</v>
      </c>
      <c r="D69" t="inlineStr">
        <is>
          <t>STOCKHOLMS LÄN</t>
        </is>
      </c>
      <c r="E69" t="inlineStr">
        <is>
          <t>NORRTÄLJE</t>
        </is>
      </c>
      <c r="F69" t="inlineStr">
        <is>
          <t>Övriga Aktiebolag</t>
        </is>
      </c>
      <c r="G69" t="n">
        <v>8.5</v>
      </c>
      <c r="H69" t="n">
        <v>3</v>
      </c>
      <c r="I69" t="n">
        <v>0</v>
      </c>
      <c r="J69" t="n">
        <v>1</v>
      </c>
      <c r="K69" t="n">
        <v>0</v>
      </c>
      <c r="L69" t="n">
        <v>0</v>
      </c>
      <c r="M69" t="n">
        <v>0</v>
      </c>
      <c r="N69" t="n">
        <v>0</v>
      </c>
      <c r="O69" t="n">
        <v>1</v>
      </c>
      <c r="P69" t="n">
        <v>0</v>
      </c>
      <c r="Q69" t="n">
        <v>4</v>
      </c>
      <c r="R69" s="2" t="inlineStr">
        <is>
          <t>Vårärt
Blåsippa
Tjäder
Fläcknycklar</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c r="Z69">
        <f>HYPERLINK("https://klasma.github.io/Logging_0188/fåglar/A 29185-2025 prioriterade fågelarter.docx", "A 29185-2025")</f>
        <v/>
      </c>
    </row>
    <row r="70" ht="15" customHeight="1">
      <c r="A70" t="inlineStr">
        <is>
          <t>A 33552-2025</t>
        </is>
      </c>
      <c r="B70" s="1" t="n">
        <v>45841</v>
      </c>
      <c r="C70" s="1" t="n">
        <v>46192</v>
      </c>
      <c r="D70" t="inlineStr">
        <is>
          <t>STOCKHOLMS LÄN</t>
        </is>
      </c>
      <c r="E70" t="inlineStr">
        <is>
          <t>NORRTÄLJE</t>
        </is>
      </c>
      <c r="G70" t="n">
        <v>8.9</v>
      </c>
      <c r="H70" t="n">
        <v>0</v>
      </c>
      <c r="I70" t="n">
        <v>0</v>
      </c>
      <c r="J70" t="n">
        <v>3</v>
      </c>
      <c r="K70" t="n">
        <v>1</v>
      </c>
      <c r="L70" t="n">
        <v>0</v>
      </c>
      <c r="M70" t="n">
        <v>0</v>
      </c>
      <c r="N70" t="n">
        <v>0</v>
      </c>
      <c r="O70" t="n">
        <v>4</v>
      </c>
      <c r="P70" t="n">
        <v>1</v>
      </c>
      <c r="Q70" t="n">
        <v>4</v>
      </c>
      <c r="R70" s="2" t="inlineStr">
        <is>
          <t>Kopparspindling
Fjällig taggsvamp s.str.
Orange taggsvamp
Skarp dropptaggsvamp</t>
        </is>
      </c>
      <c r="S70">
        <f>HYPERLINK("https://klasma.github.io/Logging_0188/artfynd/A 33552-2025 artfynd.xlsx", "A 33552-2025")</f>
        <v/>
      </c>
      <c r="T70">
        <f>HYPERLINK("https://klasma.github.io/Logging_0188/kartor/A 33552-2025 karta.png", "A 33552-2025")</f>
        <v/>
      </c>
      <c r="V70">
        <f>HYPERLINK("https://klasma.github.io/Logging_0188/klagomål/A 33552-2025 FSC-klagomål.docx", "A 33552-2025")</f>
        <v/>
      </c>
      <c r="W70">
        <f>HYPERLINK("https://klasma.github.io/Logging_0188/klagomålsmail/A 33552-2025 FSC-klagomål mail.docx", "A 33552-2025")</f>
        <v/>
      </c>
      <c r="X70">
        <f>HYPERLINK("https://klasma.github.io/Logging_0188/tillsyn/A 33552-2025 tillsynsbegäran.docx", "A 33552-2025")</f>
        <v/>
      </c>
      <c r="Y70">
        <f>HYPERLINK("https://klasma.github.io/Logging_0188/tillsynsmail/A 33552-2025 tillsynsbegäran mail.docx", "A 33552-2025")</f>
        <v/>
      </c>
    </row>
    <row r="71" ht="15" customHeight="1">
      <c r="A71" t="inlineStr">
        <is>
          <t>A 47898-2022</t>
        </is>
      </c>
      <c r="B71" s="1" t="n">
        <v>44855</v>
      </c>
      <c r="C71" s="1" t="n">
        <v>46192</v>
      </c>
      <c r="D71" t="inlineStr">
        <is>
          <t>STOCKHOLMS LÄN</t>
        </is>
      </c>
      <c r="E71" t="inlineStr">
        <is>
          <t>NORRTÄLJE</t>
        </is>
      </c>
      <c r="G71" t="n">
        <v>6.7</v>
      </c>
      <c r="H71" t="n">
        <v>2</v>
      </c>
      <c r="I71" t="n">
        <v>1</v>
      </c>
      <c r="J71" t="n">
        <v>1</v>
      </c>
      <c r="K71" t="n">
        <v>2</v>
      </c>
      <c r="L71" t="n">
        <v>0</v>
      </c>
      <c r="M71" t="n">
        <v>0</v>
      </c>
      <c r="N71" t="n">
        <v>0</v>
      </c>
      <c r="O71" t="n">
        <v>3</v>
      </c>
      <c r="P71" t="n">
        <v>2</v>
      </c>
      <c r="Q71" t="n">
        <v>4</v>
      </c>
      <c r="R71" s="2" t="inlineStr">
        <is>
          <t>Hällebräcka
Mindre bastardsvärmare
Backklöver
Guckusko</t>
        </is>
      </c>
      <c r="S71">
        <f>HYPERLINK("https://klasma.github.io/Logging_0188/artfynd/A 47898-2022 artfynd.xlsx", "A 47898-2022")</f>
        <v/>
      </c>
      <c r="T71">
        <f>HYPERLINK("https://klasma.github.io/Logging_0188/kartor/A 47898-2022 karta.png", "A 47898-2022")</f>
        <v/>
      </c>
      <c r="V71">
        <f>HYPERLINK("https://klasma.github.io/Logging_0188/klagomål/A 47898-2022 FSC-klagomål.docx", "A 47898-2022")</f>
        <v/>
      </c>
      <c r="W71">
        <f>HYPERLINK("https://klasma.github.io/Logging_0188/klagomålsmail/A 47898-2022 FSC-klagomål mail.docx", "A 47898-2022")</f>
        <v/>
      </c>
      <c r="X71">
        <f>HYPERLINK("https://klasma.github.io/Logging_0188/tillsyn/A 47898-2022 tillsynsbegäran.docx", "A 47898-2022")</f>
        <v/>
      </c>
      <c r="Y71">
        <f>HYPERLINK("https://klasma.github.io/Logging_0188/tillsynsmail/A 47898-2022 tillsynsbegäran mail.docx", "A 47898-2022")</f>
        <v/>
      </c>
    </row>
    <row r="72" ht="15" customHeight="1">
      <c r="A72" t="inlineStr">
        <is>
          <t>A 25913-2026</t>
        </is>
      </c>
      <c r="B72" s="1" t="n">
        <v>46178</v>
      </c>
      <c r="C72" s="1" t="n">
        <v>46192</v>
      </c>
      <c r="D72" t="inlineStr">
        <is>
          <t>STOCKHOLMS LÄN</t>
        </is>
      </c>
      <c r="E72" t="inlineStr">
        <is>
          <t>NORRTÄLJE</t>
        </is>
      </c>
      <c r="G72" t="n">
        <v>10.3</v>
      </c>
      <c r="H72" t="n">
        <v>3</v>
      </c>
      <c r="I72" t="n">
        <v>0</v>
      </c>
      <c r="J72" t="n">
        <v>1</v>
      </c>
      <c r="K72" t="n">
        <v>1</v>
      </c>
      <c r="L72" t="n">
        <v>0</v>
      </c>
      <c r="M72" t="n">
        <v>0</v>
      </c>
      <c r="N72" t="n">
        <v>0</v>
      </c>
      <c r="O72" t="n">
        <v>2</v>
      </c>
      <c r="P72" t="n">
        <v>1</v>
      </c>
      <c r="Q72" t="n">
        <v>4</v>
      </c>
      <c r="R72" s="2" t="inlineStr">
        <is>
          <t>Igelkott
Talltita
Grönsiska
Havsörn</t>
        </is>
      </c>
      <c r="S72">
        <f>HYPERLINK("https://klasma.github.io/Logging_0188/artfynd/A 25913-2026 artfynd.xlsx", "A 25913-2026")</f>
        <v/>
      </c>
      <c r="T72">
        <f>HYPERLINK("https://klasma.github.io/Logging_0188/kartor/A 25913-2026 karta.png", "A 25913-2026")</f>
        <v/>
      </c>
      <c r="V72">
        <f>HYPERLINK("https://klasma.github.io/Logging_0188/klagomål/A 25913-2026 FSC-klagomål.docx", "A 25913-2026")</f>
        <v/>
      </c>
      <c r="W72">
        <f>HYPERLINK("https://klasma.github.io/Logging_0188/klagomålsmail/A 25913-2026 FSC-klagomål mail.docx", "A 25913-2026")</f>
        <v/>
      </c>
      <c r="X72">
        <f>HYPERLINK("https://klasma.github.io/Logging_0188/tillsyn/A 25913-2026 tillsynsbegäran.docx", "A 25913-2026")</f>
        <v/>
      </c>
      <c r="Y72">
        <f>HYPERLINK("https://klasma.github.io/Logging_0188/tillsynsmail/A 25913-2026 tillsynsbegäran mail.docx", "A 25913-2026")</f>
        <v/>
      </c>
      <c r="Z72">
        <f>HYPERLINK("https://klasma.github.io/Logging_0188/fåglar/A 25913-2026 prioriterade fågelarter.docx", "A 25913-2026")</f>
        <v/>
      </c>
    </row>
    <row r="73" ht="15" customHeight="1">
      <c r="A73" t="inlineStr">
        <is>
          <t>A 31803-2021</t>
        </is>
      </c>
      <c r="B73" s="1" t="n">
        <v>44370</v>
      </c>
      <c r="C73" s="1" t="n">
        <v>46192</v>
      </c>
      <c r="D73" t="inlineStr">
        <is>
          <t>STOCKHOLMS LÄN</t>
        </is>
      </c>
      <c r="E73" t="inlineStr">
        <is>
          <t>NORRTÄLJE</t>
        </is>
      </c>
      <c r="G73" t="n">
        <v>4.6</v>
      </c>
      <c r="H73" t="n">
        <v>0</v>
      </c>
      <c r="I73" t="n">
        <v>0</v>
      </c>
      <c r="J73" t="n">
        <v>3</v>
      </c>
      <c r="K73" t="n">
        <v>0</v>
      </c>
      <c r="L73" t="n">
        <v>0</v>
      </c>
      <c r="M73" t="n">
        <v>0</v>
      </c>
      <c r="N73" t="n">
        <v>0</v>
      </c>
      <c r="O73" t="n">
        <v>3</v>
      </c>
      <c r="P73" t="n">
        <v>0</v>
      </c>
      <c r="Q73" t="n">
        <v>3</v>
      </c>
      <c r="R73" s="2" t="inlineStr">
        <is>
          <t>Jungfrulin
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45113-2022</t>
        </is>
      </c>
      <c r="B74" s="1" t="n">
        <v>44843</v>
      </c>
      <c r="C74" s="1" t="n">
        <v>46192</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19829-2022</t>
        </is>
      </c>
      <c r="B75" s="1" t="n">
        <v>44695</v>
      </c>
      <c r="C75" s="1" t="n">
        <v>46192</v>
      </c>
      <c r="D75" t="inlineStr">
        <is>
          <t>STOCKHOLMS LÄN</t>
        </is>
      </c>
      <c r="E75" t="inlineStr">
        <is>
          <t>NORRTÄLJE</t>
        </is>
      </c>
      <c r="G75" t="n">
        <v>2</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19829-2022 artfynd.xlsx", "A 19829-2022")</f>
        <v/>
      </c>
      <c r="T75">
        <f>HYPERLINK("https://klasma.github.io/Logging_0188/kartor/A 19829-2022 karta.png", "A 19829-2022")</f>
        <v/>
      </c>
      <c r="V75">
        <f>HYPERLINK("https://klasma.github.io/Logging_0188/klagomål/A 19829-2022 FSC-klagomål.docx", "A 19829-2022")</f>
        <v/>
      </c>
      <c r="W75">
        <f>HYPERLINK("https://klasma.github.io/Logging_0188/klagomålsmail/A 19829-2022 FSC-klagomål mail.docx", "A 19829-2022")</f>
        <v/>
      </c>
      <c r="X75">
        <f>HYPERLINK("https://klasma.github.io/Logging_0188/tillsyn/A 19829-2022 tillsynsbegäran.docx", "A 19829-2022")</f>
        <v/>
      </c>
      <c r="Y75">
        <f>HYPERLINK("https://klasma.github.io/Logging_0188/tillsynsmail/A 19829-2022 tillsynsbegäran mail.docx", "A 19829-2022")</f>
        <v/>
      </c>
    </row>
    <row r="76" ht="15" customHeight="1">
      <c r="A76" t="inlineStr">
        <is>
          <t>A 52776-2025</t>
        </is>
      </c>
      <c r="B76" s="1" t="n">
        <v>45957</v>
      </c>
      <c r="C76" s="1" t="n">
        <v>46192</v>
      </c>
      <c r="D76" t="inlineStr">
        <is>
          <t>STOCKHOLMS LÄN</t>
        </is>
      </c>
      <c r="E76" t="inlineStr">
        <is>
          <t>NORRTÄLJE</t>
        </is>
      </c>
      <c r="F76" t="inlineStr">
        <is>
          <t>Sveaskog</t>
        </is>
      </c>
      <c r="G76" t="n">
        <v>2.5</v>
      </c>
      <c r="H76" t="n">
        <v>3</v>
      </c>
      <c r="I76" t="n">
        <v>0</v>
      </c>
      <c r="J76" t="n">
        <v>0</v>
      </c>
      <c r="K76" t="n">
        <v>0</v>
      </c>
      <c r="L76" t="n">
        <v>0</v>
      </c>
      <c r="M76" t="n">
        <v>0</v>
      </c>
      <c r="N76" t="n">
        <v>0</v>
      </c>
      <c r="O76" t="n">
        <v>0</v>
      </c>
      <c r="P76" t="n">
        <v>0</v>
      </c>
      <c r="Q76" t="n">
        <v>3</v>
      </c>
      <c r="R76" s="2" t="inlineStr">
        <is>
          <t>Slaguggla
Sångsvan
Trana</t>
        </is>
      </c>
      <c r="S76">
        <f>HYPERLINK("https://klasma.github.io/Logging_0188/artfynd/A 52776-2025 artfynd.xlsx", "A 52776-2025")</f>
        <v/>
      </c>
      <c r="T76">
        <f>HYPERLINK("https://klasma.github.io/Logging_0188/kartor/A 52776-2025 karta.png", "A 52776-2025")</f>
        <v/>
      </c>
      <c r="V76">
        <f>HYPERLINK("https://klasma.github.io/Logging_0188/klagomål/A 52776-2025 FSC-klagomål.docx", "A 52776-2025")</f>
        <v/>
      </c>
      <c r="W76">
        <f>HYPERLINK("https://klasma.github.io/Logging_0188/klagomålsmail/A 52776-2025 FSC-klagomål mail.docx", "A 52776-2025")</f>
        <v/>
      </c>
      <c r="X76">
        <f>HYPERLINK("https://klasma.github.io/Logging_0188/tillsyn/A 52776-2025 tillsynsbegäran.docx", "A 52776-2025")</f>
        <v/>
      </c>
      <c r="Y76">
        <f>HYPERLINK("https://klasma.github.io/Logging_0188/tillsynsmail/A 52776-2025 tillsynsbegäran mail.docx", "A 52776-2025")</f>
        <v/>
      </c>
      <c r="Z76">
        <f>HYPERLINK("https://klasma.github.io/Logging_0188/fåglar/A 52776-2025 prioriterade fågelarter.docx", "A 52776-2025")</f>
        <v/>
      </c>
    </row>
    <row r="77" ht="15" customHeight="1">
      <c r="A77" t="inlineStr">
        <is>
          <t>A 52360-2024</t>
        </is>
      </c>
      <c r="B77" s="1" t="n">
        <v>45609</v>
      </c>
      <c r="C77" s="1" t="n">
        <v>46192</v>
      </c>
      <c r="D77" t="inlineStr">
        <is>
          <t>STOCKHOLMS LÄN</t>
        </is>
      </c>
      <c r="E77" t="inlineStr">
        <is>
          <t>NORRTÄLJE</t>
        </is>
      </c>
      <c r="G77" t="n">
        <v>2.2</v>
      </c>
      <c r="H77" t="n">
        <v>2</v>
      </c>
      <c r="I77" t="n">
        <v>1</v>
      </c>
      <c r="J77" t="n">
        <v>0</v>
      </c>
      <c r="K77" t="n">
        <v>0</v>
      </c>
      <c r="L77" t="n">
        <v>0</v>
      </c>
      <c r="M77" t="n">
        <v>0</v>
      </c>
      <c r="N77" t="n">
        <v>0</v>
      </c>
      <c r="O77" t="n">
        <v>0</v>
      </c>
      <c r="P77" t="n">
        <v>0</v>
      </c>
      <c r="Q77" t="n">
        <v>3</v>
      </c>
      <c r="R77" s="2" t="inlineStr">
        <is>
          <t>Brandticka
Blåsippa
Revlummer</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30693-2022</t>
        </is>
      </c>
      <c r="B78" s="1" t="n">
        <v>44763</v>
      </c>
      <c r="C78" s="1" t="n">
        <v>46192</v>
      </c>
      <c r="D78" t="inlineStr">
        <is>
          <t>STOCKHOLMS LÄN</t>
        </is>
      </c>
      <c r="E78" t="inlineStr">
        <is>
          <t>NORRTÄLJE</t>
        </is>
      </c>
      <c r="F78" t="inlineStr">
        <is>
          <t>Sveaskog</t>
        </is>
      </c>
      <c r="G78" t="n">
        <v>3.4</v>
      </c>
      <c r="H78" t="n">
        <v>3</v>
      </c>
      <c r="I78" t="n">
        <v>0</v>
      </c>
      <c r="J78" t="n">
        <v>1</v>
      </c>
      <c r="K78" t="n">
        <v>0</v>
      </c>
      <c r="L78" t="n">
        <v>0</v>
      </c>
      <c r="M78" t="n">
        <v>0</v>
      </c>
      <c r="N78" t="n">
        <v>0</v>
      </c>
      <c r="O78" t="n">
        <v>1</v>
      </c>
      <c r="P78" t="n">
        <v>0</v>
      </c>
      <c r="Q78" t="n">
        <v>3</v>
      </c>
      <c r="R78" s="2" t="inlineStr">
        <is>
          <t>Gulsparv
Slaguggla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31281-2022</t>
        </is>
      </c>
      <c r="B79" s="1" t="n">
        <v>44771</v>
      </c>
      <c r="C79" s="1" t="n">
        <v>46192</v>
      </c>
      <c r="D79" t="inlineStr">
        <is>
          <t>STOCKHOLMS LÄN</t>
        </is>
      </c>
      <c r="E79" t="inlineStr">
        <is>
          <t>NORRTÄLJE</t>
        </is>
      </c>
      <c r="F79" t="inlineStr">
        <is>
          <t>Holmen skog AB</t>
        </is>
      </c>
      <c r="G79" t="n">
        <v>5.2</v>
      </c>
      <c r="H79" t="n">
        <v>3</v>
      </c>
      <c r="I79" t="n">
        <v>0</v>
      </c>
      <c r="J79" t="n">
        <v>0</v>
      </c>
      <c r="K79" t="n">
        <v>0</v>
      </c>
      <c r="L79" t="n">
        <v>0</v>
      </c>
      <c r="M79" t="n">
        <v>0</v>
      </c>
      <c r="N79" t="n">
        <v>0</v>
      </c>
      <c r="O79" t="n">
        <v>0</v>
      </c>
      <c r="P79" t="n">
        <v>0</v>
      </c>
      <c r="Q79" t="n">
        <v>3</v>
      </c>
      <c r="R79" s="2" t="inlineStr">
        <is>
          <t>Nattskärra
Kråka
Näktergal</t>
        </is>
      </c>
      <c r="S79">
        <f>HYPERLINK("https://klasma.github.io/Logging_0188/artfynd/A 31281-2022 artfynd.xlsx", "A 31281-2022")</f>
        <v/>
      </c>
      <c r="T79">
        <f>HYPERLINK("https://klasma.github.io/Logging_0188/kartor/A 31281-2022 karta.png", "A 31281-2022")</f>
        <v/>
      </c>
      <c r="V79">
        <f>HYPERLINK("https://klasma.github.io/Logging_0188/klagomål/A 31281-2022 FSC-klagomål.docx", "A 31281-2022")</f>
        <v/>
      </c>
      <c r="W79">
        <f>HYPERLINK("https://klasma.github.io/Logging_0188/klagomålsmail/A 31281-2022 FSC-klagomål mail.docx", "A 31281-2022")</f>
        <v/>
      </c>
      <c r="X79">
        <f>HYPERLINK("https://klasma.github.io/Logging_0188/tillsyn/A 31281-2022 tillsynsbegäran.docx", "A 31281-2022")</f>
        <v/>
      </c>
      <c r="Y79">
        <f>HYPERLINK("https://klasma.github.io/Logging_0188/tillsynsmail/A 31281-2022 tillsynsbegäran mail.docx", "A 31281-2022")</f>
        <v/>
      </c>
      <c r="Z79">
        <f>HYPERLINK("https://klasma.github.io/Logging_0188/fåglar/A 31281-2022 prioriterade fågelarter.docx", "A 31281-2022")</f>
        <v/>
      </c>
    </row>
    <row r="80" ht="15" customHeight="1">
      <c r="A80" t="inlineStr">
        <is>
          <t>A 20185-2022</t>
        </is>
      </c>
      <c r="B80" s="1" t="n">
        <v>44698</v>
      </c>
      <c r="C80" s="1" t="n">
        <v>46192</v>
      </c>
      <c r="D80" t="inlineStr">
        <is>
          <t>STOCKHOLMS LÄN</t>
        </is>
      </c>
      <c r="E80" t="inlineStr">
        <is>
          <t>NORRTÄLJE</t>
        </is>
      </c>
      <c r="G80" t="n">
        <v>8.4</v>
      </c>
      <c r="H80" t="n">
        <v>1</v>
      </c>
      <c r="I80" t="n">
        <v>2</v>
      </c>
      <c r="J80" t="n">
        <v>0</v>
      </c>
      <c r="K80" t="n">
        <v>0</v>
      </c>
      <c r="L80" t="n">
        <v>0</v>
      </c>
      <c r="M80" t="n">
        <v>0</v>
      </c>
      <c r="N80" t="n">
        <v>0</v>
      </c>
      <c r="O80" t="n">
        <v>0</v>
      </c>
      <c r="P80" t="n">
        <v>0</v>
      </c>
      <c r="Q80" t="n">
        <v>3</v>
      </c>
      <c r="R80" s="2" t="inlineStr">
        <is>
          <t>Gullgröppa
Vedticka
Tallbit</t>
        </is>
      </c>
      <c r="S80">
        <f>HYPERLINK("https://klasma.github.io/Logging_0188/artfynd/A 20185-2022 artfynd.xlsx", "A 20185-2022")</f>
        <v/>
      </c>
      <c r="T80">
        <f>HYPERLINK("https://klasma.github.io/Logging_0188/kartor/A 20185-2022 karta.png", "A 20185-2022")</f>
        <v/>
      </c>
      <c r="V80">
        <f>HYPERLINK("https://klasma.github.io/Logging_0188/klagomål/A 20185-2022 FSC-klagomål.docx", "A 20185-2022")</f>
        <v/>
      </c>
      <c r="W80">
        <f>HYPERLINK("https://klasma.github.io/Logging_0188/klagomålsmail/A 20185-2022 FSC-klagomål mail.docx", "A 20185-2022")</f>
        <v/>
      </c>
      <c r="X80">
        <f>HYPERLINK("https://klasma.github.io/Logging_0188/tillsyn/A 20185-2022 tillsynsbegäran.docx", "A 20185-2022")</f>
        <v/>
      </c>
      <c r="Y80">
        <f>HYPERLINK("https://klasma.github.io/Logging_0188/tillsynsmail/A 20185-2022 tillsynsbegäran mail.docx", "A 20185-2022")</f>
        <v/>
      </c>
      <c r="Z80">
        <f>HYPERLINK("https://klasma.github.io/Logging_0188/fåglar/A 20185-2022 prioriterade fågelarter.docx", "A 20185-2022")</f>
        <v/>
      </c>
    </row>
    <row r="81" ht="15" customHeight="1">
      <c r="A81" t="inlineStr">
        <is>
          <t>A 27827-2022</t>
        </is>
      </c>
      <c r="B81" s="1" t="n">
        <v>44743</v>
      </c>
      <c r="C81" s="1" t="n">
        <v>46192</v>
      </c>
      <c r="D81" t="inlineStr">
        <is>
          <t>STOCKHOLMS LÄN</t>
        </is>
      </c>
      <c r="E81" t="inlineStr">
        <is>
          <t>NORRTÄLJE</t>
        </is>
      </c>
      <c r="F81" t="inlineStr">
        <is>
          <t>Holmen skog AB</t>
        </is>
      </c>
      <c r="G81" t="n">
        <v>4.7</v>
      </c>
      <c r="H81" t="n">
        <v>1</v>
      </c>
      <c r="I81" t="n">
        <v>0</v>
      </c>
      <c r="J81" t="n">
        <v>2</v>
      </c>
      <c r="K81" t="n">
        <v>0</v>
      </c>
      <c r="L81" t="n">
        <v>1</v>
      </c>
      <c r="M81" t="n">
        <v>0</v>
      </c>
      <c r="N81" t="n">
        <v>0</v>
      </c>
      <c r="O81" t="n">
        <v>3</v>
      </c>
      <c r="P81" t="n">
        <v>1</v>
      </c>
      <c r="Q81" t="n">
        <v>3</v>
      </c>
      <c r="R81" s="2" t="inlineStr">
        <is>
          <t>Ask
Berggräsfjäril
Nordfladdermus</t>
        </is>
      </c>
      <c r="S81">
        <f>HYPERLINK("https://klasma.github.io/Logging_0188/artfynd/A 27827-2022 artfynd.xlsx", "A 27827-2022")</f>
        <v/>
      </c>
      <c r="T81">
        <f>HYPERLINK("https://klasma.github.io/Logging_0188/kartor/A 27827-2022 karta.png", "A 27827-2022")</f>
        <v/>
      </c>
      <c r="V81">
        <f>HYPERLINK("https://klasma.github.io/Logging_0188/klagomål/A 27827-2022 FSC-klagomål.docx", "A 27827-2022")</f>
        <v/>
      </c>
      <c r="W81">
        <f>HYPERLINK("https://klasma.github.io/Logging_0188/klagomålsmail/A 27827-2022 FSC-klagomål mail.docx", "A 27827-2022")</f>
        <v/>
      </c>
      <c r="X81">
        <f>HYPERLINK("https://klasma.github.io/Logging_0188/tillsyn/A 27827-2022 tillsynsbegäran.docx", "A 27827-2022")</f>
        <v/>
      </c>
      <c r="Y81">
        <f>HYPERLINK("https://klasma.github.io/Logging_0188/tillsynsmail/A 27827-2022 tillsynsbegäran mail.docx", "A 27827-2022")</f>
        <v/>
      </c>
    </row>
    <row r="82" ht="15" customHeight="1">
      <c r="A82" t="inlineStr">
        <is>
          <t>A 364-2026</t>
        </is>
      </c>
      <c r="B82" s="1" t="n">
        <v>46027</v>
      </c>
      <c r="C82" s="1" t="n">
        <v>46192</v>
      </c>
      <c r="D82" t="inlineStr">
        <is>
          <t>STOCKHOLMS LÄN</t>
        </is>
      </c>
      <c r="E82" t="inlineStr">
        <is>
          <t>NORRTÄLJE</t>
        </is>
      </c>
      <c r="F82" t="inlineStr">
        <is>
          <t>Holmen skog AB</t>
        </is>
      </c>
      <c r="G82" t="n">
        <v>4.3</v>
      </c>
      <c r="H82" t="n">
        <v>2</v>
      </c>
      <c r="I82" t="n">
        <v>1</v>
      </c>
      <c r="J82" t="n">
        <v>1</v>
      </c>
      <c r="K82" t="n">
        <v>0</v>
      </c>
      <c r="L82" t="n">
        <v>1</v>
      </c>
      <c r="M82" t="n">
        <v>0</v>
      </c>
      <c r="N82" t="n">
        <v>0</v>
      </c>
      <c r="O82" t="n">
        <v>2</v>
      </c>
      <c r="P82" t="n">
        <v>1</v>
      </c>
      <c r="Q82" t="n">
        <v>3</v>
      </c>
      <c r="R82" s="2" t="inlineStr">
        <is>
          <t>Asknätfjäril
Vårärt
Guckusko</t>
        </is>
      </c>
      <c r="S82">
        <f>HYPERLINK("https://klasma.github.io/Logging_0188/artfynd/A 364-2026 artfynd.xlsx", "A 364-2026")</f>
        <v/>
      </c>
      <c r="T82">
        <f>HYPERLINK("https://klasma.github.io/Logging_0188/kartor/A 364-2026 karta.png", "A 364-2026")</f>
        <v/>
      </c>
      <c r="V82">
        <f>HYPERLINK("https://klasma.github.io/Logging_0188/klagomål/A 364-2026 FSC-klagomål.docx", "A 364-2026")</f>
        <v/>
      </c>
      <c r="W82">
        <f>HYPERLINK("https://klasma.github.io/Logging_0188/klagomålsmail/A 364-2026 FSC-klagomål mail.docx", "A 364-2026")</f>
        <v/>
      </c>
      <c r="X82">
        <f>HYPERLINK("https://klasma.github.io/Logging_0188/tillsyn/A 364-2026 tillsynsbegäran.docx", "A 364-2026")</f>
        <v/>
      </c>
      <c r="Y82">
        <f>HYPERLINK("https://klasma.github.io/Logging_0188/tillsynsmail/A 364-2026 tillsynsbegäran mail.docx", "A 364-2026")</f>
        <v/>
      </c>
    </row>
    <row r="83" ht="15" customHeight="1">
      <c r="A83" t="inlineStr">
        <is>
          <t>A 9914-2023</t>
        </is>
      </c>
      <c r="B83" s="1" t="n">
        <v>44985</v>
      </c>
      <c r="C83" s="1" t="n">
        <v>46192</v>
      </c>
      <c r="D83" t="inlineStr">
        <is>
          <t>STOCKHOLMS LÄN</t>
        </is>
      </c>
      <c r="E83" t="inlineStr">
        <is>
          <t>NORRTÄLJE</t>
        </is>
      </c>
      <c r="G83" t="n">
        <v>4.2</v>
      </c>
      <c r="H83" t="n">
        <v>0</v>
      </c>
      <c r="I83" t="n">
        <v>2</v>
      </c>
      <c r="J83" t="n">
        <v>1</v>
      </c>
      <c r="K83" t="n">
        <v>0</v>
      </c>
      <c r="L83" t="n">
        <v>0</v>
      </c>
      <c r="M83" t="n">
        <v>0</v>
      </c>
      <c r="N83" t="n">
        <v>0</v>
      </c>
      <c r="O83" t="n">
        <v>1</v>
      </c>
      <c r="P83" t="n">
        <v>0</v>
      </c>
      <c r="Q83" t="n">
        <v>3</v>
      </c>
      <c r="R83" s="2" t="inlineStr">
        <is>
          <t>Orange taggsvamp
Olivspindling
Zontaggsvamp</t>
        </is>
      </c>
      <c r="S83">
        <f>HYPERLINK("https://klasma.github.io/Logging_0188/artfynd/A 9914-2023 artfynd.xlsx", "A 9914-2023")</f>
        <v/>
      </c>
      <c r="T83">
        <f>HYPERLINK("https://klasma.github.io/Logging_0188/kartor/A 9914-2023 karta.png", "A 9914-2023")</f>
        <v/>
      </c>
      <c r="V83">
        <f>HYPERLINK("https://klasma.github.io/Logging_0188/klagomål/A 9914-2023 FSC-klagomål.docx", "A 9914-2023")</f>
        <v/>
      </c>
      <c r="W83">
        <f>HYPERLINK("https://klasma.github.io/Logging_0188/klagomålsmail/A 9914-2023 FSC-klagomål mail.docx", "A 9914-2023")</f>
        <v/>
      </c>
      <c r="X83">
        <f>HYPERLINK("https://klasma.github.io/Logging_0188/tillsyn/A 9914-2023 tillsynsbegäran.docx", "A 9914-2023")</f>
        <v/>
      </c>
      <c r="Y83">
        <f>HYPERLINK("https://klasma.github.io/Logging_0188/tillsynsmail/A 9914-2023 tillsynsbegäran mail.docx", "A 9914-2023")</f>
        <v/>
      </c>
    </row>
    <row r="84" ht="15" customHeight="1">
      <c r="A84" t="inlineStr">
        <is>
          <t>A 40192-2023</t>
        </is>
      </c>
      <c r="B84" s="1" t="n">
        <v>45169</v>
      </c>
      <c r="C84" s="1" t="n">
        <v>46192</v>
      </c>
      <c r="D84" t="inlineStr">
        <is>
          <t>STOCKHOLMS LÄN</t>
        </is>
      </c>
      <c r="E84" t="inlineStr">
        <is>
          <t>NORRTÄLJE</t>
        </is>
      </c>
      <c r="F84" t="inlineStr">
        <is>
          <t>Kyrkan</t>
        </is>
      </c>
      <c r="G84" t="n">
        <v>0.7</v>
      </c>
      <c r="H84" t="n">
        <v>3</v>
      </c>
      <c r="I84" t="n">
        <v>0</v>
      </c>
      <c r="J84" t="n">
        <v>0</v>
      </c>
      <c r="K84" t="n">
        <v>0</v>
      </c>
      <c r="L84" t="n">
        <v>0</v>
      </c>
      <c r="M84" t="n">
        <v>0</v>
      </c>
      <c r="N84" t="n">
        <v>0</v>
      </c>
      <c r="O84" t="n">
        <v>0</v>
      </c>
      <c r="P84" t="n">
        <v>0</v>
      </c>
      <c r="Q84" t="n">
        <v>3</v>
      </c>
      <c r="R84" s="2" t="inlineStr">
        <is>
          <t>Grönsiska
Skogsduva
Törnskata</t>
        </is>
      </c>
      <c r="S84">
        <f>HYPERLINK("https://klasma.github.io/Logging_0188/artfynd/A 40192-2023 artfynd.xlsx", "A 40192-2023")</f>
        <v/>
      </c>
      <c r="T84">
        <f>HYPERLINK("https://klasma.github.io/Logging_0188/kartor/A 40192-2023 karta.png", "A 40192-2023")</f>
        <v/>
      </c>
      <c r="V84">
        <f>HYPERLINK("https://klasma.github.io/Logging_0188/klagomål/A 40192-2023 FSC-klagomål.docx", "A 40192-2023")</f>
        <v/>
      </c>
      <c r="W84">
        <f>HYPERLINK("https://klasma.github.io/Logging_0188/klagomålsmail/A 40192-2023 FSC-klagomål mail.docx", "A 40192-2023")</f>
        <v/>
      </c>
      <c r="X84">
        <f>HYPERLINK("https://klasma.github.io/Logging_0188/tillsyn/A 40192-2023 tillsynsbegäran.docx", "A 40192-2023")</f>
        <v/>
      </c>
      <c r="Y84">
        <f>HYPERLINK("https://klasma.github.io/Logging_0188/tillsynsmail/A 40192-2023 tillsynsbegäran mail.docx", "A 40192-2023")</f>
        <v/>
      </c>
      <c r="Z84">
        <f>HYPERLINK("https://klasma.github.io/Logging_0188/fåglar/A 40192-2023 prioriterade fågelarter.docx", "A 40192-2023")</f>
        <v/>
      </c>
    </row>
    <row r="85" ht="15" customHeight="1">
      <c r="A85" t="inlineStr">
        <is>
          <t>A 15886-2026</t>
        </is>
      </c>
      <c r="B85" s="1" t="n">
        <v>46107</v>
      </c>
      <c r="C85" s="1" t="n">
        <v>46192</v>
      </c>
      <c r="D85" t="inlineStr">
        <is>
          <t>STOCKHOLMS LÄN</t>
        </is>
      </c>
      <c r="E85" t="inlineStr">
        <is>
          <t>NORRTÄLJE</t>
        </is>
      </c>
      <c r="G85" t="n">
        <v>1.3</v>
      </c>
      <c r="H85" t="n">
        <v>2</v>
      </c>
      <c r="I85" t="n">
        <v>0</v>
      </c>
      <c r="J85" t="n">
        <v>1</v>
      </c>
      <c r="K85" t="n">
        <v>1</v>
      </c>
      <c r="L85" t="n">
        <v>0</v>
      </c>
      <c r="M85" t="n">
        <v>0</v>
      </c>
      <c r="N85" t="n">
        <v>0</v>
      </c>
      <c r="O85" t="n">
        <v>2</v>
      </c>
      <c r="P85" t="n">
        <v>1</v>
      </c>
      <c r="Q85" t="n">
        <v>3</v>
      </c>
      <c r="R85" s="2" t="inlineStr">
        <is>
          <t>Grönfink
Backklöver
Trädlärka</t>
        </is>
      </c>
      <c r="S85">
        <f>HYPERLINK("https://klasma.github.io/Logging_0188/artfynd/A 15886-2026 artfynd.xlsx", "A 15886-2026")</f>
        <v/>
      </c>
      <c r="T85">
        <f>HYPERLINK("https://klasma.github.io/Logging_0188/kartor/A 15886-2026 karta.png", "A 15886-2026")</f>
        <v/>
      </c>
      <c r="V85">
        <f>HYPERLINK("https://klasma.github.io/Logging_0188/klagomål/A 15886-2026 FSC-klagomål.docx", "A 15886-2026")</f>
        <v/>
      </c>
      <c r="W85">
        <f>HYPERLINK("https://klasma.github.io/Logging_0188/klagomålsmail/A 15886-2026 FSC-klagomål mail.docx", "A 15886-2026")</f>
        <v/>
      </c>
      <c r="X85">
        <f>HYPERLINK("https://klasma.github.io/Logging_0188/tillsyn/A 15886-2026 tillsynsbegäran.docx", "A 15886-2026")</f>
        <v/>
      </c>
      <c r="Y85">
        <f>HYPERLINK("https://klasma.github.io/Logging_0188/tillsynsmail/A 15886-2026 tillsynsbegäran mail.docx", "A 15886-2026")</f>
        <v/>
      </c>
      <c r="Z85">
        <f>HYPERLINK("https://klasma.github.io/Logging_0188/fåglar/A 15886-2026 prioriterade fågelarter.docx", "A 15886-2026")</f>
        <v/>
      </c>
    </row>
    <row r="86" ht="15" customHeight="1">
      <c r="A86" t="inlineStr">
        <is>
          <t>A 50618-2022</t>
        </is>
      </c>
      <c r="B86" s="1" t="n">
        <v>44866</v>
      </c>
      <c r="C86" s="1" t="n">
        <v>46192</v>
      </c>
      <c r="D86" t="inlineStr">
        <is>
          <t>STOCKHOLMS LÄN</t>
        </is>
      </c>
      <c r="E86" t="inlineStr">
        <is>
          <t>NORRTÄLJE</t>
        </is>
      </c>
      <c r="G86" t="n">
        <v>7.8</v>
      </c>
      <c r="H86" t="n">
        <v>2</v>
      </c>
      <c r="I86" t="n">
        <v>1</v>
      </c>
      <c r="J86" t="n">
        <v>1</v>
      </c>
      <c r="K86" t="n">
        <v>0</v>
      </c>
      <c r="L86" t="n">
        <v>0</v>
      </c>
      <c r="M86" t="n">
        <v>0</v>
      </c>
      <c r="N86" t="n">
        <v>0</v>
      </c>
      <c r="O86" t="n">
        <v>1</v>
      </c>
      <c r="P86" t="n">
        <v>0</v>
      </c>
      <c r="Q86" t="n">
        <v>3</v>
      </c>
      <c r="R86" s="2" t="inlineStr">
        <is>
          <t>Vårärt
Skogsknipprot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23548-2026</t>
        </is>
      </c>
      <c r="B87" s="1" t="n">
        <v>46163</v>
      </c>
      <c r="C87" s="1" t="n">
        <v>46192</v>
      </c>
      <c r="D87" t="inlineStr">
        <is>
          <t>STOCKHOLMS LÄN</t>
        </is>
      </c>
      <c r="E87" t="inlineStr">
        <is>
          <t>NORRTÄLJE</t>
        </is>
      </c>
      <c r="G87" t="n">
        <v>2.3</v>
      </c>
      <c r="H87" t="n">
        <v>2</v>
      </c>
      <c r="I87" t="n">
        <v>0</v>
      </c>
      <c r="J87" t="n">
        <v>1</v>
      </c>
      <c r="K87" t="n">
        <v>0</v>
      </c>
      <c r="L87" t="n">
        <v>0</v>
      </c>
      <c r="M87" t="n">
        <v>0</v>
      </c>
      <c r="N87" t="n">
        <v>0</v>
      </c>
      <c r="O87" t="n">
        <v>1</v>
      </c>
      <c r="P87" t="n">
        <v>0</v>
      </c>
      <c r="Q87" t="n">
        <v>3</v>
      </c>
      <c r="R87" s="2" t="inlineStr">
        <is>
          <t>Backklöver
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33546-2025</t>
        </is>
      </c>
      <c r="B88" s="1" t="n">
        <v>45841</v>
      </c>
      <c r="C88" s="1" t="n">
        <v>46192</v>
      </c>
      <c r="D88" t="inlineStr">
        <is>
          <t>STOCKHOLMS LÄN</t>
        </is>
      </c>
      <c r="E88" t="inlineStr">
        <is>
          <t>NORRTÄLJE</t>
        </is>
      </c>
      <c r="G88" t="n">
        <v>7.2</v>
      </c>
      <c r="H88" t="n">
        <v>1</v>
      </c>
      <c r="I88" t="n">
        <v>3</v>
      </c>
      <c r="J88" t="n">
        <v>0</v>
      </c>
      <c r="K88" t="n">
        <v>0</v>
      </c>
      <c r="L88" t="n">
        <v>0</v>
      </c>
      <c r="M88" t="n">
        <v>0</v>
      </c>
      <c r="N88" t="n">
        <v>0</v>
      </c>
      <c r="O88" t="n">
        <v>0</v>
      </c>
      <c r="P88" t="n">
        <v>0</v>
      </c>
      <c r="Q88" t="n">
        <v>3</v>
      </c>
      <c r="R88" s="2" t="inlineStr">
        <is>
          <t>Fällmossa
Nästrot
Platt fjädermossa</t>
        </is>
      </c>
      <c r="S88">
        <f>HYPERLINK("https://klasma.github.io/Logging_0188/artfynd/A 33546-2025 artfynd.xlsx", "A 33546-2025")</f>
        <v/>
      </c>
      <c r="T88">
        <f>HYPERLINK("https://klasma.github.io/Logging_0188/kartor/A 33546-2025 karta.png", "A 33546-2025")</f>
        <v/>
      </c>
      <c r="V88">
        <f>HYPERLINK("https://klasma.github.io/Logging_0188/klagomål/A 33546-2025 FSC-klagomål.docx", "A 33546-2025")</f>
        <v/>
      </c>
      <c r="W88">
        <f>HYPERLINK("https://klasma.github.io/Logging_0188/klagomålsmail/A 33546-2025 FSC-klagomål mail.docx", "A 33546-2025")</f>
        <v/>
      </c>
      <c r="X88">
        <f>HYPERLINK("https://klasma.github.io/Logging_0188/tillsyn/A 33546-2025 tillsynsbegäran.docx", "A 33546-2025")</f>
        <v/>
      </c>
      <c r="Y88">
        <f>HYPERLINK("https://klasma.github.io/Logging_0188/tillsynsmail/A 33546-2025 tillsynsbegäran mail.docx", "A 33546-2025")</f>
        <v/>
      </c>
    </row>
    <row r="89" ht="15" customHeight="1">
      <c r="A89" t="inlineStr">
        <is>
          <t>A 14365-2025</t>
        </is>
      </c>
      <c r="B89" s="1" t="n">
        <v>45741</v>
      </c>
      <c r="C89" s="1" t="n">
        <v>46192</v>
      </c>
      <c r="D89" t="inlineStr">
        <is>
          <t>STOCKHOLMS LÄN</t>
        </is>
      </c>
      <c r="E89" t="inlineStr">
        <is>
          <t>NORRTÄLJE</t>
        </is>
      </c>
      <c r="G89" t="n">
        <v>2.4</v>
      </c>
      <c r="H89" t="n">
        <v>1</v>
      </c>
      <c r="I89" t="n">
        <v>1</v>
      </c>
      <c r="J89" t="n">
        <v>2</v>
      </c>
      <c r="K89" t="n">
        <v>0</v>
      </c>
      <c r="L89" t="n">
        <v>0</v>
      </c>
      <c r="M89" t="n">
        <v>0</v>
      </c>
      <c r="N89" t="n">
        <v>0</v>
      </c>
      <c r="O89" t="n">
        <v>2</v>
      </c>
      <c r="P89" t="n">
        <v>0</v>
      </c>
      <c r="Q89" t="n">
        <v>3</v>
      </c>
      <c r="R89" s="2" t="inlineStr">
        <is>
          <t>Adam och eva
Jungfrulin
Underviol</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16870-2025</t>
        </is>
      </c>
      <c r="B90" s="1" t="n">
        <v>45754</v>
      </c>
      <c r="C90" s="1" t="n">
        <v>46192</v>
      </c>
      <c r="D90" t="inlineStr">
        <is>
          <t>STOCKHOLMS LÄN</t>
        </is>
      </c>
      <c r="E90" t="inlineStr">
        <is>
          <t>NORRTÄLJE</t>
        </is>
      </c>
      <c r="G90" t="n">
        <v>24.6</v>
      </c>
      <c r="H90" t="n">
        <v>1</v>
      </c>
      <c r="I90" t="n">
        <v>0</v>
      </c>
      <c r="J90" t="n">
        <v>0</v>
      </c>
      <c r="K90" t="n">
        <v>0</v>
      </c>
      <c r="L90" t="n">
        <v>0</v>
      </c>
      <c r="M90" t="n">
        <v>0</v>
      </c>
      <c r="N90" t="n">
        <v>0</v>
      </c>
      <c r="O90" t="n">
        <v>0</v>
      </c>
      <c r="P90" t="n">
        <v>0</v>
      </c>
      <c r="Q90" t="n">
        <v>3</v>
      </c>
      <c r="R90" s="2" t="inlineStr">
        <is>
          <t>Getrams
Kärrviol
Vanlig groda</t>
        </is>
      </c>
      <c r="S90">
        <f>HYPERLINK("https://klasma.github.io/Logging_0188/artfynd/A 16870-2025 artfynd.xlsx", "A 16870-2025")</f>
        <v/>
      </c>
      <c r="T90">
        <f>HYPERLINK("https://klasma.github.io/Logging_0188/kartor/A 16870-2025 karta.png", "A 16870-2025")</f>
        <v/>
      </c>
      <c r="V90">
        <f>HYPERLINK("https://klasma.github.io/Logging_0188/klagomål/A 16870-2025 FSC-klagomål.docx", "A 16870-2025")</f>
        <v/>
      </c>
      <c r="W90">
        <f>HYPERLINK("https://klasma.github.io/Logging_0188/klagomålsmail/A 16870-2025 FSC-klagomål mail.docx", "A 16870-2025")</f>
        <v/>
      </c>
      <c r="X90">
        <f>HYPERLINK("https://klasma.github.io/Logging_0188/tillsyn/A 16870-2025 tillsynsbegäran.docx", "A 16870-2025")</f>
        <v/>
      </c>
      <c r="Y90">
        <f>HYPERLINK("https://klasma.github.io/Logging_0188/tillsynsmail/A 16870-2025 tillsynsbegäran mail.docx", "A 16870-2025")</f>
        <v/>
      </c>
    </row>
    <row r="91" ht="15" customHeight="1">
      <c r="A91" t="inlineStr">
        <is>
          <t>A 26525-2026</t>
        </is>
      </c>
      <c r="B91" s="1" t="n">
        <v>46183</v>
      </c>
      <c r="C91" s="1" t="n">
        <v>46192</v>
      </c>
      <c r="D91" t="inlineStr">
        <is>
          <t>STOCKHOLMS LÄN</t>
        </is>
      </c>
      <c r="E91" t="inlineStr">
        <is>
          <t>NORRTÄLJE</t>
        </is>
      </c>
      <c r="G91" t="n">
        <v>2.4</v>
      </c>
      <c r="H91" t="n">
        <v>0</v>
      </c>
      <c r="I91" t="n">
        <v>1</v>
      </c>
      <c r="J91" t="n">
        <v>2</v>
      </c>
      <c r="K91" t="n">
        <v>0</v>
      </c>
      <c r="L91" t="n">
        <v>0</v>
      </c>
      <c r="M91" t="n">
        <v>0</v>
      </c>
      <c r="N91" t="n">
        <v>0</v>
      </c>
      <c r="O91" t="n">
        <v>2</v>
      </c>
      <c r="P91" t="n">
        <v>0</v>
      </c>
      <c r="Q91" t="n">
        <v>3</v>
      </c>
      <c r="R91" s="2" t="inlineStr">
        <is>
          <t>Fjällig taggsvamp s.str.
Skarp dropptaggsvamp
Olivspindling</t>
        </is>
      </c>
      <c r="S91">
        <f>HYPERLINK("https://klasma.github.io/Logging_0188/artfynd/A 26525-2026 artfynd.xlsx", "A 26525-2026")</f>
        <v/>
      </c>
      <c r="T91">
        <f>HYPERLINK("https://klasma.github.io/Logging_0188/kartor/A 26525-2026 karta.png", "A 26525-2026")</f>
        <v/>
      </c>
      <c r="V91">
        <f>HYPERLINK("https://klasma.github.io/Logging_0188/klagomål/A 26525-2026 FSC-klagomål.docx", "A 26525-2026")</f>
        <v/>
      </c>
      <c r="W91">
        <f>HYPERLINK("https://klasma.github.io/Logging_0188/klagomålsmail/A 26525-2026 FSC-klagomål mail.docx", "A 26525-2026")</f>
        <v/>
      </c>
      <c r="X91">
        <f>HYPERLINK("https://klasma.github.io/Logging_0188/tillsyn/A 26525-2026 tillsynsbegäran.docx", "A 26525-2026")</f>
        <v/>
      </c>
      <c r="Y91">
        <f>HYPERLINK("https://klasma.github.io/Logging_0188/tillsynsmail/A 26525-2026 tillsynsbegäran mail.docx", "A 26525-2026")</f>
        <v/>
      </c>
    </row>
    <row r="92" ht="15" customHeight="1">
      <c r="A92" t="inlineStr">
        <is>
          <t>A 26399-2026</t>
        </is>
      </c>
      <c r="B92" s="1" t="n">
        <v>46183</v>
      </c>
      <c r="C92" s="1" t="n">
        <v>46192</v>
      </c>
      <c r="D92" t="inlineStr">
        <is>
          <t>STOCKHOLMS LÄN</t>
        </is>
      </c>
      <c r="E92" t="inlineStr">
        <is>
          <t>NORRTÄLJE</t>
        </is>
      </c>
      <c r="G92" t="n">
        <v>7.4</v>
      </c>
      <c r="H92" t="n">
        <v>1</v>
      </c>
      <c r="I92" t="n">
        <v>1</v>
      </c>
      <c r="J92" t="n">
        <v>1</v>
      </c>
      <c r="K92" t="n">
        <v>0</v>
      </c>
      <c r="L92" t="n">
        <v>1</v>
      </c>
      <c r="M92" t="n">
        <v>0</v>
      </c>
      <c r="N92" t="n">
        <v>0</v>
      </c>
      <c r="O92" t="n">
        <v>2</v>
      </c>
      <c r="P92" t="n">
        <v>1</v>
      </c>
      <c r="Q92" t="n">
        <v>3</v>
      </c>
      <c r="R92" s="2" t="inlineStr">
        <is>
          <t>Asknätfjäril
Spinnfingersvamp
Stor aspticka</t>
        </is>
      </c>
      <c r="S92">
        <f>HYPERLINK("https://klasma.github.io/Logging_0188/artfynd/A 26399-2026 artfynd.xlsx", "A 26399-2026")</f>
        <v/>
      </c>
      <c r="T92">
        <f>HYPERLINK("https://klasma.github.io/Logging_0188/kartor/A 26399-2026 karta.png", "A 26399-2026")</f>
        <v/>
      </c>
      <c r="V92">
        <f>HYPERLINK("https://klasma.github.io/Logging_0188/klagomål/A 26399-2026 FSC-klagomål.docx", "A 26399-2026")</f>
        <v/>
      </c>
      <c r="W92">
        <f>HYPERLINK("https://klasma.github.io/Logging_0188/klagomålsmail/A 26399-2026 FSC-klagomål mail.docx", "A 26399-2026")</f>
        <v/>
      </c>
      <c r="X92">
        <f>HYPERLINK("https://klasma.github.io/Logging_0188/tillsyn/A 26399-2026 tillsynsbegäran.docx", "A 26399-2026")</f>
        <v/>
      </c>
      <c r="Y92">
        <f>HYPERLINK("https://klasma.github.io/Logging_0188/tillsynsmail/A 26399-2026 tillsynsbegäran mail.docx", "A 26399-2026")</f>
        <v/>
      </c>
    </row>
    <row r="93" ht="15" customHeight="1">
      <c r="A93" t="inlineStr">
        <is>
          <t>A 5351-2022</t>
        </is>
      </c>
      <c r="B93" s="1" t="n">
        <v>44594</v>
      </c>
      <c r="C93" s="1" t="n">
        <v>46192</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52825-2023</t>
        </is>
      </c>
      <c r="B94" s="1" t="n">
        <v>45226</v>
      </c>
      <c r="C94" s="1" t="n">
        <v>46192</v>
      </c>
      <c r="D94" t="inlineStr">
        <is>
          <t>STOCKHOLMS LÄN</t>
        </is>
      </c>
      <c r="E94" t="inlineStr">
        <is>
          <t>NORRTÄLJE</t>
        </is>
      </c>
      <c r="G94" t="n">
        <v>1</v>
      </c>
      <c r="H94" t="n">
        <v>0</v>
      </c>
      <c r="I94" t="n">
        <v>1</v>
      </c>
      <c r="J94" t="n">
        <v>1</v>
      </c>
      <c r="K94" t="n">
        <v>0</v>
      </c>
      <c r="L94" t="n">
        <v>0</v>
      </c>
      <c r="M94" t="n">
        <v>0</v>
      </c>
      <c r="N94" t="n">
        <v>0</v>
      </c>
      <c r="O94" t="n">
        <v>1</v>
      </c>
      <c r="P94" t="n">
        <v>0</v>
      </c>
      <c r="Q94" t="n">
        <v>2</v>
      </c>
      <c r="R94" s="2" t="inlineStr">
        <is>
          <t>Fjällig taggsvamp s.str.
Strimspindling</t>
        </is>
      </c>
      <c r="S94">
        <f>HYPERLINK("https://klasma.github.io/Logging_0188/artfynd/A 52825-2023 artfynd.xlsx", "A 52825-2023")</f>
        <v/>
      </c>
      <c r="T94">
        <f>HYPERLINK("https://klasma.github.io/Logging_0188/kartor/A 52825-2023 karta.png", "A 52825-2023")</f>
        <v/>
      </c>
      <c r="V94">
        <f>HYPERLINK("https://klasma.github.io/Logging_0188/klagomål/A 52825-2023 FSC-klagomål.docx", "A 52825-2023")</f>
        <v/>
      </c>
      <c r="W94">
        <f>HYPERLINK("https://klasma.github.io/Logging_0188/klagomålsmail/A 52825-2023 FSC-klagomål mail.docx", "A 52825-2023")</f>
        <v/>
      </c>
      <c r="X94">
        <f>HYPERLINK("https://klasma.github.io/Logging_0188/tillsyn/A 52825-2023 tillsynsbegäran.docx", "A 52825-2023")</f>
        <v/>
      </c>
      <c r="Y94">
        <f>HYPERLINK("https://klasma.github.io/Logging_0188/tillsynsmail/A 52825-2023 tillsynsbegäran mail.docx", "A 52825-2023")</f>
        <v/>
      </c>
    </row>
    <row r="95" ht="15" customHeight="1">
      <c r="A95" t="inlineStr">
        <is>
          <t>A 62030-2021</t>
        </is>
      </c>
      <c r="B95" s="1" t="n">
        <v>44502</v>
      </c>
      <c r="C95" s="1" t="n">
        <v>46192</v>
      </c>
      <c r="D95" t="inlineStr">
        <is>
          <t>STOCKHOLMS LÄN</t>
        </is>
      </c>
      <c r="E95" t="inlineStr">
        <is>
          <t>NORRTÄLJE</t>
        </is>
      </c>
      <c r="G95" t="n">
        <v>4.7</v>
      </c>
      <c r="H95" t="n">
        <v>2</v>
      </c>
      <c r="I95" t="n">
        <v>1</v>
      </c>
      <c r="J95" t="n">
        <v>0</v>
      </c>
      <c r="K95" t="n">
        <v>0</v>
      </c>
      <c r="L95" t="n">
        <v>0</v>
      </c>
      <c r="M95" t="n">
        <v>0</v>
      </c>
      <c r="N95" t="n">
        <v>0</v>
      </c>
      <c r="O95" t="n">
        <v>0</v>
      </c>
      <c r="P95" t="n">
        <v>0</v>
      </c>
      <c r="Q95" t="n">
        <v>2</v>
      </c>
      <c r="R95" s="2" t="inlineStr">
        <is>
          <t>Tvåblad
Slaguggla</t>
        </is>
      </c>
      <c r="S95">
        <f>HYPERLINK("https://klasma.github.io/Logging_0188/artfynd/A 62030-2021 artfynd.xlsx", "A 62030-2021")</f>
        <v/>
      </c>
      <c r="T95">
        <f>HYPERLINK("https://klasma.github.io/Logging_0188/kartor/A 62030-2021 karta.png", "A 62030-2021")</f>
        <v/>
      </c>
      <c r="V95">
        <f>HYPERLINK("https://klasma.github.io/Logging_0188/klagomål/A 62030-2021 FSC-klagomål.docx", "A 62030-2021")</f>
        <v/>
      </c>
      <c r="W95">
        <f>HYPERLINK("https://klasma.github.io/Logging_0188/klagomålsmail/A 62030-2021 FSC-klagomål mail.docx", "A 62030-2021")</f>
        <v/>
      </c>
      <c r="X95">
        <f>HYPERLINK("https://klasma.github.io/Logging_0188/tillsyn/A 62030-2021 tillsynsbegäran.docx", "A 62030-2021")</f>
        <v/>
      </c>
      <c r="Y95">
        <f>HYPERLINK("https://klasma.github.io/Logging_0188/tillsynsmail/A 62030-2021 tillsynsbegäran mail.docx", "A 62030-2021")</f>
        <v/>
      </c>
      <c r="Z95">
        <f>HYPERLINK("https://klasma.github.io/Logging_0188/fåglar/A 62030-2021 prioriterade fågelarter.docx", "A 62030-2021")</f>
        <v/>
      </c>
    </row>
    <row r="96" ht="15" customHeight="1">
      <c r="A96" t="inlineStr">
        <is>
          <t>A 41823-2021</t>
        </is>
      </c>
      <c r="B96" s="1" t="n">
        <v>44425</v>
      </c>
      <c r="C96" s="1" t="n">
        <v>46192</v>
      </c>
      <c r="D96" t="inlineStr">
        <is>
          <t>STOCKHOLMS LÄN</t>
        </is>
      </c>
      <c r="E96" t="inlineStr">
        <is>
          <t>NORRTÄLJE</t>
        </is>
      </c>
      <c r="G96" t="n">
        <v>2.4</v>
      </c>
      <c r="H96" t="n">
        <v>0</v>
      </c>
      <c r="I96" t="n">
        <v>0</v>
      </c>
      <c r="J96" t="n">
        <v>1</v>
      </c>
      <c r="K96" t="n">
        <v>1</v>
      </c>
      <c r="L96" t="n">
        <v>0</v>
      </c>
      <c r="M96" t="n">
        <v>0</v>
      </c>
      <c r="N96" t="n">
        <v>0</v>
      </c>
      <c r="O96" t="n">
        <v>2</v>
      </c>
      <c r="P96" t="n">
        <v>1</v>
      </c>
      <c r="Q96" t="n">
        <v>2</v>
      </c>
      <c r="R96" s="2" t="inlineStr">
        <is>
          <t>Fläckfingersvamp
Orange taggsvamp</t>
        </is>
      </c>
      <c r="S96">
        <f>HYPERLINK("https://klasma.github.io/Logging_0188/artfynd/A 41823-2021 artfynd.xlsx", "A 41823-2021")</f>
        <v/>
      </c>
      <c r="T96">
        <f>HYPERLINK("https://klasma.github.io/Logging_0188/kartor/A 41823-2021 karta.png", "A 41823-2021")</f>
        <v/>
      </c>
      <c r="V96">
        <f>HYPERLINK("https://klasma.github.io/Logging_0188/klagomål/A 41823-2021 FSC-klagomål.docx", "A 41823-2021")</f>
        <v/>
      </c>
      <c r="W96">
        <f>HYPERLINK("https://klasma.github.io/Logging_0188/klagomålsmail/A 41823-2021 FSC-klagomål mail.docx", "A 41823-2021")</f>
        <v/>
      </c>
      <c r="X96">
        <f>HYPERLINK("https://klasma.github.io/Logging_0188/tillsyn/A 41823-2021 tillsynsbegäran.docx", "A 41823-2021")</f>
        <v/>
      </c>
      <c r="Y96">
        <f>HYPERLINK("https://klasma.github.io/Logging_0188/tillsynsmail/A 41823-2021 tillsynsbegäran mail.docx", "A 41823-2021")</f>
        <v/>
      </c>
    </row>
    <row r="97" ht="15" customHeight="1">
      <c r="A97" t="inlineStr">
        <is>
          <t>A 38991-2022</t>
        </is>
      </c>
      <c r="B97" s="1" t="n">
        <v>44816</v>
      </c>
      <c r="C97" s="1" t="n">
        <v>46192</v>
      </c>
      <c r="D97" t="inlineStr">
        <is>
          <t>STOCKHOLMS LÄN</t>
        </is>
      </c>
      <c r="E97" t="inlineStr">
        <is>
          <t>NORRTÄLJE</t>
        </is>
      </c>
      <c r="G97" t="n">
        <v>1.9</v>
      </c>
      <c r="H97" t="n">
        <v>0</v>
      </c>
      <c r="I97" t="n">
        <v>2</v>
      </c>
      <c r="J97" t="n">
        <v>0</v>
      </c>
      <c r="K97" t="n">
        <v>0</v>
      </c>
      <c r="L97" t="n">
        <v>0</v>
      </c>
      <c r="M97" t="n">
        <v>0</v>
      </c>
      <c r="N97" t="n">
        <v>0</v>
      </c>
      <c r="O97" t="n">
        <v>0</v>
      </c>
      <c r="P97" t="n">
        <v>0</v>
      </c>
      <c r="Q97" t="n">
        <v>2</v>
      </c>
      <c r="R97" s="2" t="inlineStr">
        <is>
          <t>Bronshjon
Grovticka</t>
        </is>
      </c>
      <c r="S97">
        <f>HYPERLINK("https://klasma.github.io/Logging_0188/artfynd/A 38991-2022 artfynd.xlsx", "A 38991-2022")</f>
        <v/>
      </c>
      <c r="T97">
        <f>HYPERLINK("https://klasma.github.io/Logging_0188/kartor/A 38991-2022 karta.png", "A 38991-2022")</f>
        <v/>
      </c>
      <c r="V97">
        <f>HYPERLINK("https://klasma.github.io/Logging_0188/klagomål/A 38991-2022 FSC-klagomål.docx", "A 38991-2022")</f>
        <v/>
      </c>
      <c r="W97">
        <f>HYPERLINK("https://klasma.github.io/Logging_0188/klagomålsmail/A 38991-2022 FSC-klagomål mail.docx", "A 38991-2022")</f>
        <v/>
      </c>
      <c r="X97">
        <f>HYPERLINK("https://klasma.github.io/Logging_0188/tillsyn/A 38991-2022 tillsynsbegäran.docx", "A 38991-2022")</f>
        <v/>
      </c>
      <c r="Y97">
        <f>HYPERLINK("https://klasma.github.io/Logging_0188/tillsynsmail/A 38991-2022 tillsynsbegäran mail.docx", "A 38991-2022")</f>
        <v/>
      </c>
    </row>
    <row r="98" ht="15" customHeight="1">
      <c r="A98" t="inlineStr">
        <is>
          <t>A 22456-2023</t>
        </is>
      </c>
      <c r="B98" s="1" t="n">
        <v>45070</v>
      </c>
      <c r="C98" s="1" t="n">
        <v>46192</v>
      </c>
      <c r="D98" t="inlineStr">
        <is>
          <t>STOCKHOLMS LÄN</t>
        </is>
      </c>
      <c r="E98" t="inlineStr">
        <is>
          <t>NORRTÄLJE</t>
        </is>
      </c>
      <c r="G98" t="n">
        <v>3.1</v>
      </c>
      <c r="H98" t="n">
        <v>1</v>
      </c>
      <c r="I98" t="n">
        <v>1</v>
      </c>
      <c r="J98" t="n">
        <v>0</v>
      </c>
      <c r="K98" t="n">
        <v>0</v>
      </c>
      <c r="L98" t="n">
        <v>1</v>
      </c>
      <c r="M98" t="n">
        <v>0</v>
      </c>
      <c r="N98" t="n">
        <v>0</v>
      </c>
      <c r="O98" t="n">
        <v>1</v>
      </c>
      <c r="P98" t="n">
        <v>1</v>
      </c>
      <c r="Q98" t="n">
        <v>2</v>
      </c>
      <c r="R98" s="2" t="inlineStr">
        <is>
          <t>Asknätfjäril
Underviol</t>
        </is>
      </c>
      <c r="S98">
        <f>HYPERLINK("https://klasma.github.io/Logging_0188/artfynd/A 22456-2023 artfynd.xlsx", "A 22456-2023")</f>
        <v/>
      </c>
      <c r="T98">
        <f>HYPERLINK("https://klasma.github.io/Logging_0188/kartor/A 22456-2023 karta.png", "A 22456-2023")</f>
        <v/>
      </c>
      <c r="V98">
        <f>HYPERLINK("https://klasma.github.io/Logging_0188/klagomål/A 22456-2023 FSC-klagomål.docx", "A 22456-2023")</f>
        <v/>
      </c>
      <c r="W98">
        <f>HYPERLINK("https://klasma.github.io/Logging_0188/klagomålsmail/A 22456-2023 FSC-klagomål mail.docx", "A 22456-2023")</f>
        <v/>
      </c>
      <c r="X98">
        <f>HYPERLINK("https://klasma.github.io/Logging_0188/tillsyn/A 22456-2023 tillsynsbegäran.docx", "A 22456-2023")</f>
        <v/>
      </c>
      <c r="Y98">
        <f>HYPERLINK("https://klasma.github.io/Logging_0188/tillsynsmail/A 22456-2023 tillsynsbegäran mail.docx", "A 22456-2023")</f>
        <v/>
      </c>
    </row>
    <row r="99" ht="15" customHeight="1">
      <c r="A99" t="inlineStr">
        <is>
          <t>A 50097-2025</t>
        </is>
      </c>
      <c r="B99" s="1" t="n">
        <v>45943</v>
      </c>
      <c r="C99" s="1" t="n">
        <v>46192</v>
      </c>
      <c r="D99" t="inlineStr">
        <is>
          <t>STOCKHOLMS LÄN</t>
        </is>
      </c>
      <c r="E99" t="inlineStr">
        <is>
          <t>NORRTÄLJE</t>
        </is>
      </c>
      <c r="F99" t="inlineStr">
        <is>
          <t>Holmen skog AB</t>
        </is>
      </c>
      <c r="G99" t="n">
        <v>12</v>
      </c>
      <c r="H99" t="n">
        <v>1</v>
      </c>
      <c r="I99" t="n">
        <v>0</v>
      </c>
      <c r="J99" t="n">
        <v>1</v>
      </c>
      <c r="K99" t="n">
        <v>0</v>
      </c>
      <c r="L99" t="n">
        <v>1</v>
      </c>
      <c r="M99" t="n">
        <v>0</v>
      </c>
      <c r="N99" t="n">
        <v>0</v>
      </c>
      <c r="O99" t="n">
        <v>2</v>
      </c>
      <c r="P99" t="n">
        <v>1</v>
      </c>
      <c r="Q99" t="n">
        <v>2</v>
      </c>
      <c r="R99" s="2" t="inlineStr">
        <is>
          <t>Asknätfjäril
Kattfotslav</t>
        </is>
      </c>
      <c r="S99">
        <f>HYPERLINK("https://klasma.github.io/Logging_0188/artfynd/A 50097-2025 artfynd.xlsx", "A 50097-2025")</f>
        <v/>
      </c>
      <c r="T99">
        <f>HYPERLINK("https://klasma.github.io/Logging_0188/kartor/A 50097-2025 karta.png", "A 50097-2025")</f>
        <v/>
      </c>
      <c r="V99">
        <f>HYPERLINK("https://klasma.github.io/Logging_0188/klagomål/A 50097-2025 FSC-klagomål.docx", "A 50097-2025")</f>
        <v/>
      </c>
      <c r="W99">
        <f>HYPERLINK("https://klasma.github.io/Logging_0188/klagomålsmail/A 50097-2025 FSC-klagomål mail.docx", "A 50097-2025")</f>
        <v/>
      </c>
      <c r="X99">
        <f>HYPERLINK("https://klasma.github.io/Logging_0188/tillsyn/A 50097-2025 tillsynsbegäran.docx", "A 50097-2025")</f>
        <v/>
      </c>
      <c r="Y99">
        <f>HYPERLINK("https://klasma.github.io/Logging_0188/tillsynsmail/A 50097-2025 tillsynsbegäran mail.docx", "A 50097-2025")</f>
        <v/>
      </c>
    </row>
    <row r="100" ht="15" customHeight="1">
      <c r="A100" t="inlineStr">
        <is>
          <t>A 50697-2025</t>
        </is>
      </c>
      <c r="B100" s="1" t="n">
        <v>45945</v>
      </c>
      <c r="C100" s="1" t="n">
        <v>46192</v>
      </c>
      <c r="D100" t="inlineStr">
        <is>
          <t>STOCKHOLMS LÄN</t>
        </is>
      </c>
      <c r="E100" t="inlineStr">
        <is>
          <t>NORRTÄLJE</t>
        </is>
      </c>
      <c r="G100" t="n">
        <v>5.5</v>
      </c>
      <c r="H100" t="n">
        <v>0</v>
      </c>
      <c r="I100" t="n">
        <v>0</v>
      </c>
      <c r="J100" t="n">
        <v>2</v>
      </c>
      <c r="K100" t="n">
        <v>0</v>
      </c>
      <c r="L100" t="n">
        <v>0</v>
      </c>
      <c r="M100" t="n">
        <v>0</v>
      </c>
      <c r="N100" t="n">
        <v>0</v>
      </c>
      <c r="O100" t="n">
        <v>2</v>
      </c>
      <c r="P100" t="n">
        <v>0</v>
      </c>
      <c r="Q100" t="n">
        <v>2</v>
      </c>
      <c r="R100" s="2" t="inlineStr">
        <is>
          <t>Skogsklocka
Småflikig brosklav</t>
        </is>
      </c>
      <c r="S100">
        <f>HYPERLINK("https://klasma.github.io/Logging_0188/artfynd/A 50697-2025 artfynd.xlsx", "A 50697-2025")</f>
        <v/>
      </c>
      <c r="T100">
        <f>HYPERLINK("https://klasma.github.io/Logging_0188/kartor/A 50697-2025 karta.png", "A 50697-2025")</f>
        <v/>
      </c>
      <c r="V100">
        <f>HYPERLINK("https://klasma.github.io/Logging_0188/klagomål/A 50697-2025 FSC-klagomål.docx", "A 50697-2025")</f>
        <v/>
      </c>
      <c r="W100">
        <f>HYPERLINK("https://klasma.github.io/Logging_0188/klagomålsmail/A 50697-2025 FSC-klagomål mail.docx", "A 50697-2025")</f>
        <v/>
      </c>
      <c r="X100">
        <f>HYPERLINK("https://klasma.github.io/Logging_0188/tillsyn/A 50697-2025 tillsynsbegäran.docx", "A 50697-2025")</f>
        <v/>
      </c>
      <c r="Y100">
        <f>HYPERLINK("https://klasma.github.io/Logging_0188/tillsynsmail/A 50697-2025 tillsynsbegäran mail.docx", "A 50697-2025")</f>
        <v/>
      </c>
    </row>
    <row r="101" ht="15" customHeight="1">
      <c r="A101" t="inlineStr">
        <is>
          <t>A 55058-2021</t>
        </is>
      </c>
      <c r="B101" s="1" t="n">
        <v>44474</v>
      </c>
      <c r="C101" s="1" t="n">
        <v>46192</v>
      </c>
      <c r="D101" t="inlineStr">
        <is>
          <t>STOCKHOLMS LÄN</t>
        </is>
      </c>
      <c r="E101" t="inlineStr">
        <is>
          <t>NORRTÄLJE</t>
        </is>
      </c>
      <c r="G101" t="n">
        <v>1.9</v>
      </c>
      <c r="H101" t="n">
        <v>0</v>
      </c>
      <c r="I101" t="n">
        <v>1</v>
      </c>
      <c r="J101" t="n">
        <v>1</v>
      </c>
      <c r="K101" t="n">
        <v>0</v>
      </c>
      <c r="L101" t="n">
        <v>0</v>
      </c>
      <c r="M101" t="n">
        <v>0</v>
      </c>
      <c r="N101" t="n">
        <v>0</v>
      </c>
      <c r="O101" t="n">
        <v>1</v>
      </c>
      <c r="P101" t="n">
        <v>0</v>
      </c>
      <c r="Q101" t="n">
        <v>2</v>
      </c>
      <c r="R101" s="2" t="inlineStr">
        <is>
          <t>Tallkötticka
Blodvaxing</t>
        </is>
      </c>
      <c r="S101">
        <f>HYPERLINK("https://klasma.github.io/Logging_0188/artfynd/A 55058-2021 artfynd.xlsx", "A 55058-2021")</f>
        <v/>
      </c>
      <c r="T101">
        <f>HYPERLINK("https://klasma.github.io/Logging_0188/kartor/A 55058-2021 karta.png", "A 55058-2021")</f>
        <v/>
      </c>
      <c r="V101">
        <f>HYPERLINK("https://klasma.github.io/Logging_0188/klagomål/A 55058-2021 FSC-klagomål.docx", "A 55058-2021")</f>
        <v/>
      </c>
      <c r="W101">
        <f>HYPERLINK("https://klasma.github.io/Logging_0188/klagomålsmail/A 55058-2021 FSC-klagomål mail.docx", "A 55058-2021")</f>
        <v/>
      </c>
      <c r="X101">
        <f>HYPERLINK("https://klasma.github.io/Logging_0188/tillsyn/A 55058-2021 tillsynsbegäran.docx", "A 55058-2021")</f>
        <v/>
      </c>
      <c r="Y101">
        <f>HYPERLINK("https://klasma.github.io/Logging_0188/tillsynsmail/A 55058-2021 tillsynsbegäran mail.docx", "A 55058-2021")</f>
        <v/>
      </c>
    </row>
    <row r="102" ht="15" customHeight="1">
      <c r="A102" t="inlineStr">
        <is>
          <t>A 4595-2023</t>
        </is>
      </c>
      <c r="B102" s="1" t="n">
        <v>44956</v>
      </c>
      <c r="C102" s="1" t="n">
        <v>46192</v>
      </c>
      <c r="D102" t="inlineStr">
        <is>
          <t>STOCKHOLMS LÄN</t>
        </is>
      </c>
      <c r="E102" t="inlineStr">
        <is>
          <t>NORRTÄLJE</t>
        </is>
      </c>
      <c r="G102" t="n">
        <v>0.6</v>
      </c>
      <c r="H102" t="n">
        <v>1</v>
      </c>
      <c r="I102" t="n">
        <v>1</v>
      </c>
      <c r="J102" t="n">
        <v>0</v>
      </c>
      <c r="K102" t="n">
        <v>0</v>
      </c>
      <c r="L102" t="n">
        <v>0</v>
      </c>
      <c r="M102" t="n">
        <v>0</v>
      </c>
      <c r="N102" t="n">
        <v>0</v>
      </c>
      <c r="O102" t="n">
        <v>0</v>
      </c>
      <c r="P102" t="n">
        <v>0</v>
      </c>
      <c r="Q102" t="n">
        <v>2</v>
      </c>
      <c r="R102" s="2" t="inlineStr">
        <is>
          <t>Hasselticka
Blåsippa</t>
        </is>
      </c>
      <c r="S102">
        <f>HYPERLINK("https://klasma.github.io/Logging_0188/artfynd/A 4595-2023 artfynd.xlsx", "A 4595-2023")</f>
        <v/>
      </c>
      <c r="T102">
        <f>HYPERLINK("https://klasma.github.io/Logging_0188/kartor/A 4595-2023 karta.png", "A 4595-2023")</f>
        <v/>
      </c>
      <c r="V102">
        <f>HYPERLINK("https://klasma.github.io/Logging_0188/klagomål/A 4595-2023 FSC-klagomål.docx", "A 4595-2023")</f>
        <v/>
      </c>
      <c r="W102">
        <f>HYPERLINK("https://klasma.github.io/Logging_0188/klagomålsmail/A 4595-2023 FSC-klagomål mail.docx", "A 4595-2023")</f>
        <v/>
      </c>
      <c r="X102">
        <f>HYPERLINK("https://klasma.github.io/Logging_0188/tillsyn/A 4595-2023 tillsynsbegäran.docx", "A 4595-2023")</f>
        <v/>
      </c>
      <c r="Y102">
        <f>HYPERLINK("https://klasma.github.io/Logging_0188/tillsynsmail/A 4595-2023 tillsynsbegäran mail.docx", "A 4595-2023")</f>
        <v/>
      </c>
    </row>
    <row r="103" ht="15" customHeight="1">
      <c r="A103" t="inlineStr">
        <is>
          <t>A 53716-2025</t>
        </is>
      </c>
      <c r="B103" s="1" t="n">
        <v>45960</v>
      </c>
      <c r="C103" s="1" t="n">
        <v>46192</v>
      </c>
      <c r="D103" t="inlineStr">
        <is>
          <t>STOCKHOLMS LÄN</t>
        </is>
      </c>
      <c r="E103" t="inlineStr">
        <is>
          <t>NORRTÄLJE</t>
        </is>
      </c>
      <c r="G103" t="n">
        <v>3.4</v>
      </c>
      <c r="H103" t="n">
        <v>0</v>
      </c>
      <c r="I103" t="n">
        <v>1</v>
      </c>
      <c r="J103" t="n">
        <v>0</v>
      </c>
      <c r="K103" t="n">
        <v>1</v>
      </c>
      <c r="L103" t="n">
        <v>0</v>
      </c>
      <c r="M103" t="n">
        <v>0</v>
      </c>
      <c r="N103" t="n">
        <v>0</v>
      </c>
      <c r="O103" t="n">
        <v>1</v>
      </c>
      <c r="P103" t="n">
        <v>1</v>
      </c>
      <c r="Q103" t="n">
        <v>2</v>
      </c>
      <c r="R103" s="2" t="inlineStr">
        <is>
          <t>Fältgentiana
Fjällig jordtunga</t>
        </is>
      </c>
      <c r="S103">
        <f>HYPERLINK("https://klasma.github.io/Logging_0188/artfynd/A 53716-2025 artfynd.xlsx", "A 53716-2025")</f>
        <v/>
      </c>
      <c r="T103">
        <f>HYPERLINK("https://klasma.github.io/Logging_0188/kartor/A 53716-2025 karta.png", "A 53716-2025")</f>
        <v/>
      </c>
      <c r="V103">
        <f>HYPERLINK("https://klasma.github.io/Logging_0188/klagomål/A 53716-2025 FSC-klagomål.docx", "A 53716-2025")</f>
        <v/>
      </c>
      <c r="W103">
        <f>HYPERLINK("https://klasma.github.io/Logging_0188/klagomålsmail/A 53716-2025 FSC-klagomål mail.docx", "A 53716-2025")</f>
        <v/>
      </c>
      <c r="X103">
        <f>HYPERLINK("https://klasma.github.io/Logging_0188/tillsyn/A 53716-2025 tillsynsbegäran.docx", "A 53716-2025")</f>
        <v/>
      </c>
      <c r="Y103">
        <f>HYPERLINK("https://klasma.github.io/Logging_0188/tillsynsmail/A 53716-2025 tillsynsbegäran mail.docx", "A 53716-2025")</f>
        <v/>
      </c>
    </row>
    <row r="104" ht="15" customHeight="1">
      <c r="A104" t="inlineStr">
        <is>
          <t>A 39202-2024</t>
        </is>
      </c>
      <c r="B104" s="1" t="n">
        <v>45548</v>
      </c>
      <c r="C104" s="1" t="n">
        <v>46192</v>
      </c>
      <c r="D104" t="inlineStr">
        <is>
          <t>STOCKHOLMS LÄN</t>
        </is>
      </c>
      <c r="E104" t="inlineStr">
        <is>
          <t>NORRTÄLJE</t>
        </is>
      </c>
      <c r="G104" t="n">
        <v>1.9</v>
      </c>
      <c r="H104" t="n">
        <v>0</v>
      </c>
      <c r="I104" t="n">
        <v>0</v>
      </c>
      <c r="J104" t="n">
        <v>0</v>
      </c>
      <c r="K104" t="n">
        <v>2</v>
      </c>
      <c r="L104" t="n">
        <v>0</v>
      </c>
      <c r="M104" t="n">
        <v>0</v>
      </c>
      <c r="N104" t="n">
        <v>0</v>
      </c>
      <c r="O104" t="n">
        <v>2</v>
      </c>
      <c r="P104" t="n">
        <v>2</v>
      </c>
      <c r="Q104" t="n">
        <v>2</v>
      </c>
      <c r="R104" s="2" t="inlineStr">
        <is>
          <t>Mindre bastardsvärmare
Sexfläckig bastardsvärmare</t>
        </is>
      </c>
      <c r="S104">
        <f>HYPERLINK("https://klasma.github.io/Logging_0188/artfynd/A 39202-2024 artfynd.xlsx", "A 39202-2024")</f>
        <v/>
      </c>
      <c r="T104">
        <f>HYPERLINK("https://klasma.github.io/Logging_0188/kartor/A 39202-2024 karta.png", "A 39202-2024")</f>
        <v/>
      </c>
      <c r="V104">
        <f>HYPERLINK("https://klasma.github.io/Logging_0188/klagomål/A 39202-2024 FSC-klagomål.docx", "A 39202-2024")</f>
        <v/>
      </c>
      <c r="W104">
        <f>HYPERLINK("https://klasma.github.io/Logging_0188/klagomålsmail/A 39202-2024 FSC-klagomål mail.docx", "A 39202-2024")</f>
        <v/>
      </c>
      <c r="X104">
        <f>HYPERLINK("https://klasma.github.io/Logging_0188/tillsyn/A 39202-2024 tillsynsbegäran.docx", "A 39202-2024")</f>
        <v/>
      </c>
      <c r="Y104">
        <f>HYPERLINK("https://klasma.github.io/Logging_0188/tillsynsmail/A 39202-2024 tillsynsbegäran mail.docx", "A 39202-2024")</f>
        <v/>
      </c>
    </row>
    <row r="105" ht="15" customHeight="1">
      <c r="A105" t="inlineStr">
        <is>
          <t>A 50854-2022</t>
        </is>
      </c>
      <c r="B105" s="1" t="n">
        <v>44863</v>
      </c>
      <c r="C105" s="1" t="n">
        <v>46192</v>
      </c>
      <c r="D105" t="inlineStr">
        <is>
          <t>STOCKHOLMS LÄN</t>
        </is>
      </c>
      <c r="E105" t="inlineStr">
        <is>
          <t>NORRTÄLJE</t>
        </is>
      </c>
      <c r="G105" t="n">
        <v>2.9</v>
      </c>
      <c r="H105" t="n">
        <v>1</v>
      </c>
      <c r="I105" t="n">
        <v>1</v>
      </c>
      <c r="J105" t="n">
        <v>1</v>
      </c>
      <c r="K105" t="n">
        <v>0</v>
      </c>
      <c r="L105" t="n">
        <v>0</v>
      </c>
      <c r="M105" t="n">
        <v>0</v>
      </c>
      <c r="N105" t="n">
        <v>0</v>
      </c>
      <c r="O105" t="n">
        <v>1</v>
      </c>
      <c r="P105" t="n">
        <v>0</v>
      </c>
      <c r="Q105" t="n">
        <v>2</v>
      </c>
      <c r="R105" s="2" t="inlineStr">
        <is>
          <t>Mindre hackspett
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c r="Z105">
        <f>HYPERLINK("https://klasma.github.io/Logging_0188/fåglar/A 50854-2022 prioriterade fågelarter.docx", "A 50854-2022")</f>
        <v/>
      </c>
    </row>
    <row r="106" ht="15" customHeight="1">
      <c r="A106" t="inlineStr">
        <is>
          <t>A 12629-2024</t>
        </is>
      </c>
      <c r="B106" s="1" t="n">
        <v>45383</v>
      </c>
      <c r="C106" s="1" t="n">
        <v>46192</v>
      </c>
      <c r="D106" t="inlineStr">
        <is>
          <t>STOCKHOLMS LÄN</t>
        </is>
      </c>
      <c r="E106" t="inlineStr">
        <is>
          <t>NORRTÄLJE</t>
        </is>
      </c>
      <c r="G106" t="n">
        <v>2.6</v>
      </c>
      <c r="H106" t="n">
        <v>2</v>
      </c>
      <c r="I106" t="n">
        <v>0</v>
      </c>
      <c r="J106" t="n">
        <v>1</v>
      </c>
      <c r="K106" t="n">
        <v>0</v>
      </c>
      <c r="L106" t="n">
        <v>0</v>
      </c>
      <c r="M106" t="n">
        <v>0</v>
      </c>
      <c r="N106" t="n">
        <v>0</v>
      </c>
      <c r="O106" t="n">
        <v>1</v>
      </c>
      <c r="P106" t="n">
        <v>0</v>
      </c>
      <c r="Q106" t="n">
        <v>2</v>
      </c>
      <c r="R106" s="2" t="inlineStr">
        <is>
          <t>Mindre hackspett
Sävsparv</t>
        </is>
      </c>
      <c r="S106">
        <f>HYPERLINK("https://klasma.github.io/Logging_0188/artfynd/A 12629-2024 artfynd.xlsx", "A 12629-2024")</f>
        <v/>
      </c>
      <c r="T106">
        <f>HYPERLINK("https://klasma.github.io/Logging_0188/kartor/A 12629-2024 karta.png", "A 12629-2024")</f>
        <v/>
      </c>
      <c r="V106">
        <f>HYPERLINK("https://klasma.github.io/Logging_0188/klagomål/A 12629-2024 FSC-klagomål.docx", "A 12629-2024")</f>
        <v/>
      </c>
      <c r="W106">
        <f>HYPERLINK("https://klasma.github.io/Logging_0188/klagomålsmail/A 12629-2024 FSC-klagomål mail.docx", "A 12629-2024")</f>
        <v/>
      </c>
      <c r="X106">
        <f>HYPERLINK("https://klasma.github.io/Logging_0188/tillsyn/A 12629-2024 tillsynsbegäran.docx", "A 12629-2024")</f>
        <v/>
      </c>
      <c r="Y106">
        <f>HYPERLINK("https://klasma.github.io/Logging_0188/tillsynsmail/A 12629-2024 tillsynsbegäran mail.docx", "A 12629-2024")</f>
        <v/>
      </c>
      <c r="Z106">
        <f>HYPERLINK("https://klasma.github.io/Logging_0188/fåglar/A 12629-2024 prioriterade fågelarter.docx", "A 12629-2024")</f>
        <v/>
      </c>
    </row>
    <row r="107" ht="15" customHeight="1">
      <c r="A107" t="inlineStr">
        <is>
          <t>A 22157-2023</t>
        </is>
      </c>
      <c r="B107" s="1" t="n">
        <v>45069</v>
      </c>
      <c r="C107" s="1" t="n">
        <v>46192</v>
      </c>
      <c r="D107" t="inlineStr">
        <is>
          <t>STOCKHOLMS LÄN</t>
        </is>
      </c>
      <c r="E107" t="inlineStr">
        <is>
          <t>NORRTÄLJE</t>
        </is>
      </c>
      <c r="G107" t="n">
        <v>0.6</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22157-2023 artfynd.xlsx", "A 22157-2023")</f>
        <v/>
      </c>
      <c r="T107">
        <f>HYPERLINK("https://klasma.github.io/Logging_0188/kartor/A 22157-2023 karta.png", "A 22157-2023")</f>
        <v/>
      </c>
      <c r="U107">
        <f>HYPERLINK("https://klasma.github.io/Logging_0188/knärot/A 22157-2023 karta knärot.png", "A 22157-2023")</f>
        <v/>
      </c>
      <c r="V107">
        <f>HYPERLINK("https://klasma.github.io/Logging_0188/klagomål/A 22157-2023 FSC-klagomål.docx", "A 22157-2023")</f>
        <v/>
      </c>
      <c r="W107">
        <f>HYPERLINK("https://klasma.github.io/Logging_0188/klagomålsmail/A 22157-2023 FSC-klagomål mail.docx", "A 22157-2023")</f>
        <v/>
      </c>
      <c r="X107">
        <f>HYPERLINK("https://klasma.github.io/Logging_0188/tillsyn/A 22157-2023 tillsynsbegäran.docx", "A 22157-2023")</f>
        <v/>
      </c>
      <c r="Y107">
        <f>HYPERLINK("https://klasma.github.io/Logging_0188/tillsynsmail/A 22157-2023 tillsynsbegäran mail.docx", "A 22157-2023")</f>
        <v/>
      </c>
    </row>
    <row r="108" ht="15" customHeight="1">
      <c r="A108" t="inlineStr">
        <is>
          <t>A 25669-2025</t>
        </is>
      </c>
      <c r="B108" s="1" t="n">
        <v>45803</v>
      </c>
      <c r="C108" s="1" t="n">
        <v>46192</v>
      </c>
      <c r="D108" t="inlineStr">
        <is>
          <t>STOCKHOLMS LÄN</t>
        </is>
      </c>
      <c r="E108" t="inlineStr">
        <is>
          <t>NORRTÄLJE</t>
        </is>
      </c>
      <c r="F108" t="inlineStr">
        <is>
          <t>Holmen skog AB</t>
        </is>
      </c>
      <c r="G108" t="n">
        <v>3.1</v>
      </c>
      <c r="H108" t="n">
        <v>2</v>
      </c>
      <c r="I108" t="n">
        <v>0</v>
      </c>
      <c r="J108" t="n">
        <v>0</v>
      </c>
      <c r="K108" t="n">
        <v>0</v>
      </c>
      <c r="L108" t="n">
        <v>0</v>
      </c>
      <c r="M108" t="n">
        <v>0</v>
      </c>
      <c r="N108" t="n">
        <v>0</v>
      </c>
      <c r="O108" t="n">
        <v>0</v>
      </c>
      <c r="P108" t="n">
        <v>0</v>
      </c>
      <c r="Q108" t="n">
        <v>2</v>
      </c>
      <c r="R108" s="2" t="inlineStr">
        <is>
          <t>Tjäder
Revlummer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41218-2024</t>
        </is>
      </c>
      <c r="B109" s="1" t="n">
        <v>45559</v>
      </c>
      <c r="C109" s="1" t="n">
        <v>46192</v>
      </c>
      <c r="D109" t="inlineStr">
        <is>
          <t>STOCKHOLMS LÄN</t>
        </is>
      </c>
      <c r="E109" t="inlineStr">
        <is>
          <t>NORRTÄLJE</t>
        </is>
      </c>
      <c r="G109" t="n">
        <v>6</v>
      </c>
      <c r="H109" t="n">
        <v>1</v>
      </c>
      <c r="I109" t="n">
        <v>0</v>
      </c>
      <c r="J109" t="n">
        <v>0</v>
      </c>
      <c r="K109" t="n">
        <v>1</v>
      </c>
      <c r="L109" t="n">
        <v>0</v>
      </c>
      <c r="M109" t="n">
        <v>0</v>
      </c>
      <c r="N109" t="n">
        <v>0</v>
      </c>
      <c r="O109" t="n">
        <v>1</v>
      </c>
      <c r="P109" t="n">
        <v>1</v>
      </c>
      <c r="Q109" t="n">
        <v>2</v>
      </c>
      <c r="R109" s="2" t="inlineStr">
        <is>
          <t>Igelkott
Näktergal</t>
        </is>
      </c>
      <c r="S109">
        <f>HYPERLINK("https://klasma.github.io/Logging_0188/artfynd/A 41218-2024 artfynd.xlsx", "A 41218-2024")</f>
        <v/>
      </c>
      <c r="T109">
        <f>HYPERLINK("https://klasma.github.io/Logging_0188/kartor/A 41218-2024 karta.png", "A 41218-2024")</f>
        <v/>
      </c>
      <c r="V109">
        <f>HYPERLINK("https://klasma.github.io/Logging_0188/klagomål/A 41218-2024 FSC-klagomål.docx", "A 41218-2024")</f>
        <v/>
      </c>
      <c r="W109">
        <f>HYPERLINK("https://klasma.github.io/Logging_0188/klagomålsmail/A 41218-2024 FSC-klagomål mail.docx", "A 41218-2024")</f>
        <v/>
      </c>
      <c r="X109">
        <f>HYPERLINK("https://klasma.github.io/Logging_0188/tillsyn/A 41218-2024 tillsynsbegäran.docx", "A 41218-2024")</f>
        <v/>
      </c>
      <c r="Y109">
        <f>HYPERLINK("https://klasma.github.io/Logging_0188/tillsynsmail/A 41218-2024 tillsynsbegäran mail.docx", "A 41218-2024")</f>
        <v/>
      </c>
      <c r="Z109">
        <f>HYPERLINK("https://klasma.github.io/Logging_0188/fåglar/A 41218-2024 prioriterade fågelarter.docx", "A 41218-2024")</f>
        <v/>
      </c>
    </row>
    <row r="110" ht="15" customHeight="1">
      <c r="A110" t="inlineStr">
        <is>
          <t>A 21781-2026</t>
        </is>
      </c>
      <c r="B110" s="1" t="n">
        <v>46150</v>
      </c>
      <c r="C110" s="1" t="n">
        <v>46192</v>
      </c>
      <c r="D110" t="inlineStr">
        <is>
          <t>STOCKHOLMS LÄN</t>
        </is>
      </c>
      <c r="E110" t="inlineStr">
        <is>
          <t>NORRTÄLJE</t>
        </is>
      </c>
      <c r="G110" t="n">
        <v>6.2</v>
      </c>
      <c r="H110" t="n">
        <v>1</v>
      </c>
      <c r="I110" t="n">
        <v>0</v>
      </c>
      <c r="J110" t="n">
        <v>1</v>
      </c>
      <c r="K110" t="n">
        <v>1</v>
      </c>
      <c r="L110" t="n">
        <v>0</v>
      </c>
      <c r="M110" t="n">
        <v>0</v>
      </c>
      <c r="N110" t="n">
        <v>0</v>
      </c>
      <c r="O110" t="n">
        <v>2</v>
      </c>
      <c r="P110" t="n">
        <v>1</v>
      </c>
      <c r="Q110" t="n">
        <v>2</v>
      </c>
      <c r="R110" s="2" t="inlineStr">
        <is>
          <t>Hällebräcka
Slåtterfibbla</t>
        </is>
      </c>
      <c r="S110">
        <f>HYPERLINK("https://klasma.github.io/Logging_0188/artfynd/A 21781-2026 artfynd.xlsx", "A 21781-2026")</f>
        <v/>
      </c>
      <c r="T110">
        <f>HYPERLINK("https://klasma.github.io/Logging_0188/kartor/A 21781-2026 karta.png", "A 21781-2026")</f>
        <v/>
      </c>
      <c r="V110">
        <f>HYPERLINK("https://klasma.github.io/Logging_0188/klagomål/A 21781-2026 FSC-klagomål.docx", "A 21781-2026")</f>
        <v/>
      </c>
      <c r="W110">
        <f>HYPERLINK("https://klasma.github.io/Logging_0188/klagomålsmail/A 21781-2026 FSC-klagomål mail.docx", "A 21781-2026")</f>
        <v/>
      </c>
      <c r="X110">
        <f>HYPERLINK("https://klasma.github.io/Logging_0188/tillsyn/A 21781-2026 tillsynsbegäran.docx", "A 21781-2026")</f>
        <v/>
      </c>
      <c r="Y110">
        <f>HYPERLINK("https://klasma.github.io/Logging_0188/tillsynsmail/A 21781-2026 tillsynsbegäran mail.docx", "A 21781-2026")</f>
        <v/>
      </c>
    </row>
    <row r="111" ht="15" customHeight="1">
      <c r="A111" t="inlineStr">
        <is>
          <t>A 21821-2026</t>
        </is>
      </c>
      <c r="B111" s="1" t="n">
        <v>46150</v>
      </c>
      <c r="C111" s="1" t="n">
        <v>46192</v>
      </c>
      <c r="D111" t="inlineStr">
        <is>
          <t>STOCKHOLMS LÄN</t>
        </is>
      </c>
      <c r="E111" t="inlineStr">
        <is>
          <t>NORRTÄLJE</t>
        </is>
      </c>
      <c r="G111" t="n">
        <v>2.6</v>
      </c>
      <c r="H111" t="n">
        <v>1</v>
      </c>
      <c r="I111" t="n">
        <v>0</v>
      </c>
      <c r="J111" t="n">
        <v>0</v>
      </c>
      <c r="K111" t="n">
        <v>2</v>
      </c>
      <c r="L111" t="n">
        <v>0</v>
      </c>
      <c r="M111" t="n">
        <v>0</v>
      </c>
      <c r="N111" t="n">
        <v>0</v>
      </c>
      <c r="O111" t="n">
        <v>2</v>
      </c>
      <c r="P111" t="n">
        <v>2</v>
      </c>
      <c r="Q111" t="n">
        <v>2</v>
      </c>
      <c r="R111" s="2" t="inlineStr">
        <is>
          <t>Bredgentiana
Fältgentiana</t>
        </is>
      </c>
      <c r="S111">
        <f>HYPERLINK("https://klasma.github.io/Logging_0188/artfynd/A 21821-2026 artfynd.xlsx", "A 21821-2026")</f>
        <v/>
      </c>
      <c r="T111">
        <f>HYPERLINK("https://klasma.github.io/Logging_0188/kartor/A 21821-2026 karta.png", "A 21821-2026")</f>
        <v/>
      </c>
      <c r="V111">
        <f>HYPERLINK("https://klasma.github.io/Logging_0188/klagomål/A 21821-2026 FSC-klagomål.docx", "A 21821-2026")</f>
        <v/>
      </c>
      <c r="W111">
        <f>HYPERLINK("https://klasma.github.io/Logging_0188/klagomålsmail/A 21821-2026 FSC-klagomål mail.docx", "A 21821-2026")</f>
        <v/>
      </c>
      <c r="X111">
        <f>HYPERLINK("https://klasma.github.io/Logging_0188/tillsyn/A 21821-2026 tillsynsbegäran.docx", "A 21821-2026")</f>
        <v/>
      </c>
      <c r="Y111">
        <f>HYPERLINK("https://klasma.github.io/Logging_0188/tillsynsmail/A 21821-2026 tillsynsbegäran mail.docx", "A 21821-2026")</f>
        <v/>
      </c>
    </row>
    <row r="112" ht="15" customHeight="1">
      <c r="A112" t="inlineStr">
        <is>
          <t>A 35649-2023</t>
        </is>
      </c>
      <c r="B112" s="1" t="n">
        <v>45146</v>
      </c>
      <c r="C112" s="1" t="n">
        <v>46192</v>
      </c>
      <c r="D112" t="inlineStr">
        <is>
          <t>STOCKHOLMS LÄN</t>
        </is>
      </c>
      <c r="E112" t="inlineStr">
        <is>
          <t>NORRTÄLJE</t>
        </is>
      </c>
      <c r="G112" t="n">
        <v>25.1</v>
      </c>
      <c r="H112" t="n">
        <v>0</v>
      </c>
      <c r="I112" t="n">
        <v>0</v>
      </c>
      <c r="J112" t="n">
        <v>2</v>
      </c>
      <c r="K112" t="n">
        <v>0</v>
      </c>
      <c r="L112" t="n">
        <v>0</v>
      </c>
      <c r="M112" t="n">
        <v>0</v>
      </c>
      <c r="N112" t="n">
        <v>0</v>
      </c>
      <c r="O112" t="n">
        <v>2</v>
      </c>
      <c r="P112" t="n">
        <v>0</v>
      </c>
      <c r="Q112" t="n">
        <v>2</v>
      </c>
      <c r="R112" s="2" t="inlineStr">
        <is>
          <t>Majviva
Månlåsbräken</t>
        </is>
      </c>
      <c r="S112">
        <f>HYPERLINK("https://klasma.github.io/Logging_0188/artfynd/A 35649-2023 artfynd.xlsx", "A 35649-2023")</f>
        <v/>
      </c>
      <c r="T112">
        <f>HYPERLINK("https://klasma.github.io/Logging_0188/kartor/A 35649-2023 karta.png", "A 35649-2023")</f>
        <v/>
      </c>
      <c r="V112">
        <f>HYPERLINK("https://klasma.github.io/Logging_0188/klagomål/A 35649-2023 FSC-klagomål.docx", "A 35649-2023")</f>
        <v/>
      </c>
      <c r="W112">
        <f>HYPERLINK("https://klasma.github.io/Logging_0188/klagomålsmail/A 35649-2023 FSC-klagomål mail.docx", "A 35649-2023")</f>
        <v/>
      </c>
      <c r="X112">
        <f>HYPERLINK("https://klasma.github.io/Logging_0188/tillsyn/A 35649-2023 tillsynsbegäran.docx", "A 35649-2023")</f>
        <v/>
      </c>
      <c r="Y112">
        <f>HYPERLINK("https://klasma.github.io/Logging_0188/tillsynsmail/A 35649-2023 tillsynsbegäran mail.docx", "A 35649-2023")</f>
        <v/>
      </c>
    </row>
    <row r="113" ht="15" customHeight="1">
      <c r="A113" t="inlineStr">
        <is>
          <t>A 26635-2023</t>
        </is>
      </c>
      <c r="B113" s="1" t="n">
        <v>45092</v>
      </c>
      <c r="C113" s="1" t="n">
        <v>46192</v>
      </c>
      <c r="D113" t="inlineStr">
        <is>
          <t>STOCKHOLMS LÄN</t>
        </is>
      </c>
      <c r="E113" t="inlineStr">
        <is>
          <t>NORRTÄLJE</t>
        </is>
      </c>
      <c r="G113" t="n">
        <v>3.1</v>
      </c>
      <c r="H113" t="n">
        <v>1</v>
      </c>
      <c r="I113" t="n">
        <v>0</v>
      </c>
      <c r="J113" t="n">
        <v>0</v>
      </c>
      <c r="K113" t="n">
        <v>0</v>
      </c>
      <c r="L113" t="n">
        <v>0</v>
      </c>
      <c r="M113" t="n">
        <v>0</v>
      </c>
      <c r="N113" t="n">
        <v>0</v>
      </c>
      <c r="O113" t="n">
        <v>0</v>
      </c>
      <c r="P113" t="n">
        <v>0</v>
      </c>
      <c r="Q113" t="n">
        <v>2</v>
      </c>
      <c r="R113" s="2" t="inlineStr">
        <is>
          <t>Stjärnstarr
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51220-2023</t>
        </is>
      </c>
      <c r="B114" s="1" t="n">
        <v>45219</v>
      </c>
      <c r="C114" s="1" t="n">
        <v>46192</v>
      </c>
      <c r="D114" t="inlineStr">
        <is>
          <t>STOCKHOLMS LÄN</t>
        </is>
      </c>
      <c r="E114" t="inlineStr">
        <is>
          <t>NORRTÄLJE</t>
        </is>
      </c>
      <c r="G114" t="n">
        <v>7.7</v>
      </c>
      <c r="H114" t="n">
        <v>1</v>
      </c>
      <c r="I114" t="n">
        <v>0</v>
      </c>
      <c r="J114" t="n">
        <v>1</v>
      </c>
      <c r="K114" t="n">
        <v>0</v>
      </c>
      <c r="L114" t="n">
        <v>0</v>
      </c>
      <c r="M114" t="n">
        <v>0</v>
      </c>
      <c r="N114" t="n">
        <v>0</v>
      </c>
      <c r="O114" t="n">
        <v>1</v>
      </c>
      <c r="P114" t="n">
        <v>0</v>
      </c>
      <c r="Q114" t="n">
        <v>2</v>
      </c>
      <c r="R114" s="2" t="inlineStr">
        <is>
          <t>Ullticka
Blåsippa</t>
        </is>
      </c>
      <c r="S114">
        <f>HYPERLINK("https://klasma.github.io/Logging_0188/artfynd/A 51220-2023 artfynd.xlsx", "A 51220-2023")</f>
        <v/>
      </c>
      <c r="T114">
        <f>HYPERLINK("https://klasma.github.io/Logging_0188/kartor/A 51220-2023 karta.png", "A 51220-2023")</f>
        <v/>
      </c>
      <c r="V114">
        <f>HYPERLINK("https://klasma.github.io/Logging_0188/klagomål/A 51220-2023 FSC-klagomål.docx", "A 51220-2023")</f>
        <v/>
      </c>
      <c r="W114">
        <f>HYPERLINK("https://klasma.github.io/Logging_0188/klagomålsmail/A 51220-2023 FSC-klagomål mail.docx", "A 51220-2023")</f>
        <v/>
      </c>
      <c r="X114">
        <f>HYPERLINK("https://klasma.github.io/Logging_0188/tillsyn/A 51220-2023 tillsynsbegäran.docx", "A 51220-2023")</f>
        <v/>
      </c>
      <c r="Y114">
        <f>HYPERLINK("https://klasma.github.io/Logging_0188/tillsynsmail/A 51220-2023 tillsynsbegäran mail.docx", "A 51220-2023")</f>
        <v/>
      </c>
    </row>
    <row r="115" ht="15" customHeight="1">
      <c r="A115" t="inlineStr">
        <is>
          <t>A 52124-2022</t>
        </is>
      </c>
      <c r="B115" s="1" t="n">
        <v>44868</v>
      </c>
      <c r="C115" s="1" t="n">
        <v>46192</v>
      </c>
      <c r="D115" t="inlineStr">
        <is>
          <t>STOCKHOLMS LÄN</t>
        </is>
      </c>
      <c r="E115" t="inlineStr">
        <is>
          <t>NORRTÄLJE</t>
        </is>
      </c>
      <c r="G115" t="n">
        <v>4.8</v>
      </c>
      <c r="H115" t="n">
        <v>1</v>
      </c>
      <c r="I115" t="n">
        <v>0</v>
      </c>
      <c r="J115" t="n">
        <v>1</v>
      </c>
      <c r="K115" t="n">
        <v>0</v>
      </c>
      <c r="L115" t="n">
        <v>0</v>
      </c>
      <c r="M115" t="n">
        <v>0</v>
      </c>
      <c r="N115" t="n">
        <v>0</v>
      </c>
      <c r="O115" t="n">
        <v>1</v>
      </c>
      <c r="P115" t="n">
        <v>0</v>
      </c>
      <c r="Q115" t="n">
        <v>2</v>
      </c>
      <c r="R115" s="2" t="inlineStr">
        <is>
          <t>Kandelabersvamp
Blåsippa</t>
        </is>
      </c>
      <c r="S115">
        <f>HYPERLINK("https://klasma.github.io/Logging_0188/artfynd/A 52124-2022 artfynd.xlsx", "A 52124-2022")</f>
        <v/>
      </c>
      <c r="T115">
        <f>HYPERLINK("https://klasma.github.io/Logging_0188/kartor/A 52124-2022 karta.png", "A 52124-2022")</f>
        <v/>
      </c>
      <c r="V115">
        <f>HYPERLINK("https://klasma.github.io/Logging_0188/klagomål/A 52124-2022 FSC-klagomål.docx", "A 52124-2022")</f>
        <v/>
      </c>
      <c r="W115">
        <f>HYPERLINK("https://klasma.github.io/Logging_0188/klagomålsmail/A 52124-2022 FSC-klagomål mail.docx", "A 52124-2022")</f>
        <v/>
      </c>
      <c r="X115">
        <f>HYPERLINK("https://klasma.github.io/Logging_0188/tillsyn/A 52124-2022 tillsynsbegäran.docx", "A 52124-2022")</f>
        <v/>
      </c>
      <c r="Y115">
        <f>HYPERLINK("https://klasma.github.io/Logging_0188/tillsynsmail/A 52124-2022 tillsynsbegäran mail.docx", "A 52124-2022")</f>
        <v/>
      </c>
    </row>
    <row r="116" ht="15" customHeight="1">
      <c r="A116" t="inlineStr">
        <is>
          <t>A 26207-2026</t>
        </is>
      </c>
      <c r="B116" s="1" t="n">
        <v>46182</v>
      </c>
      <c r="C116" s="1" t="n">
        <v>46192</v>
      </c>
      <c r="D116" t="inlineStr">
        <is>
          <t>STOCKHOLMS LÄN</t>
        </is>
      </c>
      <c r="E116" t="inlineStr">
        <is>
          <t>NORRTÄLJE</t>
        </is>
      </c>
      <c r="G116" t="n">
        <v>4.2</v>
      </c>
      <c r="H116" t="n">
        <v>2</v>
      </c>
      <c r="I116" t="n">
        <v>0</v>
      </c>
      <c r="J116" t="n">
        <v>1</v>
      </c>
      <c r="K116" t="n">
        <v>0</v>
      </c>
      <c r="L116" t="n">
        <v>0</v>
      </c>
      <c r="M116" t="n">
        <v>0</v>
      </c>
      <c r="N116" t="n">
        <v>0</v>
      </c>
      <c r="O116" t="n">
        <v>1</v>
      </c>
      <c r="P116" t="n">
        <v>0</v>
      </c>
      <c r="Q116" t="n">
        <v>2</v>
      </c>
      <c r="R116" s="2" t="inlineStr">
        <is>
          <t>Björktrast
Grönsiska</t>
        </is>
      </c>
      <c r="S116">
        <f>HYPERLINK("https://klasma.github.io/Logging_0188/artfynd/A 26207-2026 artfynd.xlsx", "A 26207-2026")</f>
        <v/>
      </c>
      <c r="T116">
        <f>HYPERLINK("https://klasma.github.io/Logging_0188/kartor/A 26207-2026 karta.png", "A 26207-2026")</f>
        <v/>
      </c>
      <c r="V116">
        <f>HYPERLINK("https://klasma.github.io/Logging_0188/klagomål/A 26207-2026 FSC-klagomål.docx", "A 26207-2026")</f>
        <v/>
      </c>
      <c r="W116">
        <f>HYPERLINK("https://klasma.github.io/Logging_0188/klagomålsmail/A 26207-2026 FSC-klagomål mail.docx", "A 26207-2026")</f>
        <v/>
      </c>
      <c r="X116">
        <f>HYPERLINK("https://klasma.github.io/Logging_0188/tillsyn/A 26207-2026 tillsynsbegäran.docx", "A 26207-2026")</f>
        <v/>
      </c>
      <c r="Y116">
        <f>HYPERLINK("https://klasma.github.io/Logging_0188/tillsynsmail/A 26207-2026 tillsynsbegäran mail.docx", "A 26207-2026")</f>
        <v/>
      </c>
      <c r="Z116">
        <f>HYPERLINK("https://klasma.github.io/Logging_0188/fåglar/A 26207-2026 prioriterade fågelarter.docx", "A 26207-2026")</f>
        <v/>
      </c>
    </row>
    <row r="117" ht="15" customHeight="1">
      <c r="A117" t="inlineStr">
        <is>
          <t>A 26418-2026</t>
        </is>
      </c>
      <c r="B117" s="1" t="n">
        <v>46183</v>
      </c>
      <c r="C117" s="1" t="n">
        <v>46192</v>
      </c>
      <c r="D117" t="inlineStr">
        <is>
          <t>STOCKHOLMS LÄN</t>
        </is>
      </c>
      <c r="E117" t="inlineStr">
        <is>
          <t>NORRTÄLJE</t>
        </is>
      </c>
      <c r="G117" t="n">
        <v>2.2</v>
      </c>
      <c r="H117" t="n">
        <v>2</v>
      </c>
      <c r="I117" t="n">
        <v>1</v>
      </c>
      <c r="J117" t="n">
        <v>0</v>
      </c>
      <c r="K117" t="n">
        <v>0</v>
      </c>
      <c r="L117" t="n">
        <v>0</v>
      </c>
      <c r="M117" t="n">
        <v>0</v>
      </c>
      <c r="N117" t="n">
        <v>0</v>
      </c>
      <c r="O117" t="n">
        <v>0</v>
      </c>
      <c r="P117" t="n">
        <v>0</v>
      </c>
      <c r="Q117" t="n">
        <v>2</v>
      </c>
      <c r="R117" s="2" t="inlineStr">
        <is>
          <t>Korallrot
Brudsporre</t>
        </is>
      </c>
      <c r="S117">
        <f>HYPERLINK("https://klasma.github.io/Logging_0188/artfynd/A 26418-2026 artfynd.xlsx", "A 26418-2026")</f>
        <v/>
      </c>
      <c r="T117">
        <f>HYPERLINK("https://klasma.github.io/Logging_0188/kartor/A 26418-2026 karta.png", "A 26418-2026")</f>
        <v/>
      </c>
      <c r="V117">
        <f>HYPERLINK("https://klasma.github.io/Logging_0188/klagomål/A 26418-2026 FSC-klagomål.docx", "A 26418-2026")</f>
        <v/>
      </c>
      <c r="W117">
        <f>HYPERLINK("https://klasma.github.io/Logging_0188/klagomålsmail/A 26418-2026 FSC-klagomål mail.docx", "A 26418-2026")</f>
        <v/>
      </c>
      <c r="X117">
        <f>HYPERLINK("https://klasma.github.io/Logging_0188/tillsyn/A 26418-2026 tillsynsbegäran.docx", "A 26418-2026")</f>
        <v/>
      </c>
      <c r="Y117">
        <f>HYPERLINK("https://klasma.github.io/Logging_0188/tillsynsmail/A 26418-2026 tillsynsbegäran mail.docx", "A 26418-2026")</f>
        <v/>
      </c>
    </row>
    <row r="118" ht="15" customHeight="1">
      <c r="A118" t="inlineStr">
        <is>
          <t>A 26221-2026</t>
        </is>
      </c>
      <c r="B118" s="1" t="n">
        <v>46182</v>
      </c>
      <c r="C118" s="1" t="n">
        <v>46192</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1547-2022</t>
        </is>
      </c>
      <c r="B119" s="1" t="n">
        <v>44573</v>
      </c>
      <c r="C119" s="1" t="n">
        <v>46192</v>
      </c>
      <c r="D119" t="inlineStr">
        <is>
          <t>STOCKHOLMS LÄN</t>
        </is>
      </c>
      <c r="E119" t="inlineStr">
        <is>
          <t>NORRTÄLJE</t>
        </is>
      </c>
      <c r="G119" t="n">
        <v>1.8</v>
      </c>
      <c r="H119" t="n">
        <v>1</v>
      </c>
      <c r="I119" t="n">
        <v>0</v>
      </c>
      <c r="J119" t="n">
        <v>0</v>
      </c>
      <c r="K119" t="n">
        <v>1</v>
      </c>
      <c r="L119" t="n">
        <v>0</v>
      </c>
      <c r="M119" t="n">
        <v>0</v>
      </c>
      <c r="N119" t="n">
        <v>0</v>
      </c>
      <c r="O119" t="n">
        <v>1</v>
      </c>
      <c r="P119" t="n">
        <v>1</v>
      </c>
      <c r="Q119" t="n">
        <v>1</v>
      </c>
      <c r="R119" s="2" t="inlineStr">
        <is>
          <t>Hällebräcka</t>
        </is>
      </c>
      <c r="S119">
        <f>HYPERLINK("https://klasma.github.io/Logging_0188/artfynd/A 1547-2022 artfynd.xlsx", "A 1547-2022")</f>
        <v/>
      </c>
      <c r="T119">
        <f>HYPERLINK("https://klasma.github.io/Logging_0188/kartor/A 1547-2022 karta.png", "A 1547-2022")</f>
        <v/>
      </c>
      <c r="V119">
        <f>HYPERLINK("https://klasma.github.io/Logging_0188/klagomål/A 1547-2022 FSC-klagomål.docx", "A 1547-2022")</f>
        <v/>
      </c>
      <c r="W119">
        <f>HYPERLINK("https://klasma.github.io/Logging_0188/klagomålsmail/A 1547-2022 FSC-klagomål mail.docx", "A 1547-2022")</f>
        <v/>
      </c>
      <c r="X119">
        <f>HYPERLINK("https://klasma.github.io/Logging_0188/tillsyn/A 1547-2022 tillsynsbegäran.docx", "A 1547-2022")</f>
        <v/>
      </c>
      <c r="Y119">
        <f>HYPERLINK("https://klasma.github.io/Logging_0188/tillsynsmail/A 1547-2022 tillsynsbegäran mail.docx", "A 1547-2022")</f>
        <v/>
      </c>
    </row>
    <row r="120" ht="15" customHeight="1">
      <c r="A120" t="inlineStr">
        <is>
          <t>A 52133-2022</t>
        </is>
      </c>
      <c r="B120" s="1" t="n">
        <v>44868</v>
      </c>
      <c r="C120" s="1" t="n">
        <v>46192</v>
      </c>
      <c r="D120" t="inlineStr">
        <is>
          <t>STOCKHOLMS LÄN</t>
        </is>
      </c>
      <c r="E120" t="inlineStr">
        <is>
          <t>NORRTÄLJE</t>
        </is>
      </c>
      <c r="G120" t="n">
        <v>11.5</v>
      </c>
      <c r="H120" t="n">
        <v>1</v>
      </c>
      <c r="I120" t="n">
        <v>0</v>
      </c>
      <c r="J120" t="n">
        <v>0</v>
      </c>
      <c r="K120" t="n">
        <v>1</v>
      </c>
      <c r="L120" t="n">
        <v>0</v>
      </c>
      <c r="M120" t="n">
        <v>0</v>
      </c>
      <c r="N120" t="n">
        <v>0</v>
      </c>
      <c r="O120" t="n">
        <v>1</v>
      </c>
      <c r="P120" t="n">
        <v>1</v>
      </c>
      <c r="Q120" t="n">
        <v>1</v>
      </c>
      <c r="R120" s="2" t="inlineStr">
        <is>
          <t>Knärot</t>
        </is>
      </c>
      <c r="S120">
        <f>HYPERLINK("https://klasma.github.io/Logging_0188/artfynd/A 52133-2022 artfynd.xlsx", "A 52133-2022")</f>
        <v/>
      </c>
      <c r="T120">
        <f>HYPERLINK("https://klasma.github.io/Logging_0188/kartor/A 52133-2022 karta.png", "A 52133-2022")</f>
        <v/>
      </c>
      <c r="U120">
        <f>HYPERLINK("https://klasma.github.io/Logging_0188/knärot/A 52133-2022 karta knärot.png", "A 52133-2022")</f>
        <v/>
      </c>
      <c r="V120">
        <f>HYPERLINK("https://klasma.github.io/Logging_0188/klagomål/A 52133-2022 FSC-klagomål.docx", "A 52133-2022")</f>
        <v/>
      </c>
      <c r="W120">
        <f>HYPERLINK("https://klasma.github.io/Logging_0188/klagomålsmail/A 52133-2022 FSC-klagomål mail.docx", "A 52133-2022")</f>
        <v/>
      </c>
      <c r="X120">
        <f>HYPERLINK("https://klasma.github.io/Logging_0188/tillsyn/A 52133-2022 tillsynsbegäran.docx", "A 52133-2022")</f>
        <v/>
      </c>
      <c r="Y120">
        <f>HYPERLINK("https://klasma.github.io/Logging_0188/tillsynsmail/A 52133-2022 tillsynsbegäran mail.docx", "A 52133-2022")</f>
        <v/>
      </c>
    </row>
    <row r="121" ht="15" customHeight="1">
      <c r="A121" t="inlineStr">
        <is>
          <t>A 48492-2022</t>
        </is>
      </c>
      <c r="B121" s="1" t="n">
        <v>44858</v>
      </c>
      <c r="C121" s="1" t="n">
        <v>46192</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188-2022</t>
        </is>
      </c>
      <c r="B122" s="1" t="n">
        <v>44564</v>
      </c>
      <c r="C122" s="1" t="n">
        <v>46192</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60209-2021</t>
        </is>
      </c>
      <c r="B123" s="1" t="n">
        <v>44495</v>
      </c>
      <c r="C123" s="1" t="n">
        <v>46192</v>
      </c>
      <c r="D123" t="inlineStr">
        <is>
          <t>STOCKHOLMS LÄN</t>
        </is>
      </c>
      <c r="E123" t="inlineStr">
        <is>
          <t>NORRTÄLJE</t>
        </is>
      </c>
      <c r="G123" t="n">
        <v>4.3</v>
      </c>
      <c r="H123" t="n">
        <v>1</v>
      </c>
      <c r="I123" t="n">
        <v>0</v>
      </c>
      <c r="J123" t="n">
        <v>0</v>
      </c>
      <c r="K123" t="n">
        <v>0</v>
      </c>
      <c r="L123" t="n">
        <v>0</v>
      </c>
      <c r="M123" t="n">
        <v>0</v>
      </c>
      <c r="N123" t="n">
        <v>0</v>
      </c>
      <c r="O123" t="n">
        <v>0</v>
      </c>
      <c r="P123" t="n">
        <v>0</v>
      </c>
      <c r="Q123" t="n">
        <v>1</v>
      </c>
      <c r="R123" s="2" t="inlineStr">
        <is>
          <t>Blåsippa</t>
        </is>
      </c>
      <c r="S123">
        <f>HYPERLINK("https://klasma.github.io/Logging_0188/artfynd/A 60209-2021 artfynd.xlsx", "A 60209-2021")</f>
        <v/>
      </c>
      <c r="T123">
        <f>HYPERLINK("https://klasma.github.io/Logging_0188/kartor/A 60209-2021 karta.png", "A 60209-2021")</f>
        <v/>
      </c>
      <c r="V123">
        <f>HYPERLINK("https://klasma.github.io/Logging_0188/klagomål/A 60209-2021 FSC-klagomål.docx", "A 60209-2021")</f>
        <v/>
      </c>
      <c r="W123">
        <f>HYPERLINK("https://klasma.github.io/Logging_0188/klagomålsmail/A 60209-2021 FSC-klagomål mail.docx", "A 60209-2021")</f>
        <v/>
      </c>
      <c r="X123">
        <f>HYPERLINK("https://klasma.github.io/Logging_0188/tillsyn/A 60209-2021 tillsynsbegäran.docx", "A 60209-2021")</f>
        <v/>
      </c>
      <c r="Y123">
        <f>HYPERLINK("https://klasma.github.io/Logging_0188/tillsynsmail/A 60209-2021 tillsynsbegäran mail.docx", "A 60209-2021")</f>
        <v/>
      </c>
    </row>
    <row r="124" ht="15" customHeight="1">
      <c r="A124" t="inlineStr">
        <is>
          <t>A 53884-2022</t>
        </is>
      </c>
      <c r="B124" s="1" t="n">
        <v>44880</v>
      </c>
      <c r="C124" s="1" t="n">
        <v>46192</v>
      </c>
      <c r="D124" t="inlineStr">
        <is>
          <t>STOCKHOLMS LÄN</t>
        </is>
      </c>
      <c r="E124" t="inlineStr">
        <is>
          <t>NORRTÄLJE</t>
        </is>
      </c>
      <c r="G124" t="n">
        <v>0.6</v>
      </c>
      <c r="H124" t="n">
        <v>0</v>
      </c>
      <c r="I124" t="n">
        <v>0</v>
      </c>
      <c r="J124" t="n">
        <v>0</v>
      </c>
      <c r="K124" t="n">
        <v>1</v>
      </c>
      <c r="L124" t="n">
        <v>0</v>
      </c>
      <c r="M124" t="n">
        <v>0</v>
      </c>
      <c r="N124" t="n">
        <v>0</v>
      </c>
      <c r="O124" t="n">
        <v>1</v>
      </c>
      <c r="P124" t="n">
        <v>1</v>
      </c>
      <c r="Q124" t="n">
        <v>1</v>
      </c>
      <c r="R124" s="2" t="inlineStr">
        <is>
          <t>Hartmansstarr</t>
        </is>
      </c>
      <c r="S124">
        <f>HYPERLINK("https://klasma.github.io/Logging_0188/artfynd/A 53884-2022 artfynd.xlsx", "A 53884-2022")</f>
        <v/>
      </c>
      <c r="T124">
        <f>HYPERLINK("https://klasma.github.io/Logging_0188/kartor/A 53884-2022 karta.png", "A 53884-2022")</f>
        <v/>
      </c>
      <c r="V124">
        <f>HYPERLINK("https://klasma.github.io/Logging_0188/klagomål/A 53884-2022 FSC-klagomål.docx", "A 53884-2022")</f>
        <v/>
      </c>
      <c r="W124">
        <f>HYPERLINK("https://klasma.github.io/Logging_0188/klagomålsmail/A 53884-2022 FSC-klagomål mail.docx", "A 53884-2022")</f>
        <v/>
      </c>
      <c r="X124">
        <f>HYPERLINK("https://klasma.github.io/Logging_0188/tillsyn/A 53884-2022 tillsynsbegäran.docx", "A 53884-2022")</f>
        <v/>
      </c>
      <c r="Y124">
        <f>HYPERLINK("https://klasma.github.io/Logging_0188/tillsynsmail/A 53884-2022 tillsynsbegäran mail.docx", "A 53884-2022")</f>
        <v/>
      </c>
    </row>
    <row r="125" ht="15" customHeight="1">
      <c r="A125" t="inlineStr">
        <is>
          <t>A 17629-2022</t>
        </is>
      </c>
      <c r="B125" s="1" t="n">
        <v>44680</v>
      </c>
      <c r="C125" s="1" t="n">
        <v>46192</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52139-2022</t>
        </is>
      </c>
      <c r="B126" s="1" t="n">
        <v>44868</v>
      </c>
      <c r="C126" s="1" t="n">
        <v>46192</v>
      </c>
      <c r="D126" t="inlineStr">
        <is>
          <t>STOCKHOLMS LÄN</t>
        </is>
      </c>
      <c r="E126" t="inlineStr">
        <is>
          <t>NORRTÄLJE</t>
        </is>
      </c>
      <c r="G126" t="n">
        <v>3.2</v>
      </c>
      <c r="H126" t="n">
        <v>1</v>
      </c>
      <c r="I126" t="n">
        <v>0</v>
      </c>
      <c r="J126" t="n">
        <v>0</v>
      </c>
      <c r="K126" t="n">
        <v>1</v>
      </c>
      <c r="L126" t="n">
        <v>0</v>
      </c>
      <c r="M126" t="n">
        <v>0</v>
      </c>
      <c r="N126" t="n">
        <v>0</v>
      </c>
      <c r="O126" t="n">
        <v>1</v>
      </c>
      <c r="P126" t="n">
        <v>1</v>
      </c>
      <c r="Q126" t="n">
        <v>1</v>
      </c>
      <c r="R126" s="2" t="inlineStr">
        <is>
          <t>Knärot</t>
        </is>
      </c>
      <c r="S126">
        <f>HYPERLINK("https://klasma.github.io/Logging_0188/artfynd/A 52139-2022 artfynd.xlsx", "A 52139-2022")</f>
        <v/>
      </c>
      <c r="T126">
        <f>HYPERLINK("https://klasma.github.io/Logging_0188/kartor/A 52139-2022 karta.png", "A 52139-2022")</f>
        <v/>
      </c>
      <c r="U126">
        <f>HYPERLINK("https://klasma.github.io/Logging_0188/knärot/A 52139-2022 karta knärot.png", "A 52139-2022")</f>
        <v/>
      </c>
      <c r="V126">
        <f>HYPERLINK("https://klasma.github.io/Logging_0188/klagomål/A 52139-2022 FSC-klagomål.docx", "A 52139-2022")</f>
        <v/>
      </c>
      <c r="W126">
        <f>HYPERLINK("https://klasma.github.io/Logging_0188/klagomålsmail/A 52139-2022 FSC-klagomål mail.docx", "A 52139-2022")</f>
        <v/>
      </c>
      <c r="X126">
        <f>HYPERLINK("https://klasma.github.io/Logging_0188/tillsyn/A 52139-2022 tillsynsbegäran.docx", "A 52139-2022")</f>
        <v/>
      </c>
      <c r="Y126">
        <f>HYPERLINK("https://klasma.github.io/Logging_0188/tillsynsmail/A 52139-2022 tillsynsbegäran mail.docx", "A 52139-2022")</f>
        <v/>
      </c>
    </row>
    <row r="127" ht="15" customHeight="1">
      <c r="A127" t="inlineStr">
        <is>
          <t>A 52260-2022</t>
        </is>
      </c>
      <c r="B127" s="1" t="n">
        <v>44869</v>
      </c>
      <c r="C127" s="1" t="n">
        <v>46192</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Blåsippa</t>
        </is>
      </c>
      <c r="S127">
        <f>HYPERLINK("https://klasma.github.io/Logging_0188/artfynd/A 52260-2022 artfynd.xlsx", "A 52260-2022")</f>
        <v/>
      </c>
      <c r="T127">
        <f>HYPERLINK("https://klasma.github.io/Logging_0188/kartor/A 52260-2022 karta.png", "A 52260-2022")</f>
        <v/>
      </c>
      <c r="V127">
        <f>HYPERLINK("https://klasma.github.io/Logging_0188/klagomål/A 52260-2022 FSC-klagomål.docx", "A 52260-2022")</f>
        <v/>
      </c>
      <c r="W127">
        <f>HYPERLINK("https://klasma.github.io/Logging_0188/klagomålsmail/A 52260-2022 FSC-klagomål mail.docx", "A 52260-2022")</f>
        <v/>
      </c>
      <c r="X127">
        <f>HYPERLINK("https://klasma.github.io/Logging_0188/tillsyn/A 52260-2022 tillsynsbegäran.docx", "A 52260-2022")</f>
        <v/>
      </c>
      <c r="Y127">
        <f>HYPERLINK("https://klasma.github.io/Logging_0188/tillsynsmail/A 52260-2022 tillsynsbegäran mail.docx", "A 52260-2022")</f>
        <v/>
      </c>
    </row>
    <row r="128" ht="15" customHeight="1">
      <c r="A128" t="inlineStr">
        <is>
          <t>A 24245-2024</t>
        </is>
      </c>
      <c r="B128" s="1" t="n">
        <v>45457</v>
      </c>
      <c r="C128" s="1" t="n">
        <v>46192</v>
      </c>
      <c r="D128" t="inlineStr">
        <is>
          <t>STOCKHOLMS LÄN</t>
        </is>
      </c>
      <c r="E128" t="inlineStr">
        <is>
          <t>NORRTÄLJE</t>
        </is>
      </c>
      <c r="F128" t="inlineStr">
        <is>
          <t>Holmen skog AB</t>
        </is>
      </c>
      <c r="G128" t="n">
        <v>3.4</v>
      </c>
      <c r="H128" t="n">
        <v>1</v>
      </c>
      <c r="I128" t="n">
        <v>0</v>
      </c>
      <c r="J128" t="n">
        <v>0</v>
      </c>
      <c r="K128" t="n">
        <v>1</v>
      </c>
      <c r="L128" t="n">
        <v>0</v>
      </c>
      <c r="M128" t="n">
        <v>0</v>
      </c>
      <c r="N128" t="n">
        <v>0</v>
      </c>
      <c r="O128" t="n">
        <v>1</v>
      </c>
      <c r="P128" t="n">
        <v>1</v>
      </c>
      <c r="Q128" t="n">
        <v>1</v>
      </c>
      <c r="R128" s="2" t="inlineStr">
        <is>
          <t>Hällebräcka</t>
        </is>
      </c>
      <c r="S128">
        <f>HYPERLINK("https://klasma.github.io/Logging_0188/artfynd/A 24245-2024 artfynd.xlsx", "A 24245-2024")</f>
        <v/>
      </c>
      <c r="T128">
        <f>HYPERLINK("https://klasma.github.io/Logging_0188/kartor/A 24245-2024 karta.png", "A 24245-2024")</f>
        <v/>
      </c>
      <c r="V128">
        <f>HYPERLINK("https://klasma.github.io/Logging_0188/klagomål/A 24245-2024 FSC-klagomål.docx", "A 24245-2024")</f>
        <v/>
      </c>
      <c r="W128">
        <f>HYPERLINK("https://klasma.github.io/Logging_0188/klagomålsmail/A 24245-2024 FSC-klagomål mail.docx", "A 24245-2024")</f>
        <v/>
      </c>
      <c r="X128">
        <f>HYPERLINK("https://klasma.github.io/Logging_0188/tillsyn/A 24245-2024 tillsynsbegäran.docx", "A 24245-2024")</f>
        <v/>
      </c>
      <c r="Y128">
        <f>HYPERLINK("https://klasma.github.io/Logging_0188/tillsynsmail/A 24245-2024 tillsynsbegäran mail.docx", "A 24245-2024")</f>
        <v/>
      </c>
    </row>
    <row r="129" ht="15" customHeight="1">
      <c r="A129" t="inlineStr">
        <is>
          <t>A 11429-2023</t>
        </is>
      </c>
      <c r="B129" s="1" t="n">
        <v>44993</v>
      </c>
      <c r="C129" s="1" t="n">
        <v>46192</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40861-2025</t>
        </is>
      </c>
      <c r="B130" s="1" t="n">
        <v>45897</v>
      </c>
      <c r="C130" s="1" t="n">
        <v>46192</v>
      </c>
      <c r="D130" t="inlineStr">
        <is>
          <t>STOCKHOLMS LÄN</t>
        </is>
      </c>
      <c r="E130" t="inlineStr">
        <is>
          <t>NORRTÄLJE</t>
        </is>
      </c>
      <c r="G130" t="n">
        <v>4</v>
      </c>
      <c r="H130" t="n">
        <v>0</v>
      </c>
      <c r="I130" t="n">
        <v>0</v>
      </c>
      <c r="J130" t="n">
        <v>1</v>
      </c>
      <c r="K130" t="n">
        <v>0</v>
      </c>
      <c r="L130" t="n">
        <v>0</v>
      </c>
      <c r="M130" t="n">
        <v>0</v>
      </c>
      <c r="N130" t="n">
        <v>0</v>
      </c>
      <c r="O130" t="n">
        <v>1</v>
      </c>
      <c r="P130" t="n">
        <v>0</v>
      </c>
      <c r="Q130" t="n">
        <v>1</v>
      </c>
      <c r="R130" s="2" t="inlineStr">
        <is>
          <t>Skogsklocka</t>
        </is>
      </c>
      <c r="S130">
        <f>HYPERLINK("https://klasma.github.io/Logging_0188/artfynd/A 40861-2025 artfynd.xlsx", "A 40861-2025")</f>
        <v/>
      </c>
      <c r="T130">
        <f>HYPERLINK("https://klasma.github.io/Logging_0188/kartor/A 40861-2025 karta.png", "A 40861-2025")</f>
        <v/>
      </c>
      <c r="V130">
        <f>HYPERLINK("https://klasma.github.io/Logging_0188/klagomål/A 40861-2025 FSC-klagomål.docx", "A 40861-2025")</f>
        <v/>
      </c>
      <c r="W130">
        <f>HYPERLINK("https://klasma.github.io/Logging_0188/klagomålsmail/A 40861-2025 FSC-klagomål mail.docx", "A 40861-2025")</f>
        <v/>
      </c>
      <c r="X130">
        <f>HYPERLINK("https://klasma.github.io/Logging_0188/tillsyn/A 40861-2025 tillsynsbegäran.docx", "A 40861-2025")</f>
        <v/>
      </c>
      <c r="Y130">
        <f>HYPERLINK("https://klasma.github.io/Logging_0188/tillsynsmail/A 40861-2025 tillsynsbegäran mail.docx", "A 40861-2025")</f>
        <v/>
      </c>
    </row>
    <row r="131" ht="15" customHeight="1">
      <c r="A131" t="inlineStr">
        <is>
          <t>A 42075-2023</t>
        </is>
      </c>
      <c r="B131" s="1" t="n">
        <v>45177</v>
      </c>
      <c r="C131" s="1" t="n">
        <v>46192</v>
      </c>
      <c r="D131" t="inlineStr">
        <is>
          <t>STOCKHOLMS LÄN</t>
        </is>
      </c>
      <c r="E131" t="inlineStr">
        <is>
          <t>NORRTÄLJE</t>
        </is>
      </c>
      <c r="G131" t="n">
        <v>2.5</v>
      </c>
      <c r="H131" t="n">
        <v>1</v>
      </c>
      <c r="I131" t="n">
        <v>1</v>
      </c>
      <c r="J131" t="n">
        <v>0</v>
      </c>
      <c r="K131" t="n">
        <v>0</v>
      </c>
      <c r="L131" t="n">
        <v>0</v>
      </c>
      <c r="M131" t="n">
        <v>0</v>
      </c>
      <c r="N131" t="n">
        <v>0</v>
      </c>
      <c r="O131" t="n">
        <v>0</v>
      </c>
      <c r="P131" t="n">
        <v>0</v>
      </c>
      <c r="Q131" t="n">
        <v>1</v>
      </c>
      <c r="R131" s="2" t="inlineStr">
        <is>
          <t>Skogsknipprot</t>
        </is>
      </c>
      <c r="S131">
        <f>HYPERLINK("https://klasma.github.io/Logging_0188/artfynd/A 42075-2023 artfynd.xlsx", "A 42075-2023")</f>
        <v/>
      </c>
      <c r="T131">
        <f>HYPERLINK("https://klasma.github.io/Logging_0188/kartor/A 42075-2023 karta.png", "A 42075-2023")</f>
        <v/>
      </c>
      <c r="V131">
        <f>HYPERLINK("https://klasma.github.io/Logging_0188/klagomål/A 42075-2023 FSC-klagomål.docx", "A 42075-2023")</f>
        <v/>
      </c>
      <c r="W131">
        <f>HYPERLINK("https://klasma.github.io/Logging_0188/klagomålsmail/A 42075-2023 FSC-klagomål mail.docx", "A 42075-2023")</f>
        <v/>
      </c>
      <c r="X131">
        <f>HYPERLINK("https://klasma.github.io/Logging_0188/tillsyn/A 42075-2023 tillsynsbegäran.docx", "A 42075-2023")</f>
        <v/>
      </c>
      <c r="Y131">
        <f>HYPERLINK("https://klasma.github.io/Logging_0188/tillsynsmail/A 42075-2023 tillsynsbegäran mail.docx", "A 42075-2023")</f>
        <v/>
      </c>
    </row>
    <row r="132" ht="15" customHeight="1">
      <c r="A132" t="inlineStr">
        <is>
          <t>A 28816-2023</t>
        </is>
      </c>
      <c r="B132" s="1" t="n">
        <v>45104</v>
      </c>
      <c r="C132" s="1" t="n">
        <v>46192</v>
      </c>
      <c r="D132" t="inlineStr">
        <is>
          <t>STOCKHOLMS LÄN</t>
        </is>
      </c>
      <c r="E132" t="inlineStr">
        <is>
          <t>NORRTÄLJE</t>
        </is>
      </c>
      <c r="F132" t="inlineStr">
        <is>
          <t>Kommuner</t>
        </is>
      </c>
      <c r="G132" t="n">
        <v>0.5</v>
      </c>
      <c r="H132" t="n">
        <v>1</v>
      </c>
      <c r="I132" t="n">
        <v>0</v>
      </c>
      <c r="J132" t="n">
        <v>0</v>
      </c>
      <c r="K132" t="n">
        <v>0</v>
      </c>
      <c r="L132" t="n">
        <v>0</v>
      </c>
      <c r="M132" t="n">
        <v>0</v>
      </c>
      <c r="N132" t="n">
        <v>0</v>
      </c>
      <c r="O132" t="n">
        <v>0</v>
      </c>
      <c r="P132" t="n">
        <v>0</v>
      </c>
      <c r="Q132" t="n">
        <v>1</v>
      </c>
      <c r="R132" s="2" t="inlineStr">
        <is>
          <t>Kungsfågel</t>
        </is>
      </c>
      <c r="S132">
        <f>HYPERLINK("https://klasma.github.io/Logging_0188/artfynd/A 28816-2023 artfynd.xlsx", "A 28816-2023")</f>
        <v/>
      </c>
      <c r="T132">
        <f>HYPERLINK("https://klasma.github.io/Logging_0188/kartor/A 28816-2023 karta.png", "A 28816-2023")</f>
        <v/>
      </c>
      <c r="V132">
        <f>HYPERLINK("https://klasma.github.io/Logging_0188/klagomål/A 28816-2023 FSC-klagomål.docx", "A 28816-2023")</f>
        <v/>
      </c>
      <c r="W132">
        <f>HYPERLINK("https://klasma.github.io/Logging_0188/klagomålsmail/A 28816-2023 FSC-klagomål mail.docx", "A 28816-2023")</f>
        <v/>
      </c>
      <c r="X132">
        <f>HYPERLINK("https://klasma.github.io/Logging_0188/tillsyn/A 28816-2023 tillsynsbegäran.docx", "A 28816-2023")</f>
        <v/>
      </c>
      <c r="Y132">
        <f>HYPERLINK("https://klasma.github.io/Logging_0188/tillsynsmail/A 28816-2023 tillsynsbegäran mail.docx", "A 28816-2023")</f>
        <v/>
      </c>
      <c r="Z132">
        <f>HYPERLINK("https://klasma.github.io/Logging_0188/fåglar/A 28816-2023 prioriterade fågelarter.docx", "A 28816-2023")</f>
        <v/>
      </c>
    </row>
    <row r="133" ht="15" customHeight="1">
      <c r="A133" t="inlineStr">
        <is>
          <t>A 42313-2025</t>
        </is>
      </c>
      <c r="B133" s="1" t="n">
        <v>45904</v>
      </c>
      <c r="C133" s="1" t="n">
        <v>46192</v>
      </c>
      <c r="D133" t="inlineStr">
        <is>
          <t>STOCKHOLMS LÄN</t>
        </is>
      </c>
      <c r="E133" t="inlineStr">
        <is>
          <t>NORRTÄLJE</t>
        </is>
      </c>
      <c r="G133" t="n">
        <v>1.7</v>
      </c>
      <c r="H133" t="n">
        <v>1</v>
      </c>
      <c r="I133" t="n">
        <v>0</v>
      </c>
      <c r="J133" t="n">
        <v>0</v>
      </c>
      <c r="K133" t="n">
        <v>0</v>
      </c>
      <c r="L133" t="n">
        <v>0</v>
      </c>
      <c r="M133" t="n">
        <v>0</v>
      </c>
      <c r="N133" t="n">
        <v>0</v>
      </c>
      <c r="O133" t="n">
        <v>0</v>
      </c>
      <c r="P133" t="n">
        <v>0</v>
      </c>
      <c r="Q133" t="n">
        <v>1</v>
      </c>
      <c r="R133" s="2" t="inlineStr">
        <is>
          <t>Vanlig padda</t>
        </is>
      </c>
      <c r="S133">
        <f>HYPERLINK("https://klasma.github.io/Logging_0188/artfynd/A 42313-2025 artfynd.xlsx", "A 42313-2025")</f>
        <v/>
      </c>
      <c r="T133">
        <f>HYPERLINK("https://klasma.github.io/Logging_0188/kartor/A 42313-2025 karta.png", "A 42313-2025")</f>
        <v/>
      </c>
      <c r="V133">
        <f>HYPERLINK("https://klasma.github.io/Logging_0188/klagomål/A 42313-2025 FSC-klagomål.docx", "A 42313-2025")</f>
        <v/>
      </c>
      <c r="W133">
        <f>HYPERLINK("https://klasma.github.io/Logging_0188/klagomålsmail/A 42313-2025 FSC-klagomål mail.docx", "A 42313-2025")</f>
        <v/>
      </c>
      <c r="X133">
        <f>HYPERLINK("https://klasma.github.io/Logging_0188/tillsyn/A 42313-2025 tillsynsbegäran.docx", "A 42313-2025")</f>
        <v/>
      </c>
      <c r="Y133">
        <f>HYPERLINK("https://klasma.github.io/Logging_0188/tillsynsmail/A 42313-2025 tillsynsbegäran mail.docx", "A 42313-2025")</f>
        <v/>
      </c>
    </row>
    <row r="134" ht="15" customHeight="1">
      <c r="A134" t="inlineStr">
        <is>
          <t>A 52529-2025</t>
        </is>
      </c>
      <c r="B134" s="1" t="n">
        <v>45954</v>
      </c>
      <c r="C134" s="1" t="n">
        <v>46192</v>
      </c>
      <c r="D134" t="inlineStr">
        <is>
          <t>STOCKHOLMS LÄN</t>
        </is>
      </c>
      <c r="E134" t="inlineStr">
        <is>
          <t>NORRTÄLJE</t>
        </is>
      </c>
      <c r="F134" t="inlineStr">
        <is>
          <t>Sveaskog</t>
        </is>
      </c>
      <c r="G134" t="n">
        <v>7.8</v>
      </c>
      <c r="H134" t="n">
        <v>1</v>
      </c>
      <c r="I134" t="n">
        <v>0</v>
      </c>
      <c r="J134" t="n">
        <v>0</v>
      </c>
      <c r="K134" t="n">
        <v>0</v>
      </c>
      <c r="L134" t="n">
        <v>1</v>
      </c>
      <c r="M134" t="n">
        <v>0</v>
      </c>
      <c r="N134" t="n">
        <v>0</v>
      </c>
      <c r="O134" t="n">
        <v>1</v>
      </c>
      <c r="P134" t="n">
        <v>1</v>
      </c>
      <c r="Q134" t="n">
        <v>1</v>
      </c>
      <c r="R134" s="2" t="inlineStr">
        <is>
          <t>Pärluggla</t>
        </is>
      </c>
      <c r="S134">
        <f>HYPERLINK("https://klasma.github.io/Logging_0188/artfynd/A 52529-2025 artfynd.xlsx", "A 52529-2025")</f>
        <v/>
      </c>
      <c r="T134">
        <f>HYPERLINK("https://klasma.github.io/Logging_0188/kartor/A 52529-2025 karta.png", "A 52529-2025")</f>
        <v/>
      </c>
      <c r="V134">
        <f>HYPERLINK("https://klasma.github.io/Logging_0188/klagomål/A 52529-2025 FSC-klagomål.docx", "A 52529-2025")</f>
        <v/>
      </c>
      <c r="W134">
        <f>HYPERLINK("https://klasma.github.io/Logging_0188/klagomålsmail/A 52529-2025 FSC-klagomål mail.docx", "A 52529-2025")</f>
        <v/>
      </c>
      <c r="X134">
        <f>HYPERLINK("https://klasma.github.io/Logging_0188/tillsyn/A 52529-2025 tillsynsbegäran.docx", "A 52529-2025")</f>
        <v/>
      </c>
      <c r="Y134">
        <f>HYPERLINK("https://klasma.github.io/Logging_0188/tillsynsmail/A 52529-2025 tillsynsbegäran mail.docx", "A 52529-2025")</f>
        <v/>
      </c>
      <c r="Z134">
        <f>HYPERLINK("https://klasma.github.io/Logging_0188/fåglar/A 52529-2025 prioriterade fågelarter.docx", "A 52529-2025")</f>
        <v/>
      </c>
    </row>
    <row r="135" ht="15" customHeight="1">
      <c r="A135" t="inlineStr">
        <is>
          <t>A 52775-2025</t>
        </is>
      </c>
      <c r="B135" s="1" t="n">
        <v>45957</v>
      </c>
      <c r="C135" s="1" t="n">
        <v>46192</v>
      </c>
      <c r="D135" t="inlineStr">
        <is>
          <t>STOCKHOLMS LÄN</t>
        </is>
      </c>
      <c r="E135" t="inlineStr">
        <is>
          <t>NORRTÄLJE</t>
        </is>
      </c>
      <c r="F135" t="inlineStr">
        <is>
          <t>Sveaskog</t>
        </is>
      </c>
      <c r="G135" t="n">
        <v>5.6</v>
      </c>
      <c r="H135" t="n">
        <v>0</v>
      </c>
      <c r="I135" t="n">
        <v>0</v>
      </c>
      <c r="J135" t="n">
        <v>1</v>
      </c>
      <c r="K135" t="n">
        <v>0</v>
      </c>
      <c r="L135" t="n">
        <v>0</v>
      </c>
      <c r="M135" t="n">
        <v>0</v>
      </c>
      <c r="N135" t="n">
        <v>0</v>
      </c>
      <c r="O135" t="n">
        <v>1</v>
      </c>
      <c r="P135" t="n">
        <v>0</v>
      </c>
      <c r="Q135" t="n">
        <v>1</v>
      </c>
      <c r="R135" s="2" t="inlineStr">
        <is>
          <t>Vedtrappmossa</t>
        </is>
      </c>
      <c r="S135">
        <f>HYPERLINK("https://klasma.github.io/Logging_0188/artfynd/A 52775-2025 artfynd.xlsx", "A 52775-2025")</f>
        <v/>
      </c>
      <c r="T135">
        <f>HYPERLINK("https://klasma.github.io/Logging_0188/kartor/A 52775-2025 karta.png", "A 52775-2025")</f>
        <v/>
      </c>
      <c r="V135">
        <f>HYPERLINK("https://klasma.github.io/Logging_0188/klagomål/A 52775-2025 FSC-klagomål.docx", "A 52775-2025")</f>
        <v/>
      </c>
      <c r="W135">
        <f>HYPERLINK("https://klasma.github.io/Logging_0188/klagomålsmail/A 52775-2025 FSC-klagomål mail.docx", "A 52775-2025")</f>
        <v/>
      </c>
      <c r="X135">
        <f>HYPERLINK("https://klasma.github.io/Logging_0188/tillsyn/A 52775-2025 tillsynsbegäran.docx", "A 52775-2025")</f>
        <v/>
      </c>
      <c r="Y135">
        <f>HYPERLINK("https://klasma.github.io/Logging_0188/tillsynsmail/A 52775-2025 tillsynsbegäran mail.docx", "A 52775-2025")</f>
        <v/>
      </c>
    </row>
    <row r="136" ht="15" customHeight="1">
      <c r="A136" t="inlineStr">
        <is>
          <t>A 53629-2025</t>
        </is>
      </c>
      <c r="B136" s="1" t="n">
        <v>45960</v>
      </c>
      <c r="C136" s="1" t="n">
        <v>46192</v>
      </c>
      <c r="D136" t="inlineStr">
        <is>
          <t>STOCKHOLMS LÄN</t>
        </is>
      </c>
      <c r="E136" t="inlineStr">
        <is>
          <t>NORRTÄLJE</t>
        </is>
      </c>
      <c r="F136" t="inlineStr">
        <is>
          <t>Naturvårdsverket</t>
        </is>
      </c>
      <c r="G136" t="n">
        <v>7.9</v>
      </c>
      <c r="H136" t="n">
        <v>0</v>
      </c>
      <c r="I136" t="n">
        <v>0</v>
      </c>
      <c r="J136" t="n">
        <v>1</v>
      </c>
      <c r="K136" t="n">
        <v>0</v>
      </c>
      <c r="L136" t="n">
        <v>0</v>
      </c>
      <c r="M136" t="n">
        <v>0</v>
      </c>
      <c r="N136" t="n">
        <v>0</v>
      </c>
      <c r="O136" t="n">
        <v>1</v>
      </c>
      <c r="P136" t="n">
        <v>0</v>
      </c>
      <c r="Q136" t="n">
        <v>1</v>
      </c>
      <c r="R136" s="2" t="inlineStr">
        <is>
          <t>Olvonglasvinge</t>
        </is>
      </c>
      <c r="S136">
        <f>HYPERLINK("https://klasma.github.io/Logging_0188/artfynd/A 53629-2025 artfynd.xlsx", "A 53629-2025")</f>
        <v/>
      </c>
      <c r="T136">
        <f>HYPERLINK("https://klasma.github.io/Logging_0188/kartor/A 53629-2025 karta.png", "A 53629-2025")</f>
        <v/>
      </c>
      <c r="V136">
        <f>HYPERLINK("https://klasma.github.io/Logging_0188/klagomål/A 53629-2025 FSC-klagomål.docx", "A 53629-2025")</f>
        <v/>
      </c>
      <c r="W136">
        <f>HYPERLINK("https://klasma.github.io/Logging_0188/klagomålsmail/A 53629-2025 FSC-klagomål mail.docx", "A 53629-2025")</f>
        <v/>
      </c>
      <c r="X136">
        <f>HYPERLINK("https://klasma.github.io/Logging_0188/tillsyn/A 53629-2025 tillsynsbegäran.docx", "A 53629-2025")</f>
        <v/>
      </c>
      <c r="Y136">
        <f>HYPERLINK("https://klasma.github.io/Logging_0188/tillsynsmail/A 53629-2025 tillsynsbegäran mail.docx", "A 53629-2025")</f>
        <v/>
      </c>
    </row>
    <row r="137" ht="15" customHeight="1">
      <c r="A137" t="inlineStr">
        <is>
          <t>A 13860-2023</t>
        </is>
      </c>
      <c r="B137" s="1" t="n">
        <v>45007</v>
      </c>
      <c r="C137" s="1" t="n">
        <v>46192</v>
      </c>
      <c r="D137" t="inlineStr">
        <is>
          <t>STOCKHOLMS LÄN</t>
        </is>
      </c>
      <c r="E137" t="inlineStr">
        <is>
          <t>NORRTÄLJE</t>
        </is>
      </c>
      <c r="G137" t="n">
        <v>1.6</v>
      </c>
      <c r="H137" t="n">
        <v>0</v>
      </c>
      <c r="I137" t="n">
        <v>0</v>
      </c>
      <c r="J137" t="n">
        <v>0</v>
      </c>
      <c r="K137" t="n">
        <v>0</v>
      </c>
      <c r="L137" t="n">
        <v>0</v>
      </c>
      <c r="M137" t="n">
        <v>1</v>
      </c>
      <c r="N137" t="n">
        <v>0</v>
      </c>
      <c r="O137" t="n">
        <v>1</v>
      </c>
      <c r="P137" t="n">
        <v>1</v>
      </c>
      <c r="Q137" t="n">
        <v>1</v>
      </c>
      <c r="R137" s="2" t="inlineStr">
        <is>
          <t>Äkta stormhatt</t>
        </is>
      </c>
      <c r="S137">
        <f>HYPERLINK("https://klasma.github.io/Logging_0188/artfynd/A 13860-2023 artfynd.xlsx", "A 13860-2023")</f>
        <v/>
      </c>
      <c r="T137">
        <f>HYPERLINK("https://klasma.github.io/Logging_0188/kartor/A 13860-2023 karta.png", "A 13860-2023")</f>
        <v/>
      </c>
      <c r="V137">
        <f>HYPERLINK("https://klasma.github.io/Logging_0188/klagomål/A 13860-2023 FSC-klagomål.docx", "A 13860-2023")</f>
        <v/>
      </c>
      <c r="W137">
        <f>HYPERLINK("https://klasma.github.io/Logging_0188/klagomålsmail/A 13860-2023 FSC-klagomål mail.docx", "A 13860-2023")</f>
        <v/>
      </c>
      <c r="X137">
        <f>HYPERLINK("https://klasma.github.io/Logging_0188/tillsyn/A 13860-2023 tillsynsbegäran.docx", "A 13860-2023")</f>
        <v/>
      </c>
      <c r="Y137">
        <f>HYPERLINK("https://klasma.github.io/Logging_0188/tillsynsmail/A 13860-2023 tillsynsbegäran mail.docx", "A 13860-2023")</f>
        <v/>
      </c>
    </row>
    <row r="138" ht="15" customHeight="1">
      <c r="A138" t="inlineStr">
        <is>
          <t>A 21329-2022</t>
        </is>
      </c>
      <c r="B138" s="1" t="n">
        <v>44705</v>
      </c>
      <c r="C138" s="1" t="n">
        <v>46192</v>
      </c>
      <c r="D138" t="inlineStr">
        <is>
          <t>STOCKHOLMS LÄN</t>
        </is>
      </c>
      <c r="E138" t="inlineStr">
        <is>
          <t>NORRTÄLJE</t>
        </is>
      </c>
      <c r="G138" t="n">
        <v>4.1</v>
      </c>
      <c r="H138" t="n">
        <v>1</v>
      </c>
      <c r="I138" t="n">
        <v>1</v>
      </c>
      <c r="J138" t="n">
        <v>0</v>
      </c>
      <c r="K138" t="n">
        <v>0</v>
      </c>
      <c r="L138" t="n">
        <v>0</v>
      </c>
      <c r="M138" t="n">
        <v>0</v>
      </c>
      <c r="N138" t="n">
        <v>0</v>
      </c>
      <c r="O138" t="n">
        <v>0</v>
      </c>
      <c r="P138" t="n">
        <v>0</v>
      </c>
      <c r="Q138" t="n">
        <v>1</v>
      </c>
      <c r="R138" s="2" t="inlineStr">
        <is>
          <t>Skogsknipprot</t>
        </is>
      </c>
      <c r="S138">
        <f>HYPERLINK("https://klasma.github.io/Logging_0188/artfynd/A 21329-2022 artfynd.xlsx", "A 21329-2022")</f>
        <v/>
      </c>
      <c r="T138">
        <f>HYPERLINK("https://klasma.github.io/Logging_0188/kartor/A 21329-2022 karta.png", "A 21329-2022")</f>
        <v/>
      </c>
      <c r="V138">
        <f>HYPERLINK("https://klasma.github.io/Logging_0188/klagomål/A 21329-2022 FSC-klagomål.docx", "A 21329-2022")</f>
        <v/>
      </c>
      <c r="W138">
        <f>HYPERLINK("https://klasma.github.io/Logging_0188/klagomålsmail/A 21329-2022 FSC-klagomål mail.docx", "A 21329-2022")</f>
        <v/>
      </c>
      <c r="X138">
        <f>HYPERLINK("https://klasma.github.io/Logging_0188/tillsyn/A 21329-2022 tillsynsbegäran.docx", "A 21329-2022")</f>
        <v/>
      </c>
      <c r="Y138">
        <f>HYPERLINK("https://klasma.github.io/Logging_0188/tillsynsmail/A 21329-2022 tillsynsbegäran mail.docx", "A 21329-2022")</f>
        <v/>
      </c>
    </row>
    <row r="139" ht="15" customHeight="1">
      <c r="A139" t="inlineStr">
        <is>
          <t>A 5823-2023</t>
        </is>
      </c>
      <c r="B139" s="1" t="n">
        <v>44963</v>
      </c>
      <c r="C139" s="1" t="n">
        <v>46192</v>
      </c>
      <c r="D139" t="inlineStr">
        <is>
          <t>STOCKHOLMS LÄN</t>
        </is>
      </c>
      <c r="E139" t="inlineStr">
        <is>
          <t>NORRTÄLJE</t>
        </is>
      </c>
      <c r="G139" t="n">
        <v>0.7</v>
      </c>
      <c r="H139" t="n">
        <v>0</v>
      </c>
      <c r="I139" t="n">
        <v>0</v>
      </c>
      <c r="J139" t="n">
        <v>1</v>
      </c>
      <c r="K139" t="n">
        <v>0</v>
      </c>
      <c r="L139" t="n">
        <v>0</v>
      </c>
      <c r="M139" t="n">
        <v>0</v>
      </c>
      <c r="N139" t="n">
        <v>0</v>
      </c>
      <c r="O139" t="n">
        <v>1</v>
      </c>
      <c r="P139" t="n">
        <v>0</v>
      </c>
      <c r="Q139" t="n">
        <v>1</v>
      </c>
      <c r="R139" s="2" t="inlineStr">
        <is>
          <t>Slåtterfibbla</t>
        </is>
      </c>
      <c r="S139">
        <f>HYPERLINK("https://klasma.github.io/Logging_0188/artfynd/A 5823-2023 artfynd.xlsx", "A 5823-2023")</f>
        <v/>
      </c>
      <c r="T139">
        <f>HYPERLINK("https://klasma.github.io/Logging_0188/kartor/A 5823-2023 karta.png", "A 5823-2023")</f>
        <v/>
      </c>
      <c r="V139">
        <f>HYPERLINK("https://klasma.github.io/Logging_0188/klagomål/A 5823-2023 FSC-klagomål.docx", "A 5823-2023")</f>
        <v/>
      </c>
      <c r="W139">
        <f>HYPERLINK("https://klasma.github.io/Logging_0188/klagomålsmail/A 5823-2023 FSC-klagomål mail.docx", "A 5823-2023")</f>
        <v/>
      </c>
      <c r="X139">
        <f>HYPERLINK("https://klasma.github.io/Logging_0188/tillsyn/A 5823-2023 tillsynsbegäran.docx", "A 5823-2023")</f>
        <v/>
      </c>
      <c r="Y139">
        <f>HYPERLINK("https://klasma.github.io/Logging_0188/tillsynsmail/A 5823-2023 tillsynsbegäran mail.docx", "A 5823-2023")</f>
        <v/>
      </c>
    </row>
    <row r="140" ht="15" customHeight="1">
      <c r="A140" t="inlineStr">
        <is>
          <t>A 60765-2023</t>
        </is>
      </c>
      <c r="B140" s="1" t="n">
        <v>45260</v>
      </c>
      <c r="C140" s="1" t="n">
        <v>46192</v>
      </c>
      <c r="D140" t="inlineStr">
        <is>
          <t>STOCKHOLMS LÄN</t>
        </is>
      </c>
      <c r="E140" t="inlineStr">
        <is>
          <t>NORRTÄLJE</t>
        </is>
      </c>
      <c r="G140" t="n">
        <v>3.7</v>
      </c>
      <c r="H140" t="n">
        <v>1</v>
      </c>
      <c r="I140" t="n">
        <v>0</v>
      </c>
      <c r="J140" t="n">
        <v>0</v>
      </c>
      <c r="K140" t="n">
        <v>0</v>
      </c>
      <c r="L140" t="n">
        <v>0</v>
      </c>
      <c r="M140" t="n">
        <v>0</v>
      </c>
      <c r="N140" t="n">
        <v>0</v>
      </c>
      <c r="O140" t="n">
        <v>0</v>
      </c>
      <c r="P140" t="n">
        <v>0</v>
      </c>
      <c r="Q140" t="n">
        <v>1</v>
      </c>
      <c r="R140" s="2" t="inlineStr">
        <is>
          <t>Pudrad kärrtrollslända</t>
        </is>
      </c>
      <c r="S140">
        <f>HYPERLINK("https://klasma.github.io/Logging_0188/artfynd/A 60765-2023 artfynd.xlsx", "A 60765-2023")</f>
        <v/>
      </c>
      <c r="T140">
        <f>HYPERLINK("https://klasma.github.io/Logging_0188/kartor/A 60765-2023 karta.png", "A 60765-2023")</f>
        <v/>
      </c>
      <c r="V140">
        <f>HYPERLINK("https://klasma.github.io/Logging_0188/klagomål/A 60765-2023 FSC-klagomål.docx", "A 60765-2023")</f>
        <v/>
      </c>
      <c r="W140">
        <f>HYPERLINK("https://klasma.github.io/Logging_0188/klagomålsmail/A 60765-2023 FSC-klagomål mail.docx", "A 60765-2023")</f>
        <v/>
      </c>
      <c r="X140">
        <f>HYPERLINK("https://klasma.github.io/Logging_0188/tillsyn/A 60765-2023 tillsynsbegäran.docx", "A 60765-2023")</f>
        <v/>
      </c>
      <c r="Y140">
        <f>HYPERLINK("https://klasma.github.io/Logging_0188/tillsynsmail/A 60765-2023 tillsynsbegäran mail.docx", "A 60765-2023")</f>
        <v/>
      </c>
    </row>
    <row r="141" ht="15" customHeight="1">
      <c r="A141" t="inlineStr">
        <is>
          <t>A 51312-2023</t>
        </is>
      </c>
      <c r="B141" s="1" t="n">
        <v>45219</v>
      </c>
      <c r="C141" s="1" t="n">
        <v>46192</v>
      </c>
      <c r="D141" t="inlineStr">
        <is>
          <t>STOCKHOLMS LÄN</t>
        </is>
      </c>
      <c r="E141" t="inlineStr">
        <is>
          <t>NORRTÄLJE</t>
        </is>
      </c>
      <c r="G141" t="n">
        <v>1.9</v>
      </c>
      <c r="H141" t="n">
        <v>1</v>
      </c>
      <c r="I141" t="n">
        <v>0</v>
      </c>
      <c r="J141" t="n">
        <v>0</v>
      </c>
      <c r="K141" t="n">
        <v>1</v>
      </c>
      <c r="L141" t="n">
        <v>0</v>
      </c>
      <c r="M141" t="n">
        <v>0</v>
      </c>
      <c r="N141" t="n">
        <v>0</v>
      </c>
      <c r="O141" t="n">
        <v>1</v>
      </c>
      <c r="P141" t="n">
        <v>1</v>
      </c>
      <c r="Q141" t="n">
        <v>1</v>
      </c>
      <c r="R141" s="2" t="inlineStr">
        <is>
          <t>Hällebräcka</t>
        </is>
      </c>
      <c r="S141">
        <f>HYPERLINK("https://klasma.github.io/Logging_0188/artfynd/A 51312-2023 artfynd.xlsx", "A 51312-2023")</f>
        <v/>
      </c>
      <c r="T141">
        <f>HYPERLINK("https://klasma.github.io/Logging_0188/kartor/A 51312-2023 karta.png", "A 51312-2023")</f>
        <v/>
      </c>
      <c r="V141">
        <f>HYPERLINK("https://klasma.github.io/Logging_0188/klagomål/A 51312-2023 FSC-klagomål.docx", "A 51312-2023")</f>
        <v/>
      </c>
      <c r="W141">
        <f>HYPERLINK("https://klasma.github.io/Logging_0188/klagomålsmail/A 51312-2023 FSC-klagomål mail.docx", "A 51312-2023")</f>
        <v/>
      </c>
      <c r="X141">
        <f>HYPERLINK("https://klasma.github.io/Logging_0188/tillsyn/A 51312-2023 tillsynsbegäran.docx", "A 51312-2023")</f>
        <v/>
      </c>
      <c r="Y141">
        <f>HYPERLINK("https://klasma.github.io/Logging_0188/tillsynsmail/A 51312-2023 tillsynsbegäran mail.docx", "A 51312-2023")</f>
        <v/>
      </c>
    </row>
    <row r="142" ht="15" customHeight="1">
      <c r="A142" t="inlineStr">
        <is>
          <t>A 17956-2025</t>
        </is>
      </c>
      <c r="B142" s="1" t="n">
        <v>45760</v>
      </c>
      <c r="C142" s="1" t="n">
        <v>46192</v>
      </c>
      <c r="D142" t="inlineStr">
        <is>
          <t>STOCKHOLMS LÄN</t>
        </is>
      </c>
      <c r="E142" t="inlineStr">
        <is>
          <t>NORRTÄLJE</t>
        </is>
      </c>
      <c r="G142" t="n">
        <v>4.3</v>
      </c>
      <c r="H142" t="n">
        <v>0</v>
      </c>
      <c r="I142" t="n">
        <v>1</v>
      </c>
      <c r="J142" t="n">
        <v>0</v>
      </c>
      <c r="K142" t="n">
        <v>0</v>
      </c>
      <c r="L142" t="n">
        <v>0</v>
      </c>
      <c r="M142" t="n">
        <v>0</v>
      </c>
      <c r="N142" t="n">
        <v>0</v>
      </c>
      <c r="O142" t="n">
        <v>0</v>
      </c>
      <c r="P142" t="n">
        <v>0</v>
      </c>
      <c r="Q142" t="n">
        <v>1</v>
      </c>
      <c r="R142" s="2" t="inlineStr">
        <is>
          <t>Tibast</t>
        </is>
      </c>
      <c r="S142">
        <f>HYPERLINK("https://klasma.github.io/Logging_0188/artfynd/A 17956-2025 artfynd.xlsx", "A 17956-2025")</f>
        <v/>
      </c>
      <c r="T142">
        <f>HYPERLINK("https://klasma.github.io/Logging_0188/kartor/A 17956-2025 karta.png", "A 17956-2025")</f>
        <v/>
      </c>
      <c r="V142">
        <f>HYPERLINK("https://klasma.github.io/Logging_0188/klagomål/A 17956-2025 FSC-klagomål.docx", "A 17956-2025")</f>
        <v/>
      </c>
      <c r="W142">
        <f>HYPERLINK("https://klasma.github.io/Logging_0188/klagomålsmail/A 17956-2025 FSC-klagomål mail.docx", "A 17956-2025")</f>
        <v/>
      </c>
      <c r="X142">
        <f>HYPERLINK("https://klasma.github.io/Logging_0188/tillsyn/A 17956-2025 tillsynsbegäran.docx", "A 17956-2025")</f>
        <v/>
      </c>
      <c r="Y142">
        <f>HYPERLINK("https://klasma.github.io/Logging_0188/tillsynsmail/A 17956-2025 tillsynsbegäran mail.docx", "A 17956-2025")</f>
        <v/>
      </c>
    </row>
    <row r="143" ht="15" customHeight="1">
      <c r="A143" t="inlineStr">
        <is>
          <t>A 4532-2025</t>
        </is>
      </c>
      <c r="B143" s="1" t="n">
        <v>45687</v>
      </c>
      <c r="C143" s="1" t="n">
        <v>46192</v>
      </c>
      <c r="D143" t="inlineStr">
        <is>
          <t>STOCKHOLMS LÄN</t>
        </is>
      </c>
      <c r="E143" t="inlineStr">
        <is>
          <t>NORRTÄLJE</t>
        </is>
      </c>
      <c r="F143" t="inlineStr">
        <is>
          <t>Holmen skog AB</t>
        </is>
      </c>
      <c r="G143" t="n">
        <v>6.4</v>
      </c>
      <c r="H143" t="n">
        <v>1</v>
      </c>
      <c r="I143" t="n">
        <v>0</v>
      </c>
      <c r="J143" t="n">
        <v>0</v>
      </c>
      <c r="K143" t="n">
        <v>0</v>
      </c>
      <c r="L143" t="n">
        <v>1</v>
      </c>
      <c r="M143" t="n">
        <v>0</v>
      </c>
      <c r="N143" t="n">
        <v>0</v>
      </c>
      <c r="O143" t="n">
        <v>1</v>
      </c>
      <c r="P143" t="n">
        <v>1</v>
      </c>
      <c r="Q143" t="n">
        <v>1</v>
      </c>
      <c r="R143" s="2" t="inlineStr">
        <is>
          <t>Asknätfjäril</t>
        </is>
      </c>
      <c r="S143">
        <f>HYPERLINK("https://klasma.github.io/Logging_0188/artfynd/A 4532-2025 artfynd.xlsx", "A 4532-2025")</f>
        <v/>
      </c>
      <c r="T143">
        <f>HYPERLINK("https://klasma.github.io/Logging_0188/kartor/A 4532-2025 karta.png", "A 4532-2025")</f>
        <v/>
      </c>
      <c r="V143">
        <f>HYPERLINK("https://klasma.github.io/Logging_0188/klagomål/A 4532-2025 FSC-klagomål.docx", "A 4532-2025")</f>
        <v/>
      </c>
      <c r="W143">
        <f>HYPERLINK("https://klasma.github.io/Logging_0188/klagomålsmail/A 4532-2025 FSC-klagomål mail.docx", "A 4532-2025")</f>
        <v/>
      </c>
      <c r="X143">
        <f>HYPERLINK("https://klasma.github.io/Logging_0188/tillsyn/A 4532-2025 tillsynsbegäran.docx", "A 4532-2025")</f>
        <v/>
      </c>
      <c r="Y143">
        <f>HYPERLINK("https://klasma.github.io/Logging_0188/tillsynsmail/A 4532-2025 tillsynsbegäran mail.docx", "A 4532-2025")</f>
        <v/>
      </c>
    </row>
    <row r="144" ht="15" customHeight="1">
      <c r="A144" t="inlineStr">
        <is>
          <t>A 30290-2022</t>
        </is>
      </c>
      <c r="B144" s="1" t="n">
        <v>44760</v>
      </c>
      <c r="C144" s="1" t="n">
        <v>46192</v>
      </c>
      <c r="D144" t="inlineStr">
        <is>
          <t>STOCKHOLMS LÄN</t>
        </is>
      </c>
      <c r="E144" t="inlineStr">
        <is>
          <t>NORRTÄLJE</t>
        </is>
      </c>
      <c r="G144" t="n">
        <v>4.8</v>
      </c>
      <c r="H144" t="n">
        <v>1</v>
      </c>
      <c r="I144" t="n">
        <v>1</v>
      </c>
      <c r="J144" t="n">
        <v>0</v>
      </c>
      <c r="K144" t="n">
        <v>0</v>
      </c>
      <c r="L144" t="n">
        <v>0</v>
      </c>
      <c r="M144" t="n">
        <v>0</v>
      </c>
      <c r="N144" t="n">
        <v>0</v>
      </c>
      <c r="O144" t="n">
        <v>0</v>
      </c>
      <c r="P144" t="n">
        <v>0</v>
      </c>
      <c r="Q144" t="n">
        <v>1</v>
      </c>
      <c r="R144" s="2" t="inlineStr">
        <is>
          <t>Skogsknipprot</t>
        </is>
      </c>
      <c r="S144">
        <f>HYPERLINK("https://klasma.github.io/Logging_0188/artfynd/A 30290-2022 artfynd.xlsx", "A 30290-2022")</f>
        <v/>
      </c>
      <c r="T144">
        <f>HYPERLINK("https://klasma.github.io/Logging_0188/kartor/A 30290-2022 karta.png", "A 30290-2022")</f>
        <v/>
      </c>
      <c r="V144">
        <f>HYPERLINK("https://klasma.github.io/Logging_0188/klagomål/A 30290-2022 FSC-klagomål.docx", "A 30290-2022")</f>
        <v/>
      </c>
      <c r="W144">
        <f>HYPERLINK("https://klasma.github.io/Logging_0188/klagomålsmail/A 30290-2022 FSC-klagomål mail.docx", "A 30290-2022")</f>
        <v/>
      </c>
      <c r="X144">
        <f>HYPERLINK("https://klasma.github.io/Logging_0188/tillsyn/A 30290-2022 tillsynsbegäran.docx", "A 30290-2022")</f>
        <v/>
      </c>
      <c r="Y144">
        <f>HYPERLINK("https://klasma.github.io/Logging_0188/tillsynsmail/A 30290-2022 tillsynsbegäran mail.docx", "A 30290-2022")</f>
        <v/>
      </c>
    </row>
    <row r="145" ht="15" customHeight="1">
      <c r="A145" t="inlineStr">
        <is>
          <t>A 58939-2025</t>
        </is>
      </c>
      <c r="B145" s="1" t="n">
        <v>45987</v>
      </c>
      <c r="C145" s="1" t="n">
        <v>46192</v>
      </c>
      <c r="D145" t="inlineStr">
        <is>
          <t>STOCKHOLMS LÄN</t>
        </is>
      </c>
      <c r="E145" t="inlineStr">
        <is>
          <t>NORRTÄLJE</t>
        </is>
      </c>
      <c r="G145" t="n">
        <v>2</v>
      </c>
      <c r="H145" t="n">
        <v>0</v>
      </c>
      <c r="I145" t="n">
        <v>1</v>
      </c>
      <c r="J145" t="n">
        <v>0</v>
      </c>
      <c r="K145" t="n">
        <v>0</v>
      </c>
      <c r="L145" t="n">
        <v>0</v>
      </c>
      <c r="M145" t="n">
        <v>0</v>
      </c>
      <c r="N145" t="n">
        <v>0</v>
      </c>
      <c r="O145" t="n">
        <v>0</v>
      </c>
      <c r="P145" t="n">
        <v>0</v>
      </c>
      <c r="Q145" t="n">
        <v>1</v>
      </c>
      <c r="R145" s="2" t="inlineStr">
        <is>
          <t>Bronshjon</t>
        </is>
      </c>
      <c r="S145">
        <f>HYPERLINK("https://klasma.github.io/Logging_0188/artfynd/A 58939-2025 artfynd.xlsx", "A 58939-2025")</f>
        <v/>
      </c>
      <c r="T145">
        <f>HYPERLINK("https://klasma.github.io/Logging_0188/kartor/A 58939-2025 karta.png", "A 58939-2025")</f>
        <v/>
      </c>
      <c r="V145">
        <f>HYPERLINK("https://klasma.github.io/Logging_0188/klagomål/A 58939-2025 FSC-klagomål.docx", "A 58939-2025")</f>
        <v/>
      </c>
      <c r="W145">
        <f>HYPERLINK("https://klasma.github.io/Logging_0188/klagomålsmail/A 58939-2025 FSC-klagomål mail.docx", "A 58939-2025")</f>
        <v/>
      </c>
      <c r="X145">
        <f>HYPERLINK("https://klasma.github.io/Logging_0188/tillsyn/A 58939-2025 tillsynsbegäran.docx", "A 58939-2025")</f>
        <v/>
      </c>
      <c r="Y145">
        <f>HYPERLINK("https://klasma.github.io/Logging_0188/tillsynsmail/A 58939-2025 tillsynsbegäran mail.docx", "A 58939-2025")</f>
        <v/>
      </c>
    </row>
    <row r="146" ht="15" customHeight="1">
      <c r="A146" t="inlineStr">
        <is>
          <t>A 38610-2022</t>
        </is>
      </c>
      <c r="B146" s="1" t="n">
        <v>44813</v>
      </c>
      <c r="C146" s="1" t="n">
        <v>46192</v>
      </c>
      <c r="D146" t="inlineStr">
        <is>
          <t>STOCKHOLMS LÄN</t>
        </is>
      </c>
      <c r="E146" t="inlineStr">
        <is>
          <t>NORRTÄLJE</t>
        </is>
      </c>
      <c r="G146" t="n">
        <v>1.9</v>
      </c>
      <c r="H146" t="n">
        <v>1</v>
      </c>
      <c r="I146" t="n">
        <v>0</v>
      </c>
      <c r="J146" t="n">
        <v>0</v>
      </c>
      <c r="K146" t="n">
        <v>1</v>
      </c>
      <c r="L146" t="n">
        <v>0</v>
      </c>
      <c r="M146" t="n">
        <v>0</v>
      </c>
      <c r="N146" t="n">
        <v>0</v>
      </c>
      <c r="O146" t="n">
        <v>1</v>
      </c>
      <c r="P146" t="n">
        <v>1</v>
      </c>
      <c r="Q146" t="n">
        <v>1</v>
      </c>
      <c r="R146" s="2" t="inlineStr">
        <is>
          <t>Hällebräcka</t>
        </is>
      </c>
      <c r="S146">
        <f>HYPERLINK("https://klasma.github.io/Logging_0188/artfynd/A 38610-2022 artfynd.xlsx", "A 38610-2022")</f>
        <v/>
      </c>
      <c r="T146">
        <f>HYPERLINK("https://klasma.github.io/Logging_0188/kartor/A 38610-2022 karta.png", "A 38610-2022")</f>
        <v/>
      </c>
      <c r="V146">
        <f>HYPERLINK("https://klasma.github.io/Logging_0188/klagomål/A 38610-2022 FSC-klagomål.docx", "A 38610-2022")</f>
        <v/>
      </c>
      <c r="W146">
        <f>HYPERLINK("https://klasma.github.io/Logging_0188/klagomålsmail/A 38610-2022 FSC-klagomål mail.docx", "A 38610-2022")</f>
        <v/>
      </c>
      <c r="X146">
        <f>HYPERLINK("https://klasma.github.io/Logging_0188/tillsyn/A 38610-2022 tillsynsbegäran.docx", "A 38610-2022")</f>
        <v/>
      </c>
      <c r="Y146">
        <f>HYPERLINK("https://klasma.github.io/Logging_0188/tillsynsmail/A 38610-2022 tillsynsbegäran mail.docx", "A 38610-2022")</f>
        <v/>
      </c>
    </row>
    <row r="147" ht="15" customHeight="1">
      <c r="A147" t="inlineStr">
        <is>
          <t>A 35691-2023</t>
        </is>
      </c>
      <c r="B147" s="1" t="n">
        <v>45147</v>
      </c>
      <c r="C147" s="1" t="n">
        <v>46192</v>
      </c>
      <c r="D147" t="inlineStr">
        <is>
          <t>STOCKHOLMS LÄN</t>
        </is>
      </c>
      <c r="E147" t="inlineStr">
        <is>
          <t>NORRTÄLJE</t>
        </is>
      </c>
      <c r="G147" t="n">
        <v>2.3</v>
      </c>
      <c r="H147" t="n">
        <v>1</v>
      </c>
      <c r="I147" t="n">
        <v>0</v>
      </c>
      <c r="J147" t="n">
        <v>0</v>
      </c>
      <c r="K147" t="n">
        <v>0</v>
      </c>
      <c r="L147" t="n">
        <v>0</v>
      </c>
      <c r="M147" t="n">
        <v>0</v>
      </c>
      <c r="N147" t="n">
        <v>0</v>
      </c>
      <c r="O147" t="n">
        <v>0</v>
      </c>
      <c r="P147" t="n">
        <v>0</v>
      </c>
      <c r="Q147" t="n">
        <v>1</v>
      </c>
      <c r="R147" s="2" t="inlineStr">
        <is>
          <t>Kungsfågel</t>
        </is>
      </c>
      <c r="S147">
        <f>HYPERLINK("https://klasma.github.io/Logging_0188/artfynd/A 35691-2023 artfynd.xlsx", "A 35691-2023")</f>
        <v/>
      </c>
      <c r="T147">
        <f>HYPERLINK("https://klasma.github.io/Logging_0188/kartor/A 35691-2023 karta.png", "A 35691-2023")</f>
        <v/>
      </c>
      <c r="V147">
        <f>HYPERLINK("https://klasma.github.io/Logging_0188/klagomål/A 35691-2023 FSC-klagomål.docx", "A 35691-2023")</f>
        <v/>
      </c>
      <c r="W147">
        <f>HYPERLINK("https://klasma.github.io/Logging_0188/klagomålsmail/A 35691-2023 FSC-klagomål mail.docx", "A 35691-2023")</f>
        <v/>
      </c>
      <c r="X147">
        <f>HYPERLINK("https://klasma.github.io/Logging_0188/tillsyn/A 35691-2023 tillsynsbegäran.docx", "A 35691-2023")</f>
        <v/>
      </c>
      <c r="Y147">
        <f>HYPERLINK("https://klasma.github.io/Logging_0188/tillsynsmail/A 35691-2023 tillsynsbegäran mail.docx", "A 35691-2023")</f>
        <v/>
      </c>
      <c r="Z147">
        <f>HYPERLINK("https://klasma.github.io/Logging_0188/fåglar/A 35691-2023 prioriterade fågelarter.docx", "A 35691-2023")</f>
        <v/>
      </c>
    </row>
    <row r="148" ht="15" customHeight="1">
      <c r="A148" t="inlineStr">
        <is>
          <t>A 35693-2023</t>
        </is>
      </c>
      <c r="B148" s="1" t="n">
        <v>45147</v>
      </c>
      <c r="C148" s="1" t="n">
        <v>46192</v>
      </c>
      <c r="D148" t="inlineStr">
        <is>
          <t>STOCKHOLMS LÄN</t>
        </is>
      </c>
      <c r="E148" t="inlineStr">
        <is>
          <t>NORRTÄLJE</t>
        </is>
      </c>
      <c r="G148" t="n">
        <v>2.2</v>
      </c>
      <c r="H148" t="n">
        <v>0</v>
      </c>
      <c r="I148" t="n">
        <v>0</v>
      </c>
      <c r="J148" t="n">
        <v>1</v>
      </c>
      <c r="K148" t="n">
        <v>0</v>
      </c>
      <c r="L148" t="n">
        <v>0</v>
      </c>
      <c r="M148" t="n">
        <v>0</v>
      </c>
      <c r="N148" t="n">
        <v>0</v>
      </c>
      <c r="O148" t="n">
        <v>1</v>
      </c>
      <c r="P148" t="n">
        <v>0</v>
      </c>
      <c r="Q148" t="n">
        <v>1</v>
      </c>
      <c r="R148" s="2" t="inlineStr">
        <is>
          <t>Motaggsvamp</t>
        </is>
      </c>
      <c r="S148">
        <f>HYPERLINK("https://klasma.github.io/Logging_0188/artfynd/A 35693-2023 artfynd.xlsx", "A 35693-2023")</f>
        <v/>
      </c>
      <c r="T148">
        <f>HYPERLINK("https://klasma.github.io/Logging_0188/kartor/A 35693-2023 karta.png", "A 35693-2023")</f>
        <v/>
      </c>
      <c r="V148">
        <f>HYPERLINK("https://klasma.github.io/Logging_0188/klagomål/A 35693-2023 FSC-klagomål.docx", "A 35693-2023")</f>
        <v/>
      </c>
      <c r="W148">
        <f>HYPERLINK("https://klasma.github.io/Logging_0188/klagomålsmail/A 35693-2023 FSC-klagomål mail.docx", "A 35693-2023")</f>
        <v/>
      </c>
      <c r="X148">
        <f>HYPERLINK("https://klasma.github.io/Logging_0188/tillsyn/A 35693-2023 tillsynsbegäran.docx", "A 35693-2023")</f>
        <v/>
      </c>
      <c r="Y148">
        <f>HYPERLINK("https://klasma.github.io/Logging_0188/tillsynsmail/A 35693-2023 tillsynsbegäran mail.docx", "A 35693-2023")</f>
        <v/>
      </c>
    </row>
    <row r="149" ht="15" customHeight="1">
      <c r="A149" t="inlineStr">
        <is>
          <t>A 11-2024</t>
        </is>
      </c>
      <c r="B149" s="1" t="n">
        <v>45293</v>
      </c>
      <c r="C149" s="1" t="n">
        <v>46192</v>
      </c>
      <c r="D149" t="inlineStr">
        <is>
          <t>STOCKHOLMS LÄN</t>
        </is>
      </c>
      <c r="E149" t="inlineStr">
        <is>
          <t>NORRTÄLJE</t>
        </is>
      </c>
      <c r="F149" t="inlineStr">
        <is>
          <t>Sveaskog</t>
        </is>
      </c>
      <c r="G149" t="n">
        <v>3.2</v>
      </c>
      <c r="H149" t="n">
        <v>1</v>
      </c>
      <c r="I149" t="n">
        <v>0</v>
      </c>
      <c r="J149" t="n">
        <v>1</v>
      </c>
      <c r="K149" t="n">
        <v>0</v>
      </c>
      <c r="L149" t="n">
        <v>0</v>
      </c>
      <c r="M149" t="n">
        <v>0</v>
      </c>
      <c r="N149" t="n">
        <v>0</v>
      </c>
      <c r="O149" t="n">
        <v>1</v>
      </c>
      <c r="P149" t="n">
        <v>0</v>
      </c>
      <c r="Q149" t="n">
        <v>1</v>
      </c>
      <c r="R149" s="2" t="inlineStr">
        <is>
          <t>Talltita</t>
        </is>
      </c>
      <c r="S149">
        <f>HYPERLINK("https://klasma.github.io/Logging_0188/artfynd/A 11-2024 artfynd.xlsx", "A 11-2024")</f>
        <v/>
      </c>
      <c r="T149">
        <f>HYPERLINK("https://klasma.github.io/Logging_0188/kartor/A 11-2024 karta.png", "A 11-2024")</f>
        <v/>
      </c>
      <c r="V149">
        <f>HYPERLINK("https://klasma.github.io/Logging_0188/klagomål/A 11-2024 FSC-klagomål.docx", "A 11-2024")</f>
        <v/>
      </c>
      <c r="W149">
        <f>HYPERLINK("https://klasma.github.io/Logging_0188/klagomålsmail/A 11-2024 FSC-klagomål mail.docx", "A 11-2024")</f>
        <v/>
      </c>
      <c r="X149">
        <f>HYPERLINK("https://klasma.github.io/Logging_0188/tillsyn/A 11-2024 tillsynsbegäran.docx", "A 11-2024")</f>
        <v/>
      </c>
      <c r="Y149">
        <f>HYPERLINK("https://klasma.github.io/Logging_0188/tillsynsmail/A 11-2024 tillsynsbegäran mail.docx", "A 11-2024")</f>
        <v/>
      </c>
      <c r="Z149">
        <f>HYPERLINK("https://klasma.github.io/Logging_0188/fåglar/A 11-2024 prioriterade fågelarter.docx", "A 11-2024")</f>
        <v/>
      </c>
    </row>
    <row r="150" ht="15" customHeight="1">
      <c r="A150" t="inlineStr">
        <is>
          <t>A 59682-2025</t>
        </is>
      </c>
      <c r="B150" s="1" t="n">
        <v>45992</v>
      </c>
      <c r="C150" s="1" t="n">
        <v>46192</v>
      </c>
      <c r="D150" t="inlineStr">
        <is>
          <t>STOCKHOLMS LÄN</t>
        </is>
      </c>
      <c r="E150" t="inlineStr">
        <is>
          <t>NORRTÄLJE</t>
        </is>
      </c>
      <c r="G150" t="n">
        <v>1.6</v>
      </c>
      <c r="H150" t="n">
        <v>0</v>
      </c>
      <c r="I150" t="n">
        <v>1</v>
      </c>
      <c r="J150" t="n">
        <v>0</v>
      </c>
      <c r="K150" t="n">
        <v>0</v>
      </c>
      <c r="L150" t="n">
        <v>0</v>
      </c>
      <c r="M150" t="n">
        <v>0</v>
      </c>
      <c r="N150" t="n">
        <v>0</v>
      </c>
      <c r="O150" t="n">
        <v>0</v>
      </c>
      <c r="P150" t="n">
        <v>0</v>
      </c>
      <c r="Q150" t="n">
        <v>1</v>
      </c>
      <c r="R150" s="2" t="inlineStr">
        <is>
          <t>Grönpyrola</t>
        </is>
      </c>
      <c r="S150">
        <f>HYPERLINK("https://klasma.github.io/Logging_0188/artfynd/A 59682-2025 artfynd.xlsx", "A 59682-2025")</f>
        <v/>
      </c>
      <c r="T150">
        <f>HYPERLINK("https://klasma.github.io/Logging_0188/kartor/A 59682-2025 karta.png", "A 59682-2025")</f>
        <v/>
      </c>
      <c r="V150">
        <f>HYPERLINK("https://klasma.github.io/Logging_0188/klagomål/A 59682-2025 FSC-klagomål.docx", "A 59682-2025")</f>
        <v/>
      </c>
      <c r="W150">
        <f>HYPERLINK("https://klasma.github.io/Logging_0188/klagomålsmail/A 59682-2025 FSC-klagomål mail.docx", "A 59682-2025")</f>
        <v/>
      </c>
      <c r="X150">
        <f>HYPERLINK("https://klasma.github.io/Logging_0188/tillsyn/A 59682-2025 tillsynsbegäran.docx", "A 59682-2025")</f>
        <v/>
      </c>
      <c r="Y150">
        <f>HYPERLINK("https://klasma.github.io/Logging_0188/tillsynsmail/A 59682-2025 tillsynsbegäran mail.docx", "A 59682-2025")</f>
        <v/>
      </c>
    </row>
    <row r="151" ht="15" customHeight="1">
      <c r="A151" t="inlineStr">
        <is>
          <t>A 51315-2021</t>
        </is>
      </c>
      <c r="B151" s="1" t="n">
        <v>44461</v>
      </c>
      <c r="C151" s="1" t="n">
        <v>46192</v>
      </c>
      <c r="D151" t="inlineStr">
        <is>
          <t>STOCKHOLMS LÄN</t>
        </is>
      </c>
      <c r="E151" t="inlineStr">
        <is>
          <t>NORRTÄLJE</t>
        </is>
      </c>
      <c r="F151" t="inlineStr">
        <is>
          <t>Holmen skog AB</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51315-2021 artfynd.xlsx", "A 51315-2021")</f>
        <v/>
      </c>
      <c r="T151">
        <f>HYPERLINK("https://klasma.github.io/Logging_0188/kartor/A 51315-2021 karta.png", "A 51315-2021")</f>
        <v/>
      </c>
      <c r="V151">
        <f>HYPERLINK("https://klasma.github.io/Logging_0188/klagomål/A 51315-2021 FSC-klagomål.docx", "A 51315-2021")</f>
        <v/>
      </c>
      <c r="W151">
        <f>HYPERLINK("https://klasma.github.io/Logging_0188/klagomålsmail/A 51315-2021 FSC-klagomål mail.docx", "A 51315-2021")</f>
        <v/>
      </c>
      <c r="X151">
        <f>HYPERLINK("https://klasma.github.io/Logging_0188/tillsyn/A 51315-2021 tillsynsbegäran.docx", "A 51315-2021")</f>
        <v/>
      </c>
      <c r="Y151">
        <f>HYPERLINK("https://klasma.github.io/Logging_0188/tillsynsmail/A 51315-2021 tillsynsbegäran mail.docx", "A 51315-2021")</f>
        <v/>
      </c>
    </row>
    <row r="152" ht="15" customHeight="1">
      <c r="A152" t="inlineStr">
        <is>
          <t>A 13718-2022</t>
        </is>
      </c>
      <c r="B152" s="1" t="n">
        <v>44649</v>
      </c>
      <c r="C152" s="1" t="n">
        <v>46192</v>
      </c>
      <c r="D152" t="inlineStr">
        <is>
          <t>STOCKHOLMS LÄN</t>
        </is>
      </c>
      <c r="E152" t="inlineStr">
        <is>
          <t>NORRTÄLJE</t>
        </is>
      </c>
      <c r="G152" t="n">
        <v>8.800000000000001</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13718-2022 artfynd.xlsx", "A 13718-2022")</f>
        <v/>
      </c>
      <c r="T152">
        <f>HYPERLINK("https://klasma.github.io/Logging_0188/kartor/A 13718-2022 karta.png", "A 13718-2022")</f>
        <v/>
      </c>
      <c r="V152">
        <f>HYPERLINK("https://klasma.github.io/Logging_0188/klagomål/A 13718-2022 FSC-klagomål.docx", "A 13718-2022")</f>
        <v/>
      </c>
      <c r="W152">
        <f>HYPERLINK("https://klasma.github.io/Logging_0188/klagomålsmail/A 13718-2022 FSC-klagomål mail.docx", "A 13718-2022")</f>
        <v/>
      </c>
      <c r="X152">
        <f>HYPERLINK("https://klasma.github.io/Logging_0188/tillsyn/A 13718-2022 tillsynsbegäran.docx", "A 13718-2022")</f>
        <v/>
      </c>
      <c r="Y152">
        <f>HYPERLINK("https://klasma.github.io/Logging_0188/tillsynsmail/A 13718-2022 tillsynsbegäran mail.docx", "A 13718-2022")</f>
        <v/>
      </c>
    </row>
    <row r="153" ht="15" customHeight="1">
      <c r="A153" t="inlineStr">
        <is>
          <t>A 50907-2022</t>
        </is>
      </c>
      <c r="B153" s="1" t="n">
        <v>44867</v>
      </c>
      <c r="C153" s="1" t="n">
        <v>46192</v>
      </c>
      <c r="D153" t="inlineStr">
        <is>
          <t>STOCKHOLMS LÄN</t>
        </is>
      </c>
      <c r="E153" t="inlineStr">
        <is>
          <t>NORRTÄLJE</t>
        </is>
      </c>
      <c r="G153" t="n">
        <v>8.199999999999999</v>
      </c>
      <c r="H153" t="n">
        <v>0</v>
      </c>
      <c r="I153" t="n">
        <v>1</v>
      </c>
      <c r="J153" t="n">
        <v>0</v>
      </c>
      <c r="K153" t="n">
        <v>0</v>
      </c>
      <c r="L153" t="n">
        <v>0</v>
      </c>
      <c r="M153" t="n">
        <v>0</v>
      </c>
      <c r="N153" t="n">
        <v>0</v>
      </c>
      <c r="O153" t="n">
        <v>0</v>
      </c>
      <c r="P153" t="n">
        <v>0</v>
      </c>
      <c r="Q153" t="n">
        <v>1</v>
      </c>
      <c r="R153" s="2" t="inlineStr">
        <is>
          <t>Tibast</t>
        </is>
      </c>
      <c r="S153">
        <f>HYPERLINK("https://klasma.github.io/Logging_0188/artfynd/A 50907-2022 artfynd.xlsx", "A 50907-2022")</f>
        <v/>
      </c>
      <c r="T153">
        <f>HYPERLINK("https://klasma.github.io/Logging_0188/kartor/A 50907-2022 karta.png", "A 50907-2022")</f>
        <v/>
      </c>
      <c r="V153">
        <f>HYPERLINK("https://klasma.github.io/Logging_0188/klagomål/A 50907-2022 FSC-klagomål.docx", "A 50907-2022")</f>
        <v/>
      </c>
      <c r="W153">
        <f>HYPERLINK("https://klasma.github.io/Logging_0188/klagomålsmail/A 50907-2022 FSC-klagomål mail.docx", "A 50907-2022")</f>
        <v/>
      </c>
      <c r="X153">
        <f>HYPERLINK("https://klasma.github.io/Logging_0188/tillsyn/A 50907-2022 tillsynsbegäran.docx", "A 50907-2022")</f>
        <v/>
      </c>
      <c r="Y153">
        <f>HYPERLINK("https://klasma.github.io/Logging_0188/tillsynsmail/A 50907-2022 tillsynsbegäran mail.docx", "A 50907-2022")</f>
        <v/>
      </c>
    </row>
    <row r="154" ht="15" customHeight="1">
      <c r="A154" t="inlineStr">
        <is>
          <t>A 33279-2025</t>
        </is>
      </c>
      <c r="B154" s="1" t="n">
        <v>45840</v>
      </c>
      <c r="C154" s="1" t="n">
        <v>46192</v>
      </c>
      <c r="D154" t="inlineStr">
        <is>
          <t>STOCKHOLMS LÄN</t>
        </is>
      </c>
      <c r="E154" t="inlineStr">
        <is>
          <t>NORRTÄLJE</t>
        </is>
      </c>
      <c r="G154" t="n">
        <v>1.8</v>
      </c>
      <c r="H154" t="n">
        <v>0</v>
      </c>
      <c r="I154" t="n">
        <v>1</v>
      </c>
      <c r="J154" t="n">
        <v>0</v>
      </c>
      <c r="K154" t="n">
        <v>0</v>
      </c>
      <c r="L154" t="n">
        <v>0</v>
      </c>
      <c r="M154" t="n">
        <v>0</v>
      </c>
      <c r="N154" t="n">
        <v>0</v>
      </c>
      <c r="O154" t="n">
        <v>0</v>
      </c>
      <c r="P154" t="n">
        <v>0</v>
      </c>
      <c r="Q154" t="n">
        <v>1</v>
      </c>
      <c r="R154" s="2" t="inlineStr">
        <is>
          <t>Platt fjädermossa</t>
        </is>
      </c>
      <c r="S154">
        <f>HYPERLINK("https://klasma.github.io/Logging_0188/artfynd/A 33279-2025 artfynd.xlsx", "A 33279-2025")</f>
        <v/>
      </c>
      <c r="T154">
        <f>HYPERLINK("https://klasma.github.io/Logging_0188/kartor/A 33279-2025 karta.png", "A 33279-2025")</f>
        <v/>
      </c>
      <c r="V154">
        <f>HYPERLINK("https://klasma.github.io/Logging_0188/klagomål/A 33279-2025 FSC-klagomål.docx", "A 33279-2025")</f>
        <v/>
      </c>
      <c r="W154">
        <f>HYPERLINK("https://klasma.github.io/Logging_0188/klagomålsmail/A 33279-2025 FSC-klagomål mail.docx", "A 33279-2025")</f>
        <v/>
      </c>
      <c r="X154">
        <f>HYPERLINK("https://klasma.github.io/Logging_0188/tillsyn/A 33279-2025 tillsynsbegäran.docx", "A 33279-2025")</f>
        <v/>
      </c>
      <c r="Y154">
        <f>HYPERLINK("https://klasma.github.io/Logging_0188/tillsynsmail/A 33279-2025 tillsynsbegäran mail.docx", "A 33279-2025")</f>
        <v/>
      </c>
    </row>
    <row r="155" ht="15" customHeight="1">
      <c r="A155" t="inlineStr">
        <is>
          <t>A 53499-2025</t>
        </is>
      </c>
      <c r="B155" s="1" t="n">
        <v>45960</v>
      </c>
      <c r="C155" s="1" t="n">
        <v>46192</v>
      </c>
      <c r="D155" t="inlineStr">
        <is>
          <t>STOCKHOLMS LÄN</t>
        </is>
      </c>
      <c r="E155" t="inlineStr">
        <is>
          <t>NORRTÄLJE</t>
        </is>
      </c>
      <c r="G155" t="n">
        <v>23.8</v>
      </c>
      <c r="H155" t="n">
        <v>1</v>
      </c>
      <c r="I155" t="n">
        <v>0</v>
      </c>
      <c r="J155" t="n">
        <v>1</v>
      </c>
      <c r="K155" t="n">
        <v>0</v>
      </c>
      <c r="L155" t="n">
        <v>0</v>
      </c>
      <c r="M155" t="n">
        <v>0</v>
      </c>
      <c r="N155" t="n">
        <v>0</v>
      </c>
      <c r="O155" t="n">
        <v>1</v>
      </c>
      <c r="P155" t="n">
        <v>0</v>
      </c>
      <c r="Q155" t="n">
        <v>1</v>
      </c>
      <c r="R155" s="2" t="inlineStr">
        <is>
          <t>Talltita</t>
        </is>
      </c>
      <c r="S155">
        <f>HYPERLINK("https://klasma.github.io/Logging_0188/artfynd/A 53499-2025 artfynd.xlsx", "A 53499-2025")</f>
        <v/>
      </c>
      <c r="T155">
        <f>HYPERLINK("https://klasma.github.io/Logging_0188/kartor/A 53499-2025 karta.png", "A 53499-2025")</f>
        <v/>
      </c>
      <c r="V155">
        <f>HYPERLINK("https://klasma.github.io/Logging_0188/klagomål/A 53499-2025 FSC-klagomål.docx", "A 53499-2025")</f>
        <v/>
      </c>
      <c r="W155">
        <f>HYPERLINK("https://klasma.github.io/Logging_0188/klagomålsmail/A 53499-2025 FSC-klagomål mail.docx", "A 53499-2025")</f>
        <v/>
      </c>
      <c r="X155">
        <f>HYPERLINK("https://klasma.github.io/Logging_0188/tillsyn/A 53499-2025 tillsynsbegäran.docx", "A 53499-2025")</f>
        <v/>
      </c>
      <c r="Y155">
        <f>HYPERLINK("https://klasma.github.io/Logging_0188/tillsynsmail/A 53499-2025 tillsynsbegäran mail.docx", "A 53499-2025")</f>
        <v/>
      </c>
      <c r="Z155">
        <f>HYPERLINK("https://klasma.github.io/Logging_0188/fåglar/A 53499-2025 prioriterade fågelarter.docx", "A 53499-2025")</f>
        <v/>
      </c>
    </row>
    <row r="156" ht="15" customHeight="1">
      <c r="A156" t="inlineStr">
        <is>
          <t>A 57442-2021</t>
        </is>
      </c>
      <c r="B156" s="1" t="n">
        <v>44483</v>
      </c>
      <c r="C156" s="1" t="n">
        <v>46192</v>
      </c>
      <c r="D156" t="inlineStr">
        <is>
          <t>STOCKHOLMS LÄN</t>
        </is>
      </c>
      <c r="E156" t="inlineStr">
        <is>
          <t>NORRTÄLJE</t>
        </is>
      </c>
      <c r="G156" t="n">
        <v>3.3</v>
      </c>
      <c r="H156" t="n">
        <v>0</v>
      </c>
      <c r="I156" t="n">
        <v>0</v>
      </c>
      <c r="J156" t="n">
        <v>1</v>
      </c>
      <c r="K156" t="n">
        <v>0</v>
      </c>
      <c r="L156" t="n">
        <v>0</v>
      </c>
      <c r="M156" t="n">
        <v>0</v>
      </c>
      <c r="N156" t="n">
        <v>0</v>
      </c>
      <c r="O156" t="n">
        <v>1</v>
      </c>
      <c r="P156" t="n">
        <v>0</v>
      </c>
      <c r="Q156" t="n">
        <v>1</v>
      </c>
      <c r="R156" s="2" t="inlineStr">
        <is>
          <t>Slåtterfibbla</t>
        </is>
      </c>
      <c r="S156">
        <f>HYPERLINK("https://klasma.github.io/Logging_0188/artfynd/A 57442-2021 artfynd.xlsx", "A 57442-2021")</f>
        <v/>
      </c>
      <c r="T156">
        <f>HYPERLINK("https://klasma.github.io/Logging_0188/kartor/A 57442-2021 karta.png", "A 57442-2021")</f>
        <v/>
      </c>
      <c r="V156">
        <f>HYPERLINK("https://klasma.github.io/Logging_0188/klagomål/A 57442-2021 FSC-klagomål.docx", "A 57442-2021")</f>
        <v/>
      </c>
      <c r="W156">
        <f>HYPERLINK("https://klasma.github.io/Logging_0188/klagomålsmail/A 57442-2021 FSC-klagomål mail.docx", "A 57442-2021")</f>
        <v/>
      </c>
      <c r="X156">
        <f>HYPERLINK("https://klasma.github.io/Logging_0188/tillsyn/A 57442-2021 tillsynsbegäran.docx", "A 57442-2021")</f>
        <v/>
      </c>
      <c r="Y156">
        <f>HYPERLINK("https://klasma.github.io/Logging_0188/tillsynsmail/A 57442-2021 tillsynsbegäran mail.docx", "A 57442-2021")</f>
        <v/>
      </c>
    </row>
    <row r="157" ht="15" customHeight="1">
      <c r="A157" t="inlineStr">
        <is>
          <t>A 55952-2024</t>
        </is>
      </c>
      <c r="B157" s="1" t="n">
        <v>45623</v>
      </c>
      <c r="C157" s="1" t="n">
        <v>46192</v>
      </c>
      <c r="D157" t="inlineStr">
        <is>
          <t>STOCKHOLMS LÄN</t>
        </is>
      </c>
      <c r="E157" t="inlineStr">
        <is>
          <t>NORRTÄLJE</t>
        </is>
      </c>
      <c r="F157" t="inlineStr">
        <is>
          <t>Holmen skog AB</t>
        </is>
      </c>
      <c r="G157" t="n">
        <v>2.8</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55952-2024 artfynd.xlsx", "A 55952-2024")</f>
        <v/>
      </c>
      <c r="T157">
        <f>HYPERLINK("https://klasma.github.io/Logging_0188/kartor/A 55952-2024 karta.png", "A 55952-2024")</f>
        <v/>
      </c>
      <c r="V157">
        <f>HYPERLINK("https://klasma.github.io/Logging_0188/klagomål/A 55952-2024 FSC-klagomål.docx", "A 55952-2024")</f>
        <v/>
      </c>
      <c r="W157">
        <f>HYPERLINK("https://klasma.github.io/Logging_0188/klagomålsmail/A 55952-2024 FSC-klagomål mail.docx", "A 55952-2024")</f>
        <v/>
      </c>
      <c r="X157">
        <f>HYPERLINK("https://klasma.github.io/Logging_0188/tillsyn/A 55952-2024 tillsynsbegäran.docx", "A 55952-2024")</f>
        <v/>
      </c>
      <c r="Y157">
        <f>HYPERLINK("https://klasma.github.io/Logging_0188/tillsynsmail/A 55952-2024 tillsynsbegäran mail.docx", "A 55952-2024")</f>
        <v/>
      </c>
    </row>
    <row r="158" ht="15" customHeight="1">
      <c r="A158" t="inlineStr">
        <is>
          <t>A 51978-2023</t>
        </is>
      </c>
      <c r="B158" s="1" t="n">
        <v>45223</v>
      </c>
      <c r="C158" s="1" t="n">
        <v>46192</v>
      </c>
      <c r="D158" t="inlineStr">
        <is>
          <t>STOCKHOLMS LÄN</t>
        </is>
      </c>
      <c r="E158" t="inlineStr">
        <is>
          <t>NORRTÄLJE</t>
        </is>
      </c>
      <c r="G158" t="n">
        <v>1.9</v>
      </c>
      <c r="H158" t="n">
        <v>1</v>
      </c>
      <c r="I158" t="n">
        <v>1</v>
      </c>
      <c r="J158" t="n">
        <v>0</v>
      </c>
      <c r="K158" t="n">
        <v>0</v>
      </c>
      <c r="L158" t="n">
        <v>0</v>
      </c>
      <c r="M158" t="n">
        <v>0</v>
      </c>
      <c r="N158" t="n">
        <v>0</v>
      </c>
      <c r="O158" t="n">
        <v>0</v>
      </c>
      <c r="P158" t="n">
        <v>0</v>
      </c>
      <c r="Q158" t="n">
        <v>1</v>
      </c>
      <c r="R158" s="2" t="inlineStr">
        <is>
          <t>Skogsknipprot</t>
        </is>
      </c>
      <c r="S158">
        <f>HYPERLINK("https://klasma.github.io/Logging_0188/artfynd/A 51978-2023 artfynd.xlsx", "A 51978-2023")</f>
        <v/>
      </c>
      <c r="T158">
        <f>HYPERLINK("https://klasma.github.io/Logging_0188/kartor/A 51978-2023 karta.png", "A 51978-2023")</f>
        <v/>
      </c>
      <c r="V158">
        <f>HYPERLINK("https://klasma.github.io/Logging_0188/klagomål/A 51978-2023 FSC-klagomål.docx", "A 51978-2023")</f>
        <v/>
      </c>
      <c r="W158">
        <f>HYPERLINK("https://klasma.github.io/Logging_0188/klagomålsmail/A 51978-2023 FSC-klagomål mail.docx", "A 51978-2023")</f>
        <v/>
      </c>
      <c r="X158">
        <f>HYPERLINK("https://klasma.github.io/Logging_0188/tillsyn/A 51978-2023 tillsynsbegäran.docx", "A 51978-2023")</f>
        <v/>
      </c>
      <c r="Y158">
        <f>HYPERLINK("https://klasma.github.io/Logging_0188/tillsynsmail/A 51978-2023 tillsynsbegäran mail.docx", "A 51978-2023")</f>
        <v/>
      </c>
    </row>
    <row r="159" ht="15" customHeight="1">
      <c r="A159" t="inlineStr">
        <is>
          <t>A 12348-2025</t>
        </is>
      </c>
      <c r="B159" s="1" t="n">
        <v>45730</v>
      </c>
      <c r="C159" s="1" t="n">
        <v>46192</v>
      </c>
      <c r="D159" t="inlineStr">
        <is>
          <t>STOCKHOLMS LÄN</t>
        </is>
      </c>
      <c r="E159" t="inlineStr">
        <is>
          <t>NORRTÄLJE</t>
        </is>
      </c>
      <c r="G159" t="n">
        <v>1.5</v>
      </c>
      <c r="H159" t="n">
        <v>0</v>
      </c>
      <c r="I159" t="n">
        <v>0</v>
      </c>
      <c r="J159" t="n">
        <v>0</v>
      </c>
      <c r="K159" t="n">
        <v>1</v>
      </c>
      <c r="L159" t="n">
        <v>0</v>
      </c>
      <c r="M159" t="n">
        <v>0</v>
      </c>
      <c r="N159" t="n">
        <v>0</v>
      </c>
      <c r="O159" t="n">
        <v>1</v>
      </c>
      <c r="P159" t="n">
        <v>1</v>
      </c>
      <c r="Q159" t="n">
        <v>1</v>
      </c>
      <c r="R159" s="2" t="inlineStr">
        <is>
          <t>Plattsäv</t>
        </is>
      </c>
      <c r="S159">
        <f>HYPERLINK("https://klasma.github.io/Logging_0188/artfynd/A 12348-2025 artfynd.xlsx", "A 12348-2025")</f>
        <v/>
      </c>
      <c r="T159">
        <f>HYPERLINK("https://klasma.github.io/Logging_0188/kartor/A 12348-2025 karta.png", "A 12348-2025")</f>
        <v/>
      </c>
      <c r="V159">
        <f>HYPERLINK("https://klasma.github.io/Logging_0188/klagomål/A 12348-2025 FSC-klagomål.docx", "A 12348-2025")</f>
        <v/>
      </c>
      <c r="W159">
        <f>HYPERLINK("https://klasma.github.io/Logging_0188/klagomålsmail/A 12348-2025 FSC-klagomål mail.docx", "A 12348-2025")</f>
        <v/>
      </c>
      <c r="X159">
        <f>HYPERLINK("https://klasma.github.io/Logging_0188/tillsyn/A 12348-2025 tillsynsbegäran.docx", "A 12348-2025")</f>
        <v/>
      </c>
      <c r="Y159">
        <f>HYPERLINK("https://klasma.github.io/Logging_0188/tillsynsmail/A 12348-2025 tillsynsbegäran mail.docx", "A 12348-2025")</f>
        <v/>
      </c>
    </row>
    <row r="160" ht="15" customHeight="1">
      <c r="A160" t="inlineStr">
        <is>
          <t>A 23146-2024</t>
        </is>
      </c>
      <c r="B160" s="1" t="n">
        <v>45450</v>
      </c>
      <c r="C160" s="1" t="n">
        <v>46192</v>
      </c>
      <c r="D160" t="inlineStr">
        <is>
          <t>STOCKHOLMS LÄN</t>
        </is>
      </c>
      <c r="E160" t="inlineStr">
        <is>
          <t>NORRTÄLJE</t>
        </is>
      </c>
      <c r="F160" t="inlineStr">
        <is>
          <t>Kommuner</t>
        </is>
      </c>
      <c r="G160" t="n">
        <v>6</v>
      </c>
      <c r="H160" t="n">
        <v>0</v>
      </c>
      <c r="I160" t="n">
        <v>0</v>
      </c>
      <c r="J160" t="n">
        <v>1</v>
      </c>
      <c r="K160" t="n">
        <v>0</v>
      </c>
      <c r="L160" t="n">
        <v>0</v>
      </c>
      <c r="M160" t="n">
        <v>0</v>
      </c>
      <c r="N160" t="n">
        <v>0</v>
      </c>
      <c r="O160" t="n">
        <v>1</v>
      </c>
      <c r="P160" t="n">
        <v>0</v>
      </c>
      <c r="Q160" t="n">
        <v>1</v>
      </c>
      <c r="R160" s="2" t="inlineStr">
        <is>
          <t>Motaggsvamp</t>
        </is>
      </c>
      <c r="S160">
        <f>HYPERLINK("https://klasma.github.io/Logging_0188/artfynd/A 23146-2024 artfynd.xlsx", "A 23146-2024")</f>
        <v/>
      </c>
      <c r="T160">
        <f>HYPERLINK("https://klasma.github.io/Logging_0188/kartor/A 23146-2024 karta.png", "A 23146-2024")</f>
        <v/>
      </c>
      <c r="V160">
        <f>HYPERLINK("https://klasma.github.io/Logging_0188/klagomål/A 23146-2024 FSC-klagomål.docx", "A 23146-2024")</f>
        <v/>
      </c>
      <c r="W160">
        <f>HYPERLINK("https://klasma.github.io/Logging_0188/klagomålsmail/A 23146-2024 FSC-klagomål mail.docx", "A 23146-2024")</f>
        <v/>
      </c>
      <c r="X160">
        <f>HYPERLINK("https://klasma.github.io/Logging_0188/tillsyn/A 23146-2024 tillsynsbegäran.docx", "A 23146-2024")</f>
        <v/>
      </c>
      <c r="Y160">
        <f>HYPERLINK("https://klasma.github.io/Logging_0188/tillsynsmail/A 23146-2024 tillsynsbegäran mail.docx", "A 23146-2024")</f>
        <v/>
      </c>
    </row>
    <row r="161" ht="15" customHeight="1">
      <c r="A161" t="inlineStr">
        <is>
          <t>A 43150-2023</t>
        </is>
      </c>
      <c r="B161" s="1" t="n">
        <v>45183</v>
      </c>
      <c r="C161" s="1" t="n">
        <v>46192</v>
      </c>
      <c r="D161" t="inlineStr">
        <is>
          <t>STOCKHOLMS LÄN</t>
        </is>
      </c>
      <c r="E161" t="inlineStr">
        <is>
          <t>NORRTÄLJE</t>
        </is>
      </c>
      <c r="G161" t="n">
        <v>2.4</v>
      </c>
      <c r="H161" t="n">
        <v>0</v>
      </c>
      <c r="I161" t="n">
        <v>0</v>
      </c>
      <c r="J161" t="n">
        <v>0</v>
      </c>
      <c r="K161" t="n">
        <v>0</v>
      </c>
      <c r="L161" t="n">
        <v>1</v>
      </c>
      <c r="M161" t="n">
        <v>0</v>
      </c>
      <c r="N161" t="n">
        <v>0</v>
      </c>
      <c r="O161" t="n">
        <v>1</v>
      </c>
      <c r="P161" t="n">
        <v>1</v>
      </c>
      <c r="Q161" t="n">
        <v>1</v>
      </c>
      <c r="R161" s="2" t="inlineStr">
        <is>
          <t>Skogsalm</t>
        </is>
      </c>
      <c r="S161">
        <f>HYPERLINK("https://klasma.github.io/Logging_0188/artfynd/A 43150-2023 artfynd.xlsx", "A 43150-2023")</f>
        <v/>
      </c>
      <c r="T161">
        <f>HYPERLINK("https://klasma.github.io/Logging_0188/kartor/A 43150-2023 karta.png", "A 43150-2023")</f>
        <v/>
      </c>
      <c r="V161">
        <f>HYPERLINK("https://klasma.github.io/Logging_0188/klagomål/A 43150-2023 FSC-klagomål.docx", "A 43150-2023")</f>
        <v/>
      </c>
      <c r="W161">
        <f>HYPERLINK("https://klasma.github.io/Logging_0188/klagomålsmail/A 43150-2023 FSC-klagomål mail.docx", "A 43150-2023")</f>
        <v/>
      </c>
      <c r="X161">
        <f>HYPERLINK("https://klasma.github.io/Logging_0188/tillsyn/A 43150-2023 tillsynsbegäran.docx", "A 43150-2023")</f>
        <v/>
      </c>
      <c r="Y161">
        <f>HYPERLINK("https://klasma.github.io/Logging_0188/tillsynsmail/A 43150-2023 tillsynsbegäran mail.docx", "A 43150-2023")</f>
        <v/>
      </c>
    </row>
    <row r="162" ht="15" customHeight="1">
      <c r="A162" t="inlineStr">
        <is>
          <t>A 26120-2024</t>
        </is>
      </c>
      <c r="B162" s="1" t="n">
        <v>45468</v>
      </c>
      <c r="C162" s="1" t="n">
        <v>46192</v>
      </c>
      <c r="D162" t="inlineStr">
        <is>
          <t>STOCKHOLMS LÄN</t>
        </is>
      </c>
      <c r="E162" t="inlineStr">
        <is>
          <t>NORRTÄLJE</t>
        </is>
      </c>
      <c r="G162" t="n">
        <v>1.8</v>
      </c>
      <c r="H162" t="n">
        <v>0</v>
      </c>
      <c r="I162" t="n">
        <v>0</v>
      </c>
      <c r="J162" t="n">
        <v>1</v>
      </c>
      <c r="K162" t="n">
        <v>0</v>
      </c>
      <c r="L162" t="n">
        <v>0</v>
      </c>
      <c r="M162" t="n">
        <v>0</v>
      </c>
      <c r="N162" t="n">
        <v>0</v>
      </c>
      <c r="O162" t="n">
        <v>1</v>
      </c>
      <c r="P162" t="n">
        <v>0</v>
      </c>
      <c r="Q162" t="n">
        <v>1</v>
      </c>
      <c r="R162" s="2" t="inlineStr">
        <is>
          <t>Majviva</t>
        </is>
      </c>
      <c r="S162">
        <f>HYPERLINK("https://klasma.github.io/Logging_0188/artfynd/A 26120-2024 artfynd.xlsx", "A 26120-2024")</f>
        <v/>
      </c>
      <c r="T162">
        <f>HYPERLINK("https://klasma.github.io/Logging_0188/kartor/A 26120-2024 karta.png", "A 26120-2024")</f>
        <v/>
      </c>
      <c r="V162">
        <f>HYPERLINK("https://klasma.github.io/Logging_0188/klagomål/A 26120-2024 FSC-klagomål.docx", "A 26120-2024")</f>
        <v/>
      </c>
      <c r="W162">
        <f>HYPERLINK("https://klasma.github.io/Logging_0188/klagomålsmail/A 26120-2024 FSC-klagomål mail.docx", "A 26120-2024")</f>
        <v/>
      </c>
      <c r="X162">
        <f>HYPERLINK("https://klasma.github.io/Logging_0188/tillsyn/A 26120-2024 tillsynsbegäran.docx", "A 26120-2024")</f>
        <v/>
      </c>
      <c r="Y162">
        <f>HYPERLINK("https://klasma.github.io/Logging_0188/tillsynsmail/A 26120-2024 tillsynsbegäran mail.docx", "A 26120-2024")</f>
        <v/>
      </c>
    </row>
    <row r="163" ht="15" customHeight="1">
      <c r="A163" t="inlineStr">
        <is>
          <t>A 27538-2024</t>
        </is>
      </c>
      <c r="B163" s="1" t="n">
        <v>45474</v>
      </c>
      <c r="C163" s="1" t="n">
        <v>46192</v>
      </c>
      <c r="D163" t="inlineStr">
        <is>
          <t>STOCKHOLMS LÄN</t>
        </is>
      </c>
      <c r="E163" t="inlineStr">
        <is>
          <t>NORRTÄLJE</t>
        </is>
      </c>
      <c r="G163" t="n">
        <v>1.5</v>
      </c>
      <c r="H163" t="n">
        <v>1</v>
      </c>
      <c r="I163" t="n">
        <v>1</v>
      </c>
      <c r="J163" t="n">
        <v>0</v>
      </c>
      <c r="K163" t="n">
        <v>0</v>
      </c>
      <c r="L163" t="n">
        <v>0</v>
      </c>
      <c r="M163" t="n">
        <v>0</v>
      </c>
      <c r="N163" t="n">
        <v>0</v>
      </c>
      <c r="O163" t="n">
        <v>0</v>
      </c>
      <c r="P163" t="n">
        <v>0</v>
      </c>
      <c r="Q163" t="n">
        <v>1</v>
      </c>
      <c r="R163" s="2" t="inlineStr">
        <is>
          <t>Skogsknipprot</t>
        </is>
      </c>
      <c r="S163">
        <f>HYPERLINK("https://klasma.github.io/Logging_0188/artfynd/A 27538-2024 artfynd.xlsx", "A 27538-2024")</f>
        <v/>
      </c>
      <c r="T163">
        <f>HYPERLINK("https://klasma.github.io/Logging_0188/kartor/A 27538-2024 karta.png", "A 27538-2024")</f>
        <v/>
      </c>
      <c r="V163">
        <f>HYPERLINK("https://klasma.github.io/Logging_0188/klagomål/A 27538-2024 FSC-klagomål.docx", "A 27538-2024")</f>
        <v/>
      </c>
      <c r="W163">
        <f>HYPERLINK("https://klasma.github.io/Logging_0188/klagomålsmail/A 27538-2024 FSC-klagomål mail.docx", "A 27538-2024")</f>
        <v/>
      </c>
      <c r="X163">
        <f>HYPERLINK("https://klasma.github.io/Logging_0188/tillsyn/A 27538-2024 tillsynsbegäran.docx", "A 27538-2024")</f>
        <v/>
      </c>
      <c r="Y163">
        <f>HYPERLINK("https://klasma.github.io/Logging_0188/tillsynsmail/A 27538-2024 tillsynsbegäran mail.docx", "A 27538-2024")</f>
        <v/>
      </c>
    </row>
    <row r="164" ht="15" customHeight="1">
      <c r="A164" t="inlineStr">
        <is>
          <t>A 27381-2024</t>
        </is>
      </c>
      <c r="B164" s="1" t="n">
        <v>45473</v>
      </c>
      <c r="C164" s="1" t="n">
        <v>46192</v>
      </c>
      <c r="D164" t="inlineStr">
        <is>
          <t>STOCKHOLMS LÄN</t>
        </is>
      </c>
      <c r="E164" t="inlineStr">
        <is>
          <t>NORRTÄLJE</t>
        </is>
      </c>
      <c r="G164" t="n">
        <v>4.5</v>
      </c>
      <c r="H164" t="n">
        <v>1</v>
      </c>
      <c r="I164" t="n">
        <v>0</v>
      </c>
      <c r="J164" t="n">
        <v>0</v>
      </c>
      <c r="K164" t="n">
        <v>0</v>
      </c>
      <c r="L164" t="n">
        <v>0</v>
      </c>
      <c r="M164" t="n">
        <v>0</v>
      </c>
      <c r="N164" t="n">
        <v>0</v>
      </c>
      <c r="O164" t="n">
        <v>0</v>
      </c>
      <c r="P164" t="n">
        <v>0</v>
      </c>
      <c r="Q164" t="n">
        <v>1</v>
      </c>
      <c r="R164" s="2" t="inlineStr">
        <is>
          <t>Trana</t>
        </is>
      </c>
      <c r="S164">
        <f>HYPERLINK("https://klasma.github.io/Logging_0188/artfynd/A 27381-2024 artfynd.xlsx", "A 27381-2024")</f>
        <v/>
      </c>
      <c r="T164">
        <f>HYPERLINK("https://klasma.github.io/Logging_0188/kartor/A 27381-2024 karta.png", "A 27381-2024")</f>
        <v/>
      </c>
      <c r="V164">
        <f>HYPERLINK("https://klasma.github.io/Logging_0188/klagomål/A 27381-2024 FSC-klagomål.docx", "A 27381-2024")</f>
        <v/>
      </c>
      <c r="W164">
        <f>HYPERLINK("https://klasma.github.io/Logging_0188/klagomålsmail/A 27381-2024 FSC-klagomål mail.docx", "A 27381-2024")</f>
        <v/>
      </c>
      <c r="X164">
        <f>HYPERLINK("https://klasma.github.io/Logging_0188/tillsyn/A 27381-2024 tillsynsbegäran.docx", "A 27381-2024")</f>
        <v/>
      </c>
      <c r="Y164">
        <f>HYPERLINK("https://klasma.github.io/Logging_0188/tillsynsmail/A 27381-2024 tillsynsbegäran mail.docx", "A 27381-2024")</f>
        <v/>
      </c>
      <c r="Z164">
        <f>HYPERLINK("https://klasma.github.io/Logging_0188/fåglar/A 27381-2024 prioriterade fågelarter.docx", "A 27381-2024")</f>
        <v/>
      </c>
    </row>
    <row r="165" ht="15" customHeight="1">
      <c r="A165" t="inlineStr">
        <is>
          <t>A 48131-2023</t>
        </is>
      </c>
      <c r="B165" s="1" t="n">
        <v>45205</v>
      </c>
      <c r="C165" s="1" t="n">
        <v>46192</v>
      </c>
      <c r="D165" t="inlineStr">
        <is>
          <t>STOCKHOLMS LÄN</t>
        </is>
      </c>
      <c r="E165" t="inlineStr">
        <is>
          <t>NORRTÄLJE</t>
        </is>
      </c>
      <c r="G165" t="n">
        <v>2.3</v>
      </c>
      <c r="H165" t="n">
        <v>0</v>
      </c>
      <c r="I165" t="n">
        <v>0</v>
      </c>
      <c r="J165" t="n">
        <v>1</v>
      </c>
      <c r="K165" t="n">
        <v>0</v>
      </c>
      <c r="L165" t="n">
        <v>0</v>
      </c>
      <c r="M165" t="n">
        <v>0</v>
      </c>
      <c r="N165" t="n">
        <v>0</v>
      </c>
      <c r="O165" t="n">
        <v>1</v>
      </c>
      <c r="P165" t="n">
        <v>0</v>
      </c>
      <c r="Q165" t="n">
        <v>1</v>
      </c>
      <c r="R165" s="2" t="inlineStr">
        <is>
          <t>Slåtterfibbla</t>
        </is>
      </c>
      <c r="S165">
        <f>HYPERLINK("https://klasma.github.io/Logging_0188/artfynd/A 48131-2023 artfynd.xlsx", "A 48131-2023")</f>
        <v/>
      </c>
      <c r="T165">
        <f>HYPERLINK("https://klasma.github.io/Logging_0188/kartor/A 48131-2023 karta.png", "A 48131-2023")</f>
        <v/>
      </c>
      <c r="V165">
        <f>HYPERLINK("https://klasma.github.io/Logging_0188/klagomål/A 48131-2023 FSC-klagomål.docx", "A 48131-2023")</f>
        <v/>
      </c>
      <c r="W165">
        <f>HYPERLINK("https://klasma.github.io/Logging_0188/klagomålsmail/A 48131-2023 FSC-klagomål mail.docx", "A 48131-2023")</f>
        <v/>
      </c>
      <c r="X165">
        <f>HYPERLINK("https://klasma.github.io/Logging_0188/tillsyn/A 48131-2023 tillsynsbegäran.docx", "A 48131-2023")</f>
        <v/>
      </c>
      <c r="Y165">
        <f>HYPERLINK("https://klasma.github.io/Logging_0188/tillsynsmail/A 48131-2023 tillsynsbegäran mail.docx", "A 48131-2023")</f>
        <v/>
      </c>
    </row>
    <row r="166" ht="15" customHeight="1">
      <c r="A166" t="inlineStr">
        <is>
          <t>A 64456-2023</t>
        </is>
      </c>
      <c r="B166" s="1" t="n">
        <v>45280</v>
      </c>
      <c r="C166" s="1" t="n">
        <v>46192</v>
      </c>
      <c r="D166" t="inlineStr">
        <is>
          <t>STOCKHOLMS LÄN</t>
        </is>
      </c>
      <c r="E166" t="inlineStr">
        <is>
          <t>NORRTÄLJE</t>
        </is>
      </c>
      <c r="G166" t="n">
        <v>2.5</v>
      </c>
      <c r="H166" t="n">
        <v>0</v>
      </c>
      <c r="I166" t="n">
        <v>1</v>
      </c>
      <c r="J166" t="n">
        <v>0</v>
      </c>
      <c r="K166" t="n">
        <v>0</v>
      </c>
      <c r="L166" t="n">
        <v>0</v>
      </c>
      <c r="M166" t="n">
        <v>0</v>
      </c>
      <c r="N166" t="n">
        <v>0</v>
      </c>
      <c r="O166" t="n">
        <v>0</v>
      </c>
      <c r="P166" t="n">
        <v>0</v>
      </c>
      <c r="Q166" t="n">
        <v>1</v>
      </c>
      <c r="R166" s="2" t="inlineStr">
        <is>
          <t>Rödgul trumpetsvamp</t>
        </is>
      </c>
      <c r="S166">
        <f>HYPERLINK("https://klasma.github.io/Logging_0188/artfynd/A 64456-2023 artfynd.xlsx", "A 64456-2023")</f>
        <v/>
      </c>
      <c r="T166">
        <f>HYPERLINK("https://klasma.github.io/Logging_0188/kartor/A 64456-2023 karta.png", "A 64456-2023")</f>
        <v/>
      </c>
      <c r="V166">
        <f>HYPERLINK("https://klasma.github.io/Logging_0188/klagomål/A 64456-2023 FSC-klagomål.docx", "A 64456-2023")</f>
        <v/>
      </c>
      <c r="W166">
        <f>HYPERLINK("https://klasma.github.io/Logging_0188/klagomålsmail/A 64456-2023 FSC-klagomål mail.docx", "A 64456-2023")</f>
        <v/>
      </c>
      <c r="X166">
        <f>HYPERLINK("https://klasma.github.io/Logging_0188/tillsyn/A 64456-2023 tillsynsbegäran.docx", "A 64456-2023")</f>
        <v/>
      </c>
      <c r="Y166">
        <f>HYPERLINK("https://klasma.github.io/Logging_0188/tillsynsmail/A 64456-2023 tillsynsbegäran mail.docx", "A 64456-2023")</f>
        <v/>
      </c>
    </row>
    <row r="167" ht="15" customHeight="1">
      <c r="A167" t="inlineStr">
        <is>
          <t>A 52321-2024</t>
        </is>
      </c>
      <c r="B167" s="1" t="n">
        <v>45608</v>
      </c>
      <c r="C167" s="1" t="n">
        <v>46192</v>
      </c>
      <c r="D167" t="inlineStr">
        <is>
          <t>STOCKHOLMS LÄN</t>
        </is>
      </c>
      <c r="E167" t="inlineStr">
        <is>
          <t>NORRTÄLJE</t>
        </is>
      </c>
      <c r="G167" t="n">
        <v>18.1</v>
      </c>
      <c r="H167" t="n">
        <v>0</v>
      </c>
      <c r="I167" t="n">
        <v>0</v>
      </c>
      <c r="J167" t="n">
        <v>0</v>
      </c>
      <c r="K167" t="n">
        <v>0</v>
      </c>
      <c r="L167" t="n">
        <v>0</v>
      </c>
      <c r="M167" t="n">
        <v>0</v>
      </c>
      <c r="N167" t="n">
        <v>0</v>
      </c>
      <c r="O167" t="n">
        <v>0</v>
      </c>
      <c r="P167" t="n">
        <v>0</v>
      </c>
      <c r="Q167" t="n">
        <v>1</v>
      </c>
      <c r="R167" s="2" t="inlineStr">
        <is>
          <t>Smånunneört</t>
        </is>
      </c>
      <c r="S167">
        <f>HYPERLINK("https://klasma.github.io/Logging_0188/artfynd/A 52321-2024 artfynd.xlsx", "A 52321-2024")</f>
        <v/>
      </c>
      <c r="T167">
        <f>HYPERLINK("https://klasma.github.io/Logging_0188/kartor/A 52321-2024 karta.png", "A 52321-2024")</f>
        <v/>
      </c>
      <c r="V167">
        <f>HYPERLINK("https://klasma.github.io/Logging_0188/klagomål/A 52321-2024 FSC-klagomål.docx", "A 52321-2024")</f>
        <v/>
      </c>
      <c r="W167">
        <f>HYPERLINK("https://klasma.github.io/Logging_0188/klagomålsmail/A 52321-2024 FSC-klagomål mail.docx", "A 52321-2024")</f>
        <v/>
      </c>
      <c r="X167">
        <f>HYPERLINK("https://klasma.github.io/Logging_0188/tillsyn/A 52321-2024 tillsynsbegäran.docx", "A 52321-2024")</f>
        <v/>
      </c>
      <c r="Y167">
        <f>HYPERLINK("https://klasma.github.io/Logging_0188/tillsynsmail/A 52321-2024 tillsynsbegäran mail.docx", "A 52321-2024")</f>
        <v/>
      </c>
    </row>
    <row r="168" ht="15" customHeight="1">
      <c r="A168" t="inlineStr">
        <is>
          <t>A 62765-2022</t>
        </is>
      </c>
      <c r="B168" s="1" t="n">
        <v>44637</v>
      </c>
      <c r="C168" s="1" t="n">
        <v>46192</v>
      </c>
      <c r="D168" t="inlineStr">
        <is>
          <t>STOCKHOLMS LÄN</t>
        </is>
      </c>
      <c r="E168" t="inlineStr">
        <is>
          <t>NORRTÄLJE</t>
        </is>
      </c>
      <c r="G168" t="n">
        <v>2.7</v>
      </c>
      <c r="H168" t="n">
        <v>1</v>
      </c>
      <c r="I168" t="n">
        <v>0</v>
      </c>
      <c r="J168" t="n">
        <v>1</v>
      </c>
      <c r="K168" t="n">
        <v>0</v>
      </c>
      <c r="L168" t="n">
        <v>0</v>
      </c>
      <c r="M168" t="n">
        <v>0</v>
      </c>
      <c r="N168" t="n">
        <v>0</v>
      </c>
      <c r="O168" t="n">
        <v>1</v>
      </c>
      <c r="P168" t="n">
        <v>0</v>
      </c>
      <c r="Q168" t="n">
        <v>1</v>
      </c>
      <c r="R168" s="2" t="inlineStr">
        <is>
          <t>Adam och eva</t>
        </is>
      </c>
      <c r="S168">
        <f>HYPERLINK("https://klasma.github.io/Logging_0188/artfynd/A 62765-2022 artfynd.xlsx", "A 62765-2022")</f>
        <v/>
      </c>
      <c r="T168">
        <f>HYPERLINK("https://klasma.github.io/Logging_0188/kartor/A 62765-2022 karta.png", "A 62765-2022")</f>
        <v/>
      </c>
      <c r="V168">
        <f>HYPERLINK("https://klasma.github.io/Logging_0188/klagomål/A 62765-2022 FSC-klagomål.docx", "A 62765-2022")</f>
        <v/>
      </c>
      <c r="W168">
        <f>HYPERLINK("https://klasma.github.io/Logging_0188/klagomålsmail/A 62765-2022 FSC-klagomål mail.docx", "A 62765-2022")</f>
        <v/>
      </c>
      <c r="X168">
        <f>HYPERLINK("https://klasma.github.io/Logging_0188/tillsyn/A 62765-2022 tillsynsbegäran.docx", "A 62765-2022")</f>
        <v/>
      </c>
      <c r="Y168">
        <f>HYPERLINK("https://klasma.github.io/Logging_0188/tillsynsmail/A 62765-2022 tillsynsbegäran mail.docx", "A 62765-2022")</f>
        <v/>
      </c>
    </row>
    <row r="169" ht="15" customHeight="1">
      <c r="A169" t="inlineStr">
        <is>
          <t>A 30731-2023</t>
        </is>
      </c>
      <c r="B169" s="1" t="n">
        <v>45112</v>
      </c>
      <c r="C169" s="1" t="n">
        <v>46192</v>
      </c>
      <c r="D169" t="inlineStr">
        <is>
          <t>STOCKHOLMS LÄN</t>
        </is>
      </c>
      <c r="E169" t="inlineStr">
        <is>
          <t>NORRTÄLJE</t>
        </is>
      </c>
      <c r="G169" t="n">
        <v>1.6</v>
      </c>
      <c r="H169" t="n">
        <v>0</v>
      </c>
      <c r="I169" t="n">
        <v>0</v>
      </c>
      <c r="J169" t="n">
        <v>1</v>
      </c>
      <c r="K169" t="n">
        <v>0</v>
      </c>
      <c r="L169" t="n">
        <v>0</v>
      </c>
      <c r="M169" t="n">
        <v>0</v>
      </c>
      <c r="N169" t="n">
        <v>0</v>
      </c>
      <c r="O169" t="n">
        <v>1</v>
      </c>
      <c r="P169" t="n">
        <v>0</v>
      </c>
      <c r="Q169" t="n">
        <v>1</v>
      </c>
      <c r="R169" s="2" t="inlineStr">
        <is>
          <t>Slåtterfibbla</t>
        </is>
      </c>
      <c r="S169">
        <f>HYPERLINK("https://klasma.github.io/Logging_0188/artfynd/A 30731-2023 artfynd.xlsx", "A 30731-2023")</f>
        <v/>
      </c>
      <c r="T169">
        <f>HYPERLINK("https://klasma.github.io/Logging_0188/kartor/A 30731-2023 karta.png", "A 30731-2023")</f>
        <v/>
      </c>
      <c r="V169">
        <f>HYPERLINK("https://klasma.github.io/Logging_0188/klagomål/A 30731-2023 FSC-klagomål.docx", "A 30731-2023")</f>
        <v/>
      </c>
      <c r="W169">
        <f>HYPERLINK("https://klasma.github.io/Logging_0188/klagomålsmail/A 30731-2023 FSC-klagomål mail.docx", "A 30731-2023")</f>
        <v/>
      </c>
      <c r="X169">
        <f>HYPERLINK("https://klasma.github.io/Logging_0188/tillsyn/A 30731-2023 tillsynsbegäran.docx", "A 30731-2023")</f>
        <v/>
      </c>
      <c r="Y169">
        <f>HYPERLINK("https://klasma.github.io/Logging_0188/tillsynsmail/A 30731-2023 tillsynsbegäran mail.docx", "A 30731-2023")</f>
        <v/>
      </c>
    </row>
    <row r="170" ht="15" customHeight="1">
      <c r="A170" t="inlineStr">
        <is>
          <t>A 4580-2025</t>
        </is>
      </c>
      <c r="B170" s="1" t="n">
        <v>45687</v>
      </c>
      <c r="C170" s="1" t="n">
        <v>46192</v>
      </c>
      <c r="D170" t="inlineStr">
        <is>
          <t>STOCKHOLMS LÄN</t>
        </is>
      </c>
      <c r="E170" t="inlineStr">
        <is>
          <t>NORRTÄLJE</t>
        </is>
      </c>
      <c r="F170" t="inlineStr">
        <is>
          <t>Holmen skog AB</t>
        </is>
      </c>
      <c r="G170" t="n">
        <v>4.8</v>
      </c>
      <c r="H170" t="n">
        <v>1</v>
      </c>
      <c r="I170" t="n">
        <v>0</v>
      </c>
      <c r="J170" t="n">
        <v>0</v>
      </c>
      <c r="K170" t="n">
        <v>0</v>
      </c>
      <c r="L170" t="n">
        <v>1</v>
      </c>
      <c r="M170" t="n">
        <v>0</v>
      </c>
      <c r="N170" t="n">
        <v>0</v>
      </c>
      <c r="O170" t="n">
        <v>1</v>
      </c>
      <c r="P170" t="n">
        <v>1</v>
      </c>
      <c r="Q170" t="n">
        <v>1</v>
      </c>
      <c r="R170" s="2" t="inlineStr">
        <is>
          <t>Asknätfjäril</t>
        </is>
      </c>
      <c r="S170">
        <f>HYPERLINK("https://klasma.github.io/Logging_0188/artfynd/A 4580-2025 artfynd.xlsx", "A 4580-2025")</f>
        <v/>
      </c>
      <c r="T170">
        <f>HYPERLINK("https://klasma.github.io/Logging_0188/kartor/A 4580-2025 karta.png", "A 4580-2025")</f>
        <v/>
      </c>
      <c r="V170">
        <f>HYPERLINK("https://klasma.github.io/Logging_0188/klagomål/A 4580-2025 FSC-klagomål.docx", "A 4580-2025")</f>
        <v/>
      </c>
      <c r="W170">
        <f>HYPERLINK("https://klasma.github.io/Logging_0188/klagomålsmail/A 4580-2025 FSC-klagomål mail.docx", "A 4580-2025")</f>
        <v/>
      </c>
      <c r="X170">
        <f>HYPERLINK("https://klasma.github.io/Logging_0188/tillsyn/A 4580-2025 tillsynsbegäran.docx", "A 4580-2025")</f>
        <v/>
      </c>
      <c r="Y170">
        <f>HYPERLINK("https://klasma.github.io/Logging_0188/tillsynsmail/A 4580-2025 tillsynsbegäran mail.docx", "A 4580-2025")</f>
        <v/>
      </c>
    </row>
    <row r="171" ht="15" customHeight="1">
      <c r="A171" t="inlineStr">
        <is>
          <t>A 21150-2022</t>
        </is>
      </c>
      <c r="B171" s="1" t="n">
        <v>44704</v>
      </c>
      <c r="C171" s="1" t="n">
        <v>46192</v>
      </c>
      <c r="D171" t="inlineStr">
        <is>
          <t>STOCKHOLMS LÄN</t>
        </is>
      </c>
      <c r="E171" t="inlineStr">
        <is>
          <t>NORRTÄLJE</t>
        </is>
      </c>
      <c r="G171" t="n">
        <v>12.5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21150-2022 artfynd.xlsx", "A 21150-2022")</f>
        <v/>
      </c>
      <c r="T171">
        <f>HYPERLINK("https://klasma.github.io/Logging_0188/kartor/A 21150-2022 karta.png", "A 21150-2022")</f>
        <v/>
      </c>
      <c r="V171">
        <f>HYPERLINK("https://klasma.github.io/Logging_0188/klagomål/A 21150-2022 FSC-klagomål.docx", "A 21150-2022")</f>
        <v/>
      </c>
      <c r="W171">
        <f>HYPERLINK("https://klasma.github.io/Logging_0188/klagomålsmail/A 21150-2022 FSC-klagomål mail.docx", "A 21150-2022")</f>
        <v/>
      </c>
      <c r="X171">
        <f>HYPERLINK("https://klasma.github.io/Logging_0188/tillsyn/A 21150-2022 tillsynsbegäran.docx", "A 21150-2022")</f>
        <v/>
      </c>
      <c r="Y171">
        <f>HYPERLINK("https://klasma.github.io/Logging_0188/tillsynsmail/A 21150-2022 tillsynsbegäran mail.docx", "A 21150-2022")</f>
        <v/>
      </c>
    </row>
    <row r="172" ht="15" customHeight="1">
      <c r="A172" t="inlineStr">
        <is>
          <t>A 31140-2023</t>
        </is>
      </c>
      <c r="B172" s="1" t="n">
        <v>45113</v>
      </c>
      <c r="C172" s="1" t="n">
        <v>46192</v>
      </c>
      <c r="D172" t="inlineStr">
        <is>
          <t>STOCKHOLMS LÄN</t>
        </is>
      </c>
      <c r="E172" t="inlineStr">
        <is>
          <t>NORRTÄLJE</t>
        </is>
      </c>
      <c r="G172" t="n">
        <v>1.3</v>
      </c>
      <c r="H172" t="n">
        <v>0</v>
      </c>
      <c r="I172" t="n">
        <v>0</v>
      </c>
      <c r="J172" t="n">
        <v>1</v>
      </c>
      <c r="K172" t="n">
        <v>0</v>
      </c>
      <c r="L172" t="n">
        <v>0</v>
      </c>
      <c r="M172" t="n">
        <v>0</v>
      </c>
      <c r="N172" t="n">
        <v>0</v>
      </c>
      <c r="O172" t="n">
        <v>1</v>
      </c>
      <c r="P172" t="n">
        <v>0</v>
      </c>
      <c r="Q172" t="n">
        <v>1</v>
      </c>
      <c r="R172" s="2" t="inlineStr">
        <is>
          <t>Krusfrö</t>
        </is>
      </c>
      <c r="S172">
        <f>HYPERLINK("https://klasma.github.io/Logging_0188/artfynd/A 31140-2023 artfynd.xlsx", "A 31140-2023")</f>
        <v/>
      </c>
      <c r="T172">
        <f>HYPERLINK("https://klasma.github.io/Logging_0188/kartor/A 31140-2023 karta.png", "A 31140-2023")</f>
        <v/>
      </c>
      <c r="V172">
        <f>HYPERLINK("https://klasma.github.io/Logging_0188/klagomål/A 31140-2023 FSC-klagomål.docx", "A 31140-2023")</f>
        <v/>
      </c>
      <c r="W172">
        <f>HYPERLINK("https://klasma.github.io/Logging_0188/klagomålsmail/A 31140-2023 FSC-klagomål mail.docx", "A 31140-2023")</f>
        <v/>
      </c>
      <c r="X172">
        <f>HYPERLINK("https://klasma.github.io/Logging_0188/tillsyn/A 31140-2023 tillsynsbegäran.docx", "A 31140-2023")</f>
        <v/>
      </c>
      <c r="Y172">
        <f>HYPERLINK("https://klasma.github.io/Logging_0188/tillsynsmail/A 31140-2023 tillsynsbegäran mail.docx", "A 31140-2023")</f>
        <v/>
      </c>
    </row>
    <row r="173" ht="15" customHeight="1">
      <c r="A173" t="inlineStr">
        <is>
          <t>A 24330-2023</t>
        </is>
      </c>
      <c r="B173" s="1" t="n">
        <v>45081</v>
      </c>
      <c r="C173" s="1" t="n">
        <v>46192</v>
      </c>
      <c r="D173" t="inlineStr">
        <is>
          <t>STOCKHOLMS LÄN</t>
        </is>
      </c>
      <c r="E173" t="inlineStr">
        <is>
          <t>NORRTÄLJE</t>
        </is>
      </c>
      <c r="G173" t="n">
        <v>5</v>
      </c>
      <c r="H173" t="n">
        <v>1</v>
      </c>
      <c r="I173" t="n">
        <v>0</v>
      </c>
      <c r="J173" t="n">
        <v>1</v>
      </c>
      <c r="K173" t="n">
        <v>0</v>
      </c>
      <c r="L173" t="n">
        <v>0</v>
      </c>
      <c r="M173" t="n">
        <v>0</v>
      </c>
      <c r="N173" t="n">
        <v>0</v>
      </c>
      <c r="O173" t="n">
        <v>1</v>
      </c>
      <c r="P173" t="n">
        <v>0</v>
      </c>
      <c r="Q173" t="n">
        <v>1</v>
      </c>
      <c r="R173" s="2" t="inlineStr">
        <is>
          <t>Mindre hackspett</t>
        </is>
      </c>
      <c r="S173">
        <f>HYPERLINK("https://klasma.github.io/Logging_0188/artfynd/A 24330-2023 artfynd.xlsx", "A 24330-2023")</f>
        <v/>
      </c>
      <c r="T173">
        <f>HYPERLINK("https://klasma.github.io/Logging_0188/kartor/A 24330-2023 karta.png", "A 24330-2023")</f>
        <v/>
      </c>
      <c r="V173">
        <f>HYPERLINK("https://klasma.github.io/Logging_0188/klagomål/A 24330-2023 FSC-klagomål.docx", "A 24330-2023")</f>
        <v/>
      </c>
      <c r="W173">
        <f>HYPERLINK("https://klasma.github.io/Logging_0188/klagomålsmail/A 24330-2023 FSC-klagomål mail.docx", "A 24330-2023")</f>
        <v/>
      </c>
      <c r="X173">
        <f>HYPERLINK("https://klasma.github.io/Logging_0188/tillsyn/A 24330-2023 tillsynsbegäran.docx", "A 24330-2023")</f>
        <v/>
      </c>
      <c r="Y173">
        <f>HYPERLINK("https://klasma.github.io/Logging_0188/tillsynsmail/A 24330-2023 tillsynsbegäran mail.docx", "A 24330-2023")</f>
        <v/>
      </c>
      <c r="Z173">
        <f>HYPERLINK("https://klasma.github.io/Logging_0188/fåglar/A 24330-2023 prioriterade fågelarter.docx", "A 24330-2023")</f>
        <v/>
      </c>
    </row>
    <row r="174" ht="15" customHeight="1">
      <c r="A174" t="inlineStr">
        <is>
          <t>A 58888-2021</t>
        </is>
      </c>
      <c r="B174" s="1" t="n">
        <v>44489</v>
      </c>
      <c r="C174" s="1" t="n">
        <v>46192</v>
      </c>
      <c r="D174" t="inlineStr">
        <is>
          <t>STOCKHOLMS LÄN</t>
        </is>
      </c>
      <c r="E174" t="inlineStr">
        <is>
          <t>NORRTÄLJE</t>
        </is>
      </c>
      <c r="F174" t="inlineStr">
        <is>
          <t>Holmen skog AB</t>
        </is>
      </c>
      <c r="G174" t="n">
        <v>2.5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58888-2021 artfynd.xlsx", "A 58888-2021")</f>
        <v/>
      </c>
      <c r="T174">
        <f>HYPERLINK("https://klasma.github.io/Logging_0188/kartor/A 58888-2021 karta.png", "A 58888-2021")</f>
        <v/>
      </c>
      <c r="V174">
        <f>HYPERLINK("https://klasma.github.io/Logging_0188/klagomål/A 58888-2021 FSC-klagomål.docx", "A 58888-2021")</f>
        <v/>
      </c>
      <c r="W174">
        <f>HYPERLINK("https://klasma.github.io/Logging_0188/klagomålsmail/A 58888-2021 FSC-klagomål mail.docx", "A 58888-2021")</f>
        <v/>
      </c>
      <c r="X174">
        <f>HYPERLINK("https://klasma.github.io/Logging_0188/tillsyn/A 58888-2021 tillsynsbegäran.docx", "A 58888-2021")</f>
        <v/>
      </c>
      <c r="Y174">
        <f>HYPERLINK("https://klasma.github.io/Logging_0188/tillsynsmail/A 58888-2021 tillsynsbegäran mail.docx", "A 58888-2021")</f>
        <v/>
      </c>
    </row>
    <row r="175" ht="15" customHeight="1">
      <c r="A175" t="inlineStr">
        <is>
          <t>A 58993-2022</t>
        </is>
      </c>
      <c r="B175" s="1" t="n">
        <v>44903</v>
      </c>
      <c r="C175" s="1" t="n">
        <v>46192</v>
      </c>
      <c r="D175" t="inlineStr">
        <is>
          <t>STOCKHOLMS LÄN</t>
        </is>
      </c>
      <c r="E175" t="inlineStr">
        <is>
          <t>NORRTÄLJE</t>
        </is>
      </c>
      <c r="G175" t="n">
        <v>2.3</v>
      </c>
      <c r="H175" t="n">
        <v>0</v>
      </c>
      <c r="I175" t="n">
        <v>0</v>
      </c>
      <c r="J175" t="n">
        <v>1</v>
      </c>
      <c r="K175" t="n">
        <v>0</v>
      </c>
      <c r="L175" t="n">
        <v>0</v>
      </c>
      <c r="M175" t="n">
        <v>0</v>
      </c>
      <c r="N175" t="n">
        <v>0</v>
      </c>
      <c r="O175" t="n">
        <v>1</v>
      </c>
      <c r="P175" t="n">
        <v>0</v>
      </c>
      <c r="Q175" t="n">
        <v>1</v>
      </c>
      <c r="R175" s="2" t="inlineStr">
        <is>
          <t>Rödlånke</t>
        </is>
      </c>
      <c r="S175">
        <f>HYPERLINK("https://klasma.github.io/Logging_0188/artfynd/A 58993-2022 artfynd.xlsx", "A 58993-2022")</f>
        <v/>
      </c>
      <c r="T175">
        <f>HYPERLINK("https://klasma.github.io/Logging_0188/kartor/A 58993-2022 karta.png", "A 58993-2022")</f>
        <v/>
      </c>
      <c r="V175">
        <f>HYPERLINK("https://klasma.github.io/Logging_0188/klagomål/A 58993-2022 FSC-klagomål.docx", "A 58993-2022")</f>
        <v/>
      </c>
      <c r="W175">
        <f>HYPERLINK("https://klasma.github.io/Logging_0188/klagomålsmail/A 58993-2022 FSC-klagomål mail.docx", "A 58993-2022")</f>
        <v/>
      </c>
      <c r="X175">
        <f>HYPERLINK("https://klasma.github.io/Logging_0188/tillsyn/A 58993-2022 tillsynsbegäran.docx", "A 58993-2022")</f>
        <v/>
      </c>
      <c r="Y175">
        <f>HYPERLINK("https://klasma.github.io/Logging_0188/tillsynsmail/A 58993-2022 tillsynsbegäran mail.docx", "A 58993-2022")</f>
        <v/>
      </c>
    </row>
    <row r="176" ht="15" customHeight="1">
      <c r="A176" t="inlineStr">
        <is>
          <t>A 52611-2024</t>
        </is>
      </c>
      <c r="B176" s="1" t="n">
        <v>45609</v>
      </c>
      <c r="C176" s="1" t="n">
        <v>46192</v>
      </c>
      <c r="D176" t="inlineStr">
        <is>
          <t>STOCKHOLMS LÄN</t>
        </is>
      </c>
      <c r="E176" t="inlineStr">
        <is>
          <t>NORRTÄLJE</t>
        </is>
      </c>
      <c r="G176" t="n">
        <v>10.6</v>
      </c>
      <c r="H176" t="n">
        <v>1</v>
      </c>
      <c r="I176" t="n">
        <v>0</v>
      </c>
      <c r="J176" t="n">
        <v>0</v>
      </c>
      <c r="K176" t="n">
        <v>0</v>
      </c>
      <c r="L176" t="n">
        <v>0</v>
      </c>
      <c r="M176" t="n">
        <v>0</v>
      </c>
      <c r="N176" t="n">
        <v>0</v>
      </c>
      <c r="O176" t="n">
        <v>0</v>
      </c>
      <c r="P176" t="n">
        <v>0</v>
      </c>
      <c r="Q176" t="n">
        <v>1</v>
      </c>
      <c r="R176" s="2" t="inlineStr">
        <is>
          <t>Blåsippa</t>
        </is>
      </c>
      <c r="S176">
        <f>HYPERLINK("https://klasma.github.io/Logging_0188/artfynd/A 52611-2024 artfynd.xlsx", "A 52611-2024")</f>
        <v/>
      </c>
      <c r="T176">
        <f>HYPERLINK("https://klasma.github.io/Logging_0188/kartor/A 52611-2024 karta.png", "A 52611-2024")</f>
        <v/>
      </c>
      <c r="V176">
        <f>HYPERLINK("https://klasma.github.io/Logging_0188/klagomål/A 52611-2024 FSC-klagomål.docx", "A 52611-2024")</f>
        <v/>
      </c>
      <c r="W176">
        <f>HYPERLINK("https://klasma.github.io/Logging_0188/klagomålsmail/A 52611-2024 FSC-klagomål mail.docx", "A 52611-2024")</f>
        <v/>
      </c>
      <c r="X176">
        <f>HYPERLINK("https://klasma.github.io/Logging_0188/tillsyn/A 52611-2024 tillsynsbegäran.docx", "A 52611-2024")</f>
        <v/>
      </c>
      <c r="Y176">
        <f>HYPERLINK("https://klasma.github.io/Logging_0188/tillsynsmail/A 52611-2024 tillsynsbegäran mail.docx", "A 52611-2024")</f>
        <v/>
      </c>
    </row>
    <row r="177" ht="15" customHeight="1">
      <c r="A177" t="inlineStr">
        <is>
          <t>A 9955-2022</t>
        </is>
      </c>
      <c r="B177" s="1" t="n">
        <v>44620</v>
      </c>
      <c r="C177" s="1" t="n">
        <v>46192</v>
      </c>
      <c r="D177" t="inlineStr">
        <is>
          <t>STOCKHOLMS LÄN</t>
        </is>
      </c>
      <c r="E177" t="inlineStr">
        <is>
          <t>NORRTÄLJE</t>
        </is>
      </c>
      <c r="G177" t="n">
        <v>7.8</v>
      </c>
      <c r="H177" t="n">
        <v>1</v>
      </c>
      <c r="I177" t="n">
        <v>0</v>
      </c>
      <c r="J177" t="n">
        <v>0</v>
      </c>
      <c r="K177" t="n">
        <v>0</v>
      </c>
      <c r="L177" t="n">
        <v>0</v>
      </c>
      <c r="M177" t="n">
        <v>0</v>
      </c>
      <c r="N177" t="n">
        <v>0</v>
      </c>
      <c r="O177" t="n">
        <v>0</v>
      </c>
      <c r="P177" t="n">
        <v>0</v>
      </c>
      <c r="Q177" t="n">
        <v>1</v>
      </c>
      <c r="R177" s="2" t="inlineStr">
        <is>
          <t>Åkergroda</t>
        </is>
      </c>
      <c r="S177">
        <f>HYPERLINK("https://klasma.github.io/Logging_0188/artfynd/A 9955-2022 artfynd.xlsx", "A 9955-2022")</f>
        <v/>
      </c>
      <c r="T177">
        <f>HYPERLINK("https://klasma.github.io/Logging_0188/kartor/A 9955-2022 karta.png", "A 9955-2022")</f>
        <v/>
      </c>
      <c r="V177">
        <f>HYPERLINK("https://klasma.github.io/Logging_0188/klagomål/A 9955-2022 FSC-klagomål.docx", "A 9955-2022")</f>
        <v/>
      </c>
      <c r="W177">
        <f>HYPERLINK("https://klasma.github.io/Logging_0188/klagomålsmail/A 9955-2022 FSC-klagomål mail.docx", "A 9955-2022")</f>
        <v/>
      </c>
      <c r="X177">
        <f>HYPERLINK("https://klasma.github.io/Logging_0188/tillsyn/A 9955-2022 tillsynsbegäran.docx", "A 9955-2022")</f>
        <v/>
      </c>
      <c r="Y177">
        <f>HYPERLINK("https://klasma.github.io/Logging_0188/tillsynsmail/A 9955-2022 tillsynsbegäran mail.docx", "A 9955-2022")</f>
        <v/>
      </c>
    </row>
    <row r="178" ht="15" customHeight="1">
      <c r="A178" t="inlineStr">
        <is>
          <t>A 24563-2024</t>
        </is>
      </c>
      <c r="B178" s="1" t="n">
        <v>45460</v>
      </c>
      <c r="C178" s="1" t="n">
        <v>46192</v>
      </c>
      <c r="D178" t="inlineStr">
        <is>
          <t>STOCKHOLMS LÄN</t>
        </is>
      </c>
      <c r="E178" t="inlineStr">
        <is>
          <t>NORRTÄLJE</t>
        </is>
      </c>
      <c r="G178" t="n">
        <v>1.9</v>
      </c>
      <c r="H178" t="n">
        <v>1</v>
      </c>
      <c r="I178" t="n">
        <v>0</v>
      </c>
      <c r="J178" t="n">
        <v>0</v>
      </c>
      <c r="K178" t="n">
        <v>0</v>
      </c>
      <c r="L178" t="n">
        <v>0</v>
      </c>
      <c r="M178" t="n">
        <v>0</v>
      </c>
      <c r="N178" t="n">
        <v>0</v>
      </c>
      <c r="O178" t="n">
        <v>0</v>
      </c>
      <c r="P178" t="n">
        <v>0</v>
      </c>
      <c r="Q178" t="n">
        <v>1</v>
      </c>
      <c r="R178" s="2" t="inlineStr">
        <is>
          <t>Blåsippa</t>
        </is>
      </c>
      <c r="S178">
        <f>HYPERLINK("https://klasma.github.io/Logging_0188/artfynd/A 24563-2024 artfynd.xlsx", "A 24563-2024")</f>
        <v/>
      </c>
      <c r="T178">
        <f>HYPERLINK("https://klasma.github.io/Logging_0188/kartor/A 24563-2024 karta.png", "A 24563-2024")</f>
        <v/>
      </c>
      <c r="V178">
        <f>HYPERLINK("https://klasma.github.io/Logging_0188/klagomål/A 24563-2024 FSC-klagomål.docx", "A 24563-2024")</f>
        <v/>
      </c>
      <c r="W178">
        <f>HYPERLINK("https://klasma.github.io/Logging_0188/klagomålsmail/A 24563-2024 FSC-klagomål mail.docx", "A 24563-2024")</f>
        <v/>
      </c>
      <c r="X178">
        <f>HYPERLINK("https://klasma.github.io/Logging_0188/tillsyn/A 24563-2024 tillsynsbegäran.docx", "A 24563-2024")</f>
        <v/>
      </c>
      <c r="Y178">
        <f>HYPERLINK("https://klasma.github.io/Logging_0188/tillsynsmail/A 24563-2024 tillsynsbegäran mail.docx", "A 24563-2024")</f>
        <v/>
      </c>
    </row>
    <row r="179" ht="15" customHeight="1">
      <c r="A179" t="inlineStr">
        <is>
          <t>A 13109-2026</t>
        </is>
      </c>
      <c r="B179" s="1" t="n">
        <v>46093</v>
      </c>
      <c r="C179" s="1" t="n">
        <v>46192</v>
      </c>
      <c r="D179" t="inlineStr">
        <is>
          <t>STOCKHOLMS LÄN</t>
        </is>
      </c>
      <c r="E179" t="inlineStr">
        <is>
          <t>NORRTÄLJE</t>
        </is>
      </c>
      <c r="G179" t="n">
        <v>4</v>
      </c>
      <c r="H179" t="n">
        <v>1</v>
      </c>
      <c r="I179" t="n">
        <v>0</v>
      </c>
      <c r="J179" t="n">
        <v>0</v>
      </c>
      <c r="K179" t="n">
        <v>0</v>
      </c>
      <c r="L179" t="n">
        <v>1</v>
      </c>
      <c r="M179" t="n">
        <v>0</v>
      </c>
      <c r="N179" t="n">
        <v>0</v>
      </c>
      <c r="O179" t="n">
        <v>1</v>
      </c>
      <c r="P179" t="n">
        <v>1</v>
      </c>
      <c r="Q179" t="n">
        <v>1</v>
      </c>
      <c r="R179" s="2" t="inlineStr">
        <is>
          <t>Asknätfjäril</t>
        </is>
      </c>
      <c r="S179">
        <f>HYPERLINK("https://klasma.github.io/Logging_0188/artfynd/A 13109-2026 artfynd.xlsx", "A 13109-2026")</f>
        <v/>
      </c>
      <c r="T179">
        <f>HYPERLINK("https://klasma.github.io/Logging_0188/kartor/A 13109-2026 karta.png", "A 13109-2026")</f>
        <v/>
      </c>
      <c r="V179">
        <f>HYPERLINK("https://klasma.github.io/Logging_0188/klagomål/A 13109-2026 FSC-klagomål.docx", "A 13109-2026")</f>
        <v/>
      </c>
      <c r="W179">
        <f>HYPERLINK("https://klasma.github.io/Logging_0188/klagomålsmail/A 13109-2026 FSC-klagomål mail.docx", "A 13109-2026")</f>
        <v/>
      </c>
      <c r="X179">
        <f>HYPERLINK("https://klasma.github.io/Logging_0188/tillsyn/A 13109-2026 tillsynsbegäran.docx", "A 13109-2026")</f>
        <v/>
      </c>
      <c r="Y179">
        <f>HYPERLINK("https://klasma.github.io/Logging_0188/tillsynsmail/A 13109-2026 tillsynsbegäran mail.docx", "A 13109-2026")</f>
        <v/>
      </c>
    </row>
    <row r="180" ht="15" customHeight="1">
      <c r="A180" t="inlineStr">
        <is>
          <t>A 23905-2025</t>
        </is>
      </c>
      <c r="B180" s="1" t="n">
        <v>45794</v>
      </c>
      <c r="C180" s="1" t="n">
        <v>46192</v>
      </c>
      <c r="D180" t="inlineStr">
        <is>
          <t>STOCKHOLMS LÄN</t>
        </is>
      </c>
      <c r="E180" t="inlineStr">
        <is>
          <t>NORRTÄLJE</t>
        </is>
      </c>
      <c r="G180" t="n">
        <v>8.4</v>
      </c>
      <c r="H180" t="n">
        <v>1</v>
      </c>
      <c r="I180" t="n">
        <v>0</v>
      </c>
      <c r="J180" t="n">
        <v>0</v>
      </c>
      <c r="K180" t="n">
        <v>0</v>
      </c>
      <c r="L180" t="n">
        <v>0</v>
      </c>
      <c r="M180" t="n">
        <v>0</v>
      </c>
      <c r="N180" t="n">
        <v>0</v>
      </c>
      <c r="O180" t="n">
        <v>0</v>
      </c>
      <c r="P180" t="n">
        <v>0</v>
      </c>
      <c r="Q180" t="n">
        <v>1</v>
      </c>
      <c r="R180" s="2" t="inlineStr">
        <is>
          <t>Blåsippa</t>
        </is>
      </c>
      <c r="S180">
        <f>HYPERLINK("https://klasma.github.io/Logging_0188/artfynd/A 23905-2025 artfynd.xlsx", "A 23905-2025")</f>
        <v/>
      </c>
      <c r="T180">
        <f>HYPERLINK("https://klasma.github.io/Logging_0188/kartor/A 23905-2025 karta.png", "A 23905-2025")</f>
        <v/>
      </c>
      <c r="V180">
        <f>HYPERLINK("https://klasma.github.io/Logging_0188/klagomål/A 23905-2025 FSC-klagomål.docx", "A 23905-2025")</f>
        <v/>
      </c>
      <c r="W180">
        <f>HYPERLINK("https://klasma.github.io/Logging_0188/klagomålsmail/A 23905-2025 FSC-klagomål mail.docx", "A 23905-2025")</f>
        <v/>
      </c>
      <c r="X180">
        <f>HYPERLINK("https://klasma.github.io/Logging_0188/tillsyn/A 23905-2025 tillsynsbegäran.docx", "A 23905-2025")</f>
        <v/>
      </c>
      <c r="Y180">
        <f>HYPERLINK("https://klasma.github.io/Logging_0188/tillsynsmail/A 23905-2025 tillsynsbegäran mail.docx", "A 23905-2025")</f>
        <v/>
      </c>
    </row>
    <row r="181" ht="15" customHeight="1">
      <c r="A181" t="inlineStr">
        <is>
          <t>A 35764-2024</t>
        </is>
      </c>
      <c r="B181" s="1" t="n">
        <v>45532</v>
      </c>
      <c r="C181" s="1" t="n">
        <v>46192</v>
      </c>
      <c r="D181" t="inlineStr">
        <is>
          <t>STOCKHOLMS LÄN</t>
        </is>
      </c>
      <c r="E181" t="inlineStr">
        <is>
          <t>NORRTÄLJE</t>
        </is>
      </c>
      <c r="G181" t="n">
        <v>14.2</v>
      </c>
      <c r="H181" t="n">
        <v>1</v>
      </c>
      <c r="I181" t="n">
        <v>0</v>
      </c>
      <c r="J181" t="n">
        <v>0</v>
      </c>
      <c r="K181" t="n">
        <v>1</v>
      </c>
      <c r="L181" t="n">
        <v>0</v>
      </c>
      <c r="M181" t="n">
        <v>0</v>
      </c>
      <c r="N181" t="n">
        <v>0</v>
      </c>
      <c r="O181" t="n">
        <v>1</v>
      </c>
      <c r="P181" t="n">
        <v>1</v>
      </c>
      <c r="Q181" t="n">
        <v>1</v>
      </c>
      <c r="R181" s="2" t="inlineStr">
        <is>
          <t>Knärot</t>
        </is>
      </c>
      <c r="S181">
        <f>HYPERLINK("https://klasma.github.io/Logging_0188/artfynd/A 35764-2024 artfynd.xlsx", "A 35764-2024")</f>
        <v/>
      </c>
      <c r="T181">
        <f>HYPERLINK("https://klasma.github.io/Logging_0188/kartor/A 35764-2024 karta.png", "A 35764-2024")</f>
        <v/>
      </c>
      <c r="U181">
        <f>HYPERLINK("https://klasma.github.io/Logging_0188/knärot/A 35764-2024 karta knärot.png", "A 35764-2024")</f>
        <v/>
      </c>
      <c r="V181">
        <f>HYPERLINK("https://klasma.github.io/Logging_0188/klagomål/A 35764-2024 FSC-klagomål.docx", "A 35764-2024")</f>
        <v/>
      </c>
      <c r="W181">
        <f>HYPERLINK("https://klasma.github.io/Logging_0188/klagomålsmail/A 35764-2024 FSC-klagomål mail.docx", "A 35764-2024")</f>
        <v/>
      </c>
      <c r="X181">
        <f>HYPERLINK("https://klasma.github.io/Logging_0188/tillsyn/A 35764-2024 tillsynsbegäran.docx", "A 35764-2024")</f>
        <v/>
      </c>
      <c r="Y181">
        <f>HYPERLINK("https://klasma.github.io/Logging_0188/tillsynsmail/A 35764-2024 tillsynsbegäran mail.docx", "A 35764-2024")</f>
        <v/>
      </c>
    </row>
    <row r="182" ht="15" customHeight="1">
      <c r="A182" t="inlineStr">
        <is>
          <t>A 28365-2022</t>
        </is>
      </c>
      <c r="B182" s="1" t="n">
        <v>44747</v>
      </c>
      <c r="C182" s="1" t="n">
        <v>46192</v>
      </c>
      <c r="D182" t="inlineStr">
        <is>
          <t>STOCKHOLMS LÄN</t>
        </is>
      </c>
      <c r="E182" t="inlineStr">
        <is>
          <t>NORRTÄLJE</t>
        </is>
      </c>
      <c r="G182" t="n">
        <v>5.1</v>
      </c>
      <c r="H182" t="n">
        <v>0</v>
      </c>
      <c r="I182" t="n">
        <v>0</v>
      </c>
      <c r="J182" t="n">
        <v>1</v>
      </c>
      <c r="K182" t="n">
        <v>0</v>
      </c>
      <c r="L182" t="n">
        <v>0</v>
      </c>
      <c r="M182" t="n">
        <v>0</v>
      </c>
      <c r="N182" t="n">
        <v>0</v>
      </c>
      <c r="O182" t="n">
        <v>1</v>
      </c>
      <c r="P182" t="n">
        <v>0</v>
      </c>
      <c r="Q182" t="n">
        <v>1</v>
      </c>
      <c r="R182" s="2" t="inlineStr">
        <is>
          <t>Oxtungssvamp</t>
        </is>
      </c>
      <c r="S182">
        <f>HYPERLINK("https://klasma.github.io/Logging_0188/artfynd/A 28365-2022 artfynd.xlsx", "A 28365-2022")</f>
        <v/>
      </c>
      <c r="T182">
        <f>HYPERLINK("https://klasma.github.io/Logging_0188/kartor/A 28365-2022 karta.png", "A 28365-2022")</f>
        <v/>
      </c>
      <c r="V182">
        <f>HYPERLINK("https://klasma.github.io/Logging_0188/klagomål/A 28365-2022 FSC-klagomål.docx", "A 28365-2022")</f>
        <v/>
      </c>
      <c r="W182">
        <f>HYPERLINK("https://klasma.github.io/Logging_0188/klagomålsmail/A 28365-2022 FSC-klagomål mail.docx", "A 28365-2022")</f>
        <v/>
      </c>
      <c r="X182">
        <f>HYPERLINK("https://klasma.github.io/Logging_0188/tillsyn/A 28365-2022 tillsynsbegäran.docx", "A 28365-2022")</f>
        <v/>
      </c>
      <c r="Y182">
        <f>HYPERLINK("https://klasma.github.io/Logging_0188/tillsynsmail/A 28365-2022 tillsynsbegäran mail.docx", "A 28365-2022")</f>
        <v/>
      </c>
    </row>
    <row r="183" ht="15" customHeight="1">
      <c r="A183" t="inlineStr">
        <is>
          <t>A 6381-2023</t>
        </is>
      </c>
      <c r="B183" s="1" t="n">
        <v>44965</v>
      </c>
      <c r="C183" s="1" t="n">
        <v>46192</v>
      </c>
      <c r="D183" t="inlineStr">
        <is>
          <t>STOCKHOLMS LÄN</t>
        </is>
      </c>
      <c r="E183" t="inlineStr">
        <is>
          <t>NORRTÄLJE</t>
        </is>
      </c>
      <c r="G183" t="n">
        <v>3.5</v>
      </c>
      <c r="H183" t="n">
        <v>1</v>
      </c>
      <c r="I183" t="n">
        <v>1</v>
      </c>
      <c r="J183" t="n">
        <v>0</v>
      </c>
      <c r="K183" t="n">
        <v>0</v>
      </c>
      <c r="L183" t="n">
        <v>0</v>
      </c>
      <c r="M183" t="n">
        <v>0</v>
      </c>
      <c r="N183" t="n">
        <v>0</v>
      </c>
      <c r="O183" t="n">
        <v>0</v>
      </c>
      <c r="P183" t="n">
        <v>0</v>
      </c>
      <c r="Q183" t="n">
        <v>1</v>
      </c>
      <c r="R183" s="2" t="inlineStr">
        <is>
          <t>Guckusko</t>
        </is>
      </c>
      <c r="S183">
        <f>HYPERLINK("https://klasma.github.io/Logging_0188/artfynd/A 6381-2023 artfynd.xlsx", "A 6381-2023")</f>
        <v/>
      </c>
      <c r="T183">
        <f>HYPERLINK("https://klasma.github.io/Logging_0188/kartor/A 6381-2023 karta.png", "A 6381-2023")</f>
        <v/>
      </c>
      <c r="V183">
        <f>HYPERLINK("https://klasma.github.io/Logging_0188/klagomål/A 6381-2023 FSC-klagomål.docx", "A 6381-2023")</f>
        <v/>
      </c>
      <c r="W183">
        <f>HYPERLINK("https://klasma.github.io/Logging_0188/klagomålsmail/A 6381-2023 FSC-klagomål mail.docx", "A 6381-2023")</f>
        <v/>
      </c>
      <c r="X183">
        <f>HYPERLINK("https://klasma.github.io/Logging_0188/tillsyn/A 6381-2023 tillsynsbegäran.docx", "A 6381-2023")</f>
        <v/>
      </c>
      <c r="Y183">
        <f>HYPERLINK("https://klasma.github.io/Logging_0188/tillsynsmail/A 6381-2023 tillsynsbegäran mail.docx", "A 6381-2023")</f>
        <v/>
      </c>
    </row>
    <row r="184" ht="15" customHeight="1">
      <c r="A184" t="inlineStr">
        <is>
          <t>A 29946-2025</t>
        </is>
      </c>
      <c r="B184" s="1" t="n">
        <v>45826</v>
      </c>
      <c r="C184" s="1" t="n">
        <v>46192</v>
      </c>
      <c r="D184" t="inlineStr">
        <is>
          <t>STOCKHOLMS LÄN</t>
        </is>
      </c>
      <c r="E184" t="inlineStr">
        <is>
          <t>NORRTÄLJE</t>
        </is>
      </c>
      <c r="F184" t="inlineStr">
        <is>
          <t>Holmen skog AB</t>
        </is>
      </c>
      <c r="G184" t="n">
        <v>3.6</v>
      </c>
      <c r="H184" t="n">
        <v>1</v>
      </c>
      <c r="I184" t="n">
        <v>0</v>
      </c>
      <c r="J184" t="n">
        <v>0</v>
      </c>
      <c r="K184" t="n">
        <v>0</v>
      </c>
      <c r="L184" t="n">
        <v>1</v>
      </c>
      <c r="M184" t="n">
        <v>0</v>
      </c>
      <c r="N184" t="n">
        <v>0</v>
      </c>
      <c r="O184" t="n">
        <v>1</v>
      </c>
      <c r="P184" t="n">
        <v>1</v>
      </c>
      <c r="Q184" t="n">
        <v>1</v>
      </c>
      <c r="R184" s="2" t="inlineStr">
        <is>
          <t>Asknätfjäril</t>
        </is>
      </c>
      <c r="S184">
        <f>HYPERLINK("https://klasma.github.io/Logging_0188/artfynd/A 29946-2025 artfynd.xlsx", "A 29946-2025")</f>
        <v/>
      </c>
      <c r="T184">
        <f>HYPERLINK("https://klasma.github.io/Logging_0188/kartor/A 29946-2025 karta.png", "A 29946-2025")</f>
        <v/>
      </c>
      <c r="V184">
        <f>HYPERLINK("https://klasma.github.io/Logging_0188/klagomål/A 29946-2025 FSC-klagomål.docx", "A 29946-2025")</f>
        <v/>
      </c>
      <c r="W184">
        <f>HYPERLINK("https://klasma.github.io/Logging_0188/klagomålsmail/A 29946-2025 FSC-klagomål mail.docx", "A 29946-2025")</f>
        <v/>
      </c>
      <c r="X184">
        <f>HYPERLINK("https://klasma.github.io/Logging_0188/tillsyn/A 29946-2025 tillsynsbegäran.docx", "A 29946-2025")</f>
        <v/>
      </c>
      <c r="Y184">
        <f>HYPERLINK("https://klasma.github.io/Logging_0188/tillsynsmail/A 29946-2025 tillsynsbegäran mail.docx", "A 29946-2025")</f>
        <v/>
      </c>
    </row>
    <row r="185" ht="15" customHeight="1">
      <c r="A185" t="inlineStr">
        <is>
          <t>A 19025-2025</t>
        </is>
      </c>
      <c r="B185" s="1" t="n">
        <v>45764</v>
      </c>
      <c r="C185" s="1" t="n">
        <v>46192</v>
      </c>
      <c r="D185" t="inlineStr">
        <is>
          <t>STOCKHOLMS LÄN</t>
        </is>
      </c>
      <c r="E185" t="inlineStr">
        <is>
          <t>NORRTÄLJE</t>
        </is>
      </c>
      <c r="G185" t="n">
        <v>1.2</v>
      </c>
      <c r="H185" t="n">
        <v>0</v>
      </c>
      <c r="I185" t="n">
        <v>1</v>
      </c>
      <c r="J185" t="n">
        <v>0</v>
      </c>
      <c r="K185" t="n">
        <v>0</v>
      </c>
      <c r="L185" t="n">
        <v>0</v>
      </c>
      <c r="M185" t="n">
        <v>0</v>
      </c>
      <c r="N185" t="n">
        <v>0</v>
      </c>
      <c r="O185" t="n">
        <v>0</v>
      </c>
      <c r="P185" t="n">
        <v>0</v>
      </c>
      <c r="Q185" t="n">
        <v>1</v>
      </c>
      <c r="R185" s="2" t="inlineStr">
        <is>
          <t>Granbarkgnagare</t>
        </is>
      </c>
      <c r="S185">
        <f>HYPERLINK("https://klasma.github.io/Logging_0188/artfynd/A 19025-2025 artfynd.xlsx", "A 19025-2025")</f>
        <v/>
      </c>
      <c r="T185">
        <f>HYPERLINK("https://klasma.github.io/Logging_0188/kartor/A 19025-2025 karta.png", "A 19025-2025")</f>
        <v/>
      </c>
      <c r="V185">
        <f>HYPERLINK("https://klasma.github.io/Logging_0188/klagomål/A 19025-2025 FSC-klagomål.docx", "A 19025-2025")</f>
        <v/>
      </c>
      <c r="W185">
        <f>HYPERLINK("https://klasma.github.io/Logging_0188/klagomålsmail/A 19025-2025 FSC-klagomål mail.docx", "A 19025-2025")</f>
        <v/>
      </c>
      <c r="X185">
        <f>HYPERLINK("https://klasma.github.io/Logging_0188/tillsyn/A 19025-2025 tillsynsbegäran.docx", "A 19025-2025")</f>
        <v/>
      </c>
      <c r="Y185">
        <f>HYPERLINK("https://klasma.github.io/Logging_0188/tillsynsmail/A 19025-2025 tillsynsbegäran mail.docx", "A 19025-2025")</f>
        <v/>
      </c>
    </row>
    <row r="186" ht="15" customHeight="1">
      <c r="A186" t="inlineStr">
        <is>
          <t>A 35451-2025</t>
        </is>
      </c>
      <c r="B186" s="1" t="n">
        <v>45855</v>
      </c>
      <c r="C186" s="1" t="n">
        <v>46192</v>
      </c>
      <c r="D186" t="inlineStr">
        <is>
          <t>STOCKHOLMS LÄN</t>
        </is>
      </c>
      <c r="E186" t="inlineStr">
        <is>
          <t>NORRTÄLJE</t>
        </is>
      </c>
      <c r="F186" t="inlineStr">
        <is>
          <t>Holmen skog AB</t>
        </is>
      </c>
      <c r="G186" t="n">
        <v>7.4</v>
      </c>
      <c r="H186" t="n">
        <v>1</v>
      </c>
      <c r="I186" t="n">
        <v>0</v>
      </c>
      <c r="J186" t="n">
        <v>0</v>
      </c>
      <c r="K186" t="n">
        <v>1</v>
      </c>
      <c r="L186" t="n">
        <v>0</v>
      </c>
      <c r="M186" t="n">
        <v>0</v>
      </c>
      <c r="N186" t="n">
        <v>0</v>
      </c>
      <c r="O186" t="n">
        <v>1</v>
      </c>
      <c r="P186" t="n">
        <v>1</v>
      </c>
      <c r="Q186" t="n">
        <v>1</v>
      </c>
      <c r="R186" s="2" t="inlineStr">
        <is>
          <t>Hällebräcka</t>
        </is>
      </c>
      <c r="S186">
        <f>HYPERLINK("https://klasma.github.io/Logging_0188/artfynd/A 35451-2025 artfynd.xlsx", "A 35451-2025")</f>
        <v/>
      </c>
      <c r="T186">
        <f>HYPERLINK("https://klasma.github.io/Logging_0188/kartor/A 35451-2025 karta.png", "A 35451-2025")</f>
        <v/>
      </c>
      <c r="V186">
        <f>HYPERLINK("https://klasma.github.io/Logging_0188/klagomål/A 35451-2025 FSC-klagomål.docx", "A 35451-2025")</f>
        <v/>
      </c>
      <c r="W186">
        <f>HYPERLINK("https://klasma.github.io/Logging_0188/klagomålsmail/A 35451-2025 FSC-klagomål mail.docx", "A 35451-2025")</f>
        <v/>
      </c>
      <c r="X186">
        <f>HYPERLINK("https://klasma.github.io/Logging_0188/tillsyn/A 35451-2025 tillsynsbegäran.docx", "A 35451-2025")</f>
        <v/>
      </c>
      <c r="Y186">
        <f>HYPERLINK("https://klasma.github.io/Logging_0188/tillsynsmail/A 35451-2025 tillsynsbegäran mail.docx", "A 35451-2025")</f>
        <v/>
      </c>
    </row>
    <row r="187" ht="15" customHeight="1">
      <c r="A187" t="inlineStr">
        <is>
          <t>A 19355-2026</t>
        </is>
      </c>
      <c r="B187" s="1" t="n">
        <v>46133</v>
      </c>
      <c r="C187" s="1" t="n">
        <v>46192</v>
      </c>
      <c r="D187" t="inlineStr">
        <is>
          <t>STOCKHOLMS LÄN</t>
        </is>
      </c>
      <c r="E187" t="inlineStr">
        <is>
          <t>NORRTÄLJE</t>
        </is>
      </c>
      <c r="G187" t="n">
        <v>22.5</v>
      </c>
      <c r="H187" t="n">
        <v>0</v>
      </c>
      <c r="I187" t="n">
        <v>1</v>
      </c>
      <c r="J187" t="n">
        <v>0</v>
      </c>
      <c r="K187" t="n">
        <v>0</v>
      </c>
      <c r="L187" t="n">
        <v>0</v>
      </c>
      <c r="M187" t="n">
        <v>0</v>
      </c>
      <c r="N187" t="n">
        <v>0</v>
      </c>
      <c r="O187" t="n">
        <v>0</v>
      </c>
      <c r="P187" t="n">
        <v>0</v>
      </c>
      <c r="Q187" t="n">
        <v>1</v>
      </c>
      <c r="R187" s="2" t="inlineStr">
        <is>
          <t>Mönjevaxing</t>
        </is>
      </c>
      <c r="S187">
        <f>HYPERLINK("https://klasma.github.io/Logging_0188/artfynd/A 19355-2026 artfynd.xlsx", "A 19355-2026")</f>
        <v/>
      </c>
      <c r="T187">
        <f>HYPERLINK("https://klasma.github.io/Logging_0188/kartor/A 19355-2026 karta.png", "A 19355-2026")</f>
        <v/>
      </c>
      <c r="V187">
        <f>HYPERLINK("https://klasma.github.io/Logging_0188/klagomål/A 19355-2026 FSC-klagomål.docx", "A 19355-2026")</f>
        <v/>
      </c>
      <c r="W187">
        <f>HYPERLINK("https://klasma.github.io/Logging_0188/klagomålsmail/A 19355-2026 FSC-klagomål mail.docx", "A 19355-2026")</f>
        <v/>
      </c>
      <c r="X187">
        <f>HYPERLINK("https://klasma.github.io/Logging_0188/tillsyn/A 19355-2026 tillsynsbegäran.docx", "A 19355-2026")</f>
        <v/>
      </c>
      <c r="Y187">
        <f>HYPERLINK("https://klasma.github.io/Logging_0188/tillsynsmail/A 19355-2026 tillsynsbegäran mail.docx", "A 19355-2026")</f>
        <v/>
      </c>
    </row>
    <row r="188" ht="15" customHeight="1">
      <c r="A188" t="inlineStr">
        <is>
          <t>A 17843-2024</t>
        </is>
      </c>
      <c r="B188" s="1" t="n">
        <v>45418</v>
      </c>
      <c r="C188" s="1" t="n">
        <v>46192</v>
      </c>
      <c r="D188" t="inlineStr">
        <is>
          <t>STOCKHOLMS LÄN</t>
        </is>
      </c>
      <c r="E188" t="inlineStr">
        <is>
          <t>NORRTÄLJE</t>
        </is>
      </c>
      <c r="G188" t="n">
        <v>5.4</v>
      </c>
      <c r="H188" t="n">
        <v>0</v>
      </c>
      <c r="I188" t="n">
        <v>0</v>
      </c>
      <c r="J188" t="n">
        <v>1</v>
      </c>
      <c r="K188" t="n">
        <v>0</v>
      </c>
      <c r="L188" t="n">
        <v>0</v>
      </c>
      <c r="M188" t="n">
        <v>0</v>
      </c>
      <c r="N188" t="n">
        <v>0</v>
      </c>
      <c r="O188" t="n">
        <v>1</v>
      </c>
      <c r="P188" t="n">
        <v>0</v>
      </c>
      <c r="Q188" t="n">
        <v>1</v>
      </c>
      <c r="R188" s="2" t="inlineStr">
        <is>
          <t>Krisslesköldbagge</t>
        </is>
      </c>
      <c r="S188">
        <f>HYPERLINK("https://klasma.github.io/Logging_0188/artfynd/A 17843-2024 artfynd.xlsx", "A 17843-2024")</f>
        <v/>
      </c>
      <c r="T188">
        <f>HYPERLINK("https://klasma.github.io/Logging_0188/kartor/A 17843-2024 karta.png", "A 17843-2024")</f>
        <v/>
      </c>
      <c r="V188">
        <f>HYPERLINK("https://klasma.github.io/Logging_0188/klagomål/A 17843-2024 FSC-klagomål.docx", "A 17843-2024")</f>
        <v/>
      </c>
      <c r="W188">
        <f>HYPERLINK("https://klasma.github.io/Logging_0188/klagomålsmail/A 17843-2024 FSC-klagomål mail.docx", "A 17843-2024")</f>
        <v/>
      </c>
      <c r="X188">
        <f>HYPERLINK("https://klasma.github.io/Logging_0188/tillsyn/A 17843-2024 tillsynsbegäran.docx", "A 17843-2024")</f>
        <v/>
      </c>
      <c r="Y188">
        <f>HYPERLINK("https://klasma.github.io/Logging_0188/tillsynsmail/A 17843-2024 tillsynsbegäran mail.docx", "A 17843-2024")</f>
        <v/>
      </c>
    </row>
    <row r="189" ht="15" customHeight="1">
      <c r="A189" t="inlineStr">
        <is>
          <t>A 8371-2025</t>
        </is>
      </c>
      <c r="B189" s="1" t="n">
        <v>45708</v>
      </c>
      <c r="C189" s="1" t="n">
        <v>46192</v>
      </c>
      <c r="D189" t="inlineStr">
        <is>
          <t>STOCKHOLMS LÄN</t>
        </is>
      </c>
      <c r="E189" t="inlineStr">
        <is>
          <t>NORRTÄLJE</t>
        </is>
      </c>
      <c r="F189" t="inlineStr">
        <is>
          <t>Övriga Aktiebolag</t>
        </is>
      </c>
      <c r="G189" t="n">
        <v>2.9</v>
      </c>
      <c r="H189" t="n">
        <v>1</v>
      </c>
      <c r="I189" t="n">
        <v>0</v>
      </c>
      <c r="J189" t="n">
        <v>0</v>
      </c>
      <c r="K189" t="n">
        <v>0</v>
      </c>
      <c r="L189" t="n">
        <v>0</v>
      </c>
      <c r="M189" t="n">
        <v>0</v>
      </c>
      <c r="N189" t="n">
        <v>0</v>
      </c>
      <c r="O189" t="n">
        <v>0</v>
      </c>
      <c r="P189" t="n">
        <v>0</v>
      </c>
      <c r="Q189" t="n">
        <v>1</v>
      </c>
      <c r="R189" s="2" t="inlineStr">
        <is>
          <t>Spillkråka</t>
        </is>
      </c>
      <c r="S189">
        <f>HYPERLINK("https://klasma.github.io/Logging_0188/artfynd/A 8371-2025 artfynd.xlsx", "A 8371-2025")</f>
        <v/>
      </c>
      <c r="T189">
        <f>HYPERLINK("https://klasma.github.io/Logging_0188/kartor/A 8371-2025 karta.png", "A 8371-2025")</f>
        <v/>
      </c>
      <c r="V189">
        <f>HYPERLINK("https://klasma.github.io/Logging_0188/klagomål/A 8371-2025 FSC-klagomål.docx", "A 8371-2025")</f>
        <v/>
      </c>
      <c r="W189">
        <f>HYPERLINK("https://klasma.github.io/Logging_0188/klagomålsmail/A 8371-2025 FSC-klagomål mail.docx", "A 8371-2025")</f>
        <v/>
      </c>
      <c r="X189">
        <f>HYPERLINK("https://klasma.github.io/Logging_0188/tillsyn/A 8371-2025 tillsynsbegäran.docx", "A 8371-2025")</f>
        <v/>
      </c>
      <c r="Y189">
        <f>HYPERLINK("https://klasma.github.io/Logging_0188/tillsynsmail/A 8371-2025 tillsynsbegäran mail.docx", "A 8371-2025")</f>
        <v/>
      </c>
      <c r="Z189">
        <f>HYPERLINK("https://klasma.github.io/Logging_0188/fåglar/A 8371-2025 prioriterade fågelarter.docx", "A 8371-2025")</f>
        <v/>
      </c>
    </row>
    <row r="190" ht="15" customHeight="1">
      <c r="A190" t="inlineStr">
        <is>
          <t>A 25911-2026</t>
        </is>
      </c>
      <c r="B190" s="1" t="n">
        <v>46178</v>
      </c>
      <c r="C190" s="1" t="n">
        <v>46192</v>
      </c>
      <c r="D190" t="inlineStr">
        <is>
          <t>STOCKHOLMS LÄN</t>
        </is>
      </c>
      <c r="E190" t="inlineStr">
        <is>
          <t>NORRTÄLJE</t>
        </is>
      </c>
      <c r="G190" t="n">
        <v>11.3</v>
      </c>
      <c r="H190" t="n">
        <v>1</v>
      </c>
      <c r="I190" t="n">
        <v>0</v>
      </c>
      <c r="J190" t="n">
        <v>1</v>
      </c>
      <c r="K190" t="n">
        <v>0</v>
      </c>
      <c r="L190" t="n">
        <v>0</v>
      </c>
      <c r="M190" t="n">
        <v>0</v>
      </c>
      <c r="N190" t="n">
        <v>0</v>
      </c>
      <c r="O190" t="n">
        <v>1</v>
      </c>
      <c r="P190" t="n">
        <v>0</v>
      </c>
      <c r="Q190" t="n">
        <v>1</v>
      </c>
      <c r="R190" s="2" t="inlineStr">
        <is>
          <t>Talltita</t>
        </is>
      </c>
      <c r="S190">
        <f>HYPERLINK("https://klasma.github.io/Logging_0188/artfynd/A 25911-2026 artfynd.xlsx", "A 25911-2026")</f>
        <v/>
      </c>
      <c r="T190">
        <f>HYPERLINK("https://klasma.github.io/Logging_0188/kartor/A 25911-2026 karta.png", "A 25911-2026")</f>
        <v/>
      </c>
      <c r="V190">
        <f>HYPERLINK("https://klasma.github.io/Logging_0188/klagomål/A 25911-2026 FSC-klagomål.docx", "A 25911-2026")</f>
        <v/>
      </c>
      <c r="W190">
        <f>HYPERLINK("https://klasma.github.io/Logging_0188/klagomålsmail/A 25911-2026 FSC-klagomål mail.docx", "A 25911-2026")</f>
        <v/>
      </c>
      <c r="X190">
        <f>HYPERLINK("https://klasma.github.io/Logging_0188/tillsyn/A 25911-2026 tillsynsbegäran.docx", "A 25911-2026")</f>
        <v/>
      </c>
      <c r="Y190">
        <f>HYPERLINK("https://klasma.github.io/Logging_0188/tillsynsmail/A 25911-2026 tillsynsbegäran mail.docx", "A 25911-2026")</f>
        <v/>
      </c>
      <c r="Z190">
        <f>HYPERLINK("https://klasma.github.io/Logging_0188/fåglar/A 25911-2026 prioriterade fågelarter.docx", "A 25911-2026")</f>
        <v/>
      </c>
    </row>
    <row r="191" ht="15" customHeight="1">
      <c r="A191" t="inlineStr">
        <is>
          <t>A 7734-2026</t>
        </is>
      </c>
      <c r="B191" s="1" t="n">
        <v>46062</v>
      </c>
      <c r="C191" s="1" t="n">
        <v>46192</v>
      </c>
      <c r="D191" t="inlineStr">
        <is>
          <t>STOCKHOLMS LÄN</t>
        </is>
      </c>
      <c r="E191" t="inlineStr">
        <is>
          <t>NORRTÄLJE</t>
        </is>
      </c>
      <c r="G191" t="n">
        <v>6.6</v>
      </c>
      <c r="H191" t="n">
        <v>0</v>
      </c>
      <c r="I191" t="n">
        <v>1</v>
      </c>
      <c r="J191" t="n">
        <v>0</v>
      </c>
      <c r="K191" t="n">
        <v>0</v>
      </c>
      <c r="L191" t="n">
        <v>0</v>
      </c>
      <c r="M191" t="n">
        <v>0</v>
      </c>
      <c r="N191" t="n">
        <v>0</v>
      </c>
      <c r="O191" t="n">
        <v>0</v>
      </c>
      <c r="P191" t="n">
        <v>0</v>
      </c>
      <c r="Q191" t="n">
        <v>1</v>
      </c>
      <c r="R191" s="2" t="inlineStr">
        <is>
          <t>Kastanjefjällskivling</t>
        </is>
      </c>
      <c r="S191">
        <f>HYPERLINK("https://klasma.github.io/Logging_0188/artfynd/A 7734-2026 artfynd.xlsx", "A 7734-2026")</f>
        <v/>
      </c>
      <c r="T191">
        <f>HYPERLINK("https://klasma.github.io/Logging_0188/kartor/A 7734-2026 karta.png", "A 7734-2026")</f>
        <v/>
      </c>
      <c r="V191">
        <f>HYPERLINK("https://klasma.github.io/Logging_0188/klagomål/A 7734-2026 FSC-klagomål.docx", "A 7734-2026")</f>
        <v/>
      </c>
      <c r="W191">
        <f>HYPERLINK("https://klasma.github.io/Logging_0188/klagomålsmail/A 7734-2026 FSC-klagomål mail.docx", "A 7734-2026")</f>
        <v/>
      </c>
      <c r="X191">
        <f>HYPERLINK("https://klasma.github.io/Logging_0188/tillsyn/A 7734-2026 tillsynsbegäran.docx", "A 7734-2026")</f>
        <v/>
      </c>
      <c r="Y191">
        <f>HYPERLINK("https://klasma.github.io/Logging_0188/tillsynsmail/A 7734-2026 tillsynsbegäran mail.docx", "A 7734-2026")</f>
        <v/>
      </c>
    </row>
    <row r="192" ht="15" customHeight="1">
      <c r="A192" t="inlineStr">
        <is>
          <t>A 63292-2025</t>
        </is>
      </c>
      <c r="B192" s="1" t="n">
        <v>46010</v>
      </c>
      <c r="C192" s="1" t="n">
        <v>46192</v>
      </c>
      <c r="D192" t="inlineStr">
        <is>
          <t>STOCKHOLMS LÄN</t>
        </is>
      </c>
      <c r="E192" t="inlineStr">
        <is>
          <t>NORRTÄLJE</t>
        </is>
      </c>
      <c r="G192" t="n">
        <v>11.1</v>
      </c>
      <c r="H192" t="n">
        <v>1</v>
      </c>
      <c r="I192" t="n">
        <v>1</v>
      </c>
      <c r="J192" t="n">
        <v>0</v>
      </c>
      <c r="K192" t="n">
        <v>0</v>
      </c>
      <c r="L192" t="n">
        <v>0</v>
      </c>
      <c r="M192" t="n">
        <v>0</v>
      </c>
      <c r="N192" t="n">
        <v>0</v>
      </c>
      <c r="O192" t="n">
        <v>0</v>
      </c>
      <c r="P192" t="n">
        <v>0</v>
      </c>
      <c r="Q192" t="n">
        <v>1</v>
      </c>
      <c r="R192" s="2" t="inlineStr">
        <is>
          <t>Nästrot</t>
        </is>
      </c>
      <c r="S192">
        <f>HYPERLINK("https://klasma.github.io/Logging_0188/artfynd/A 63292-2025 artfynd.xlsx", "A 63292-2025")</f>
        <v/>
      </c>
      <c r="T192">
        <f>HYPERLINK("https://klasma.github.io/Logging_0188/kartor/A 63292-2025 karta.png", "A 63292-2025")</f>
        <v/>
      </c>
      <c r="V192">
        <f>HYPERLINK("https://klasma.github.io/Logging_0188/klagomål/A 63292-2025 FSC-klagomål.docx", "A 63292-2025")</f>
        <v/>
      </c>
      <c r="W192">
        <f>HYPERLINK("https://klasma.github.io/Logging_0188/klagomålsmail/A 63292-2025 FSC-klagomål mail.docx", "A 63292-2025")</f>
        <v/>
      </c>
      <c r="X192">
        <f>HYPERLINK("https://klasma.github.io/Logging_0188/tillsyn/A 63292-2025 tillsynsbegäran.docx", "A 63292-2025")</f>
        <v/>
      </c>
      <c r="Y192">
        <f>HYPERLINK("https://klasma.github.io/Logging_0188/tillsynsmail/A 63292-2025 tillsynsbegäran mail.docx", "A 63292-2025")</f>
        <v/>
      </c>
    </row>
    <row r="193" ht="15" customHeight="1">
      <c r="A193" t="inlineStr">
        <is>
          <t>A 25916-2026</t>
        </is>
      </c>
      <c r="B193" s="1" t="n">
        <v>46178</v>
      </c>
      <c r="C193" s="1" t="n">
        <v>46192</v>
      </c>
      <c r="D193" t="inlineStr">
        <is>
          <t>STOCKHOLMS LÄN</t>
        </is>
      </c>
      <c r="E193" t="inlineStr">
        <is>
          <t>NORRTÄLJE</t>
        </is>
      </c>
      <c r="G193" t="n">
        <v>9.5</v>
      </c>
      <c r="H193" t="n">
        <v>0</v>
      </c>
      <c r="I193" t="n">
        <v>0</v>
      </c>
      <c r="J193" t="n">
        <v>0</v>
      </c>
      <c r="K193" t="n">
        <v>0</v>
      </c>
      <c r="L193" t="n">
        <v>1</v>
      </c>
      <c r="M193" t="n">
        <v>0</v>
      </c>
      <c r="N193" t="n">
        <v>0</v>
      </c>
      <c r="O193" t="n">
        <v>1</v>
      </c>
      <c r="P193" t="n">
        <v>1</v>
      </c>
      <c r="Q193" t="n">
        <v>1</v>
      </c>
      <c r="R193" s="2" t="inlineStr">
        <is>
          <t>Violgubbe</t>
        </is>
      </c>
      <c r="S193">
        <f>HYPERLINK("https://klasma.github.io/Logging_0188/artfynd/A 25916-2026 artfynd.xlsx", "A 25916-2026")</f>
        <v/>
      </c>
      <c r="T193">
        <f>HYPERLINK("https://klasma.github.io/Logging_0188/kartor/A 25916-2026 karta.png", "A 25916-2026")</f>
        <v/>
      </c>
      <c r="V193">
        <f>HYPERLINK("https://klasma.github.io/Logging_0188/klagomål/A 25916-2026 FSC-klagomål.docx", "A 25916-2026")</f>
        <v/>
      </c>
      <c r="W193">
        <f>HYPERLINK("https://klasma.github.io/Logging_0188/klagomålsmail/A 25916-2026 FSC-klagomål mail.docx", "A 25916-2026")</f>
        <v/>
      </c>
      <c r="X193">
        <f>HYPERLINK("https://klasma.github.io/Logging_0188/tillsyn/A 25916-2026 tillsynsbegäran.docx", "A 25916-2026")</f>
        <v/>
      </c>
      <c r="Y193">
        <f>HYPERLINK("https://klasma.github.io/Logging_0188/tillsynsmail/A 25916-2026 tillsynsbegäran mail.docx", "A 25916-2026")</f>
        <v/>
      </c>
    </row>
    <row r="194" ht="15" customHeight="1">
      <c r="A194" t="inlineStr">
        <is>
          <t>A 32111-2022</t>
        </is>
      </c>
      <c r="B194" s="1" t="n">
        <v>44778</v>
      </c>
      <c r="C194" s="1" t="n">
        <v>46192</v>
      </c>
      <c r="D194" t="inlineStr">
        <is>
          <t>STOCKHOLMS LÄN</t>
        </is>
      </c>
      <c r="E194" t="inlineStr">
        <is>
          <t>NORRTÄLJE</t>
        </is>
      </c>
      <c r="G194" t="n">
        <v>3.1</v>
      </c>
      <c r="H194" t="n">
        <v>0</v>
      </c>
      <c r="I194" t="n">
        <v>0</v>
      </c>
      <c r="J194" t="n">
        <v>1</v>
      </c>
      <c r="K194" t="n">
        <v>0</v>
      </c>
      <c r="L194" t="n">
        <v>0</v>
      </c>
      <c r="M194" t="n">
        <v>0</v>
      </c>
      <c r="N194" t="n">
        <v>0</v>
      </c>
      <c r="O194" t="n">
        <v>1</v>
      </c>
      <c r="P194" t="n">
        <v>0</v>
      </c>
      <c r="Q194" t="n">
        <v>1</v>
      </c>
      <c r="R194" s="2" t="inlineStr">
        <is>
          <t>Orange taggsvamp</t>
        </is>
      </c>
      <c r="S194">
        <f>HYPERLINK("https://klasma.github.io/Logging_0188/artfynd/A 32111-2022 artfynd.xlsx", "A 32111-2022")</f>
        <v/>
      </c>
      <c r="T194">
        <f>HYPERLINK("https://klasma.github.io/Logging_0188/kartor/A 32111-2022 karta.png", "A 32111-2022")</f>
        <v/>
      </c>
      <c r="V194">
        <f>HYPERLINK("https://klasma.github.io/Logging_0188/klagomål/A 32111-2022 FSC-klagomål.docx", "A 32111-2022")</f>
        <v/>
      </c>
      <c r="W194">
        <f>HYPERLINK("https://klasma.github.io/Logging_0188/klagomålsmail/A 32111-2022 FSC-klagomål mail.docx", "A 32111-2022")</f>
        <v/>
      </c>
      <c r="X194">
        <f>HYPERLINK("https://klasma.github.io/Logging_0188/tillsyn/A 32111-2022 tillsynsbegäran.docx", "A 32111-2022")</f>
        <v/>
      </c>
      <c r="Y194">
        <f>HYPERLINK("https://klasma.github.io/Logging_0188/tillsynsmail/A 32111-2022 tillsynsbegäran mail.docx", "A 32111-2022")</f>
        <v/>
      </c>
    </row>
    <row r="195" ht="15" customHeight="1">
      <c r="A195" t="inlineStr">
        <is>
          <t>A 35161-2022</t>
        </is>
      </c>
      <c r="B195" s="1" t="n">
        <v>44797</v>
      </c>
      <c r="C195" s="1" t="n">
        <v>46192</v>
      </c>
      <c r="D195" t="inlineStr">
        <is>
          <t>STOCKHOLMS LÄN</t>
        </is>
      </c>
      <c r="E195" t="inlineStr">
        <is>
          <t>NORRTÄLJE</t>
        </is>
      </c>
      <c r="G195" t="n">
        <v>6</v>
      </c>
      <c r="H195" t="n">
        <v>1</v>
      </c>
      <c r="I195" t="n">
        <v>1</v>
      </c>
      <c r="J195" t="n">
        <v>0</v>
      </c>
      <c r="K195" t="n">
        <v>0</v>
      </c>
      <c r="L195" t="n">
        <v>0</v>
      </c>
      <c r="M195" t="n">
        <v>0</v>
      </c>
      <c r="N195" t="n">
        <v>0</v>
      </c>
      <c r="O195" t="n">
        <v>0</v>
      </c>
      <c r="P195" t="n">
        <v>0</v>
      </c>
      <c r="Q195" t="n">
        <v>1</v>
      </c>
      <c r="R195" s="2" t="inlineStr">
        <is>
          <t>Skogsknipprot</t>
        </is>
      </c>
      <c r="S195">
        <f>HYPERLINK("https://klasma.github.io/Logging_0188/artfynd/A 35161-2022 artfynd.xlsx", "A 35161-2022")</f>
        <v/>
      </c>
      <c r="T195">
        <f>HYPERLINK("https://klasma.github.io/Logging_0188/kartor/A 35161-2022 karta.png", "A 35161-2022")</f>
        <v/>
      </c>
      <c r="V195">
        <f>HYPERLINK("https://klasma.github.io/Logging_0188/klagomål/A 35161-2022 FSC-klagomål.docx", "A 35161-2022")</f>
        <v/>
      </c>
      <c r="W195">
        <f>HYPERLINK("https://klasma.github.io/Logging_0188/klagomålsmail/A 35161-2022 FSC-klagomål mail.docx", "A 35161-2022")</f>
        <v/>
      </c>
      <c r="X195">
        <f>HYPERLINK("https://klasma.github.io/Logging_0188/tillsyn/A 35161-2022 tillsynsbegäran.docx", "A 35161-2022")</f>
        <v/>
      </c>
      <c r="Y195">
        <f>HYPERLINK("https://klasma.github.io/Logging_0188/tillsynsmail/A 35161-2022 tillsynsbegäran mail.docx", "A 35161-2022")</f>
        <v/>
      </c>
    </row>
    <row r="196" ht="15" customHeight="1">
      <c r="A196" t="inlineStr">
        <is>
          <t>A 4385-2023</t>
        </is>
      </c>
      <c r="B196" s="1" t="n">
        <v>44955</v>
      </c>
      <c r="C196" s="1" t="n">
        <v>46192</v>
      </c>
      <c r="D196" t="inlineStr">
        <is>
          <t>STOCKHOLMS LÄN</t>
        </is>
      </c>
      <c r="E196" t="inlineStr">
        <is>
          <t>NORRTÄLJE</t>
        </is>
      </c>
      <c r="G196" t="n">
        <v>7.8</v>
      </c>
      <c r="H196" t="n">
        <v>1</v>
      </c>
      <c r="I196" t="n">
        <v>1</v>
      </c>
      <c r="J196" t="n">
        <v>0</v>
      </c>
      <c r="K196" t="n">
        <v>0</v>
      </c>
      <c r="L196" t="n">
        <v>0</v>
      </c>
      <c r="M196" t="n">
        <v>0</v>
      </c>
      <c r="N196" t="n">
        <v>0</v>
      </c>
      <c r="O196" t="n">
        <v>0</v>
      </c>
      <c r="P196" t="n">
        <v>0</v>
      </c>
      <c r="Q196" t="n">
        <v>1</v>
      </c>
      <c r="R196" s="2" t="inlineStr">
        <is>
          <t>Skogsknipprot</t>
        </is>
      </c>
      <c r="S196">
        <f>HYPERLINK("https://klasma.github.io/Logging_0188/artfynd/A 4385-2023 artfynd.xlsx", "A 4385-2023")</f>
        <v/>
      </c>
      <c r="T196">
        <f>HYPERLINK("https://klasma.github.io/Logging_0188/kartor/A 4385-2023 karta.png", "A 4385-2023")</f>
        <v/>
      </c>
      <c r="V196">
        <f>HYPERLINK("https://klasma.github.io/Logging_0188/klagomål/A 4385-2023 FSC-klagomål.docx", "A 4385-2023")</f>
        <v/>
      </c>
      <c r="W196">
        <f>HYPERLINK("https://klasma.github.io/Logging_0188/klagomålsmail/A 4385-2023 FSC-klagomål mail.docx", "A 4385-2023")</f>
        <v/>
      </c>
      <c r="X196">
        <f>HYPERLINK("https://klasma.github.io/Logging_0188/tillsyn/A 4385-2023 tillsynsbegäran.docx", "A 4385-2023")</f>
        <v/>
      </c>
      <c r="Y196">
        <f>HYPERLINK("https://klasma.github.io/Logging_0188/tillsynsmail/A 4385-2023 tillsynsbegäran mail.docx", "A 4385-2023")</f>
        <v/>
      </c>
    </row>
    <row r="197" ht="15" customHeight="1">
      <c r="A197" t="inlineStr">
        <is>
          <t>A 25917-2026</t>
        </is>
      </c>
      <c r="B197" s="1" t="n">
        <v>46178</v>
      </c>
      <c r="C197" s="1" t="n">
        <v>46192</v>
      </c>
      <c r="D197" t="inlineStr">
        <is>
          <t>STOCKHOLMS LÄN</t>
        </is>
      </c>
      <c r="E197" t="inlineStr">
        <is>
          <t>NORRTÄLJE</t>
        </is>
      </c>
      <c r="G197" t="n">
        <v>4</v>
      </c>
      <c r="H197" t="n">
        <v>1</v>
      </c>
      <c r="I197" t="n">
        <v>0</v>
      </c>
      <c r="J197" t="n">
        <v>1</v>
      </c>
      <c r="K197" t="n">
        <v>0</v>
      </c>
      <c r="L197" t="n">
        <v>0</v>
      </c>
      <c r="M197" t="n">
        <v>0</v>
      </c>
      <c r="N197" t="n">
        <v>0</v>
      </c>
      <c r="O197" t="n">
        <v>1</v>
      </c>
      <c r="P197" t="n">
        <v>0</v>
      </c>
      <c r="Q197" t="n">
        <v>1</v>
      </c>
      <c r="R197" s="2" t="inlineStr">
        <is>
          <t>Duvhök</t>
        </is>
      </c>
      <c r="S197">
        <f>HYPERLINK("https://klasma.github.io/Logging_0188/artfynd/A 25917-2026 artfynd.xlsx", "A 25917-2026")</f>
        <v/>
      </c>
      <c r="T197">
        <f>HYPERLINK("https://klasma.github.io/Logging_0188/kartor/A 25917-2026 karta.png", "A 25917-2026")</f>
        <v/>
      </c>
      <c r="V197">
        <f>HYPERLINK("https://klasma.github.io/Logging_0188/klagomål/A 25917-2026 FSC-klagomål.docx", "A 25917-2026")</f>
        <v/>
      </c>
      <c r="W197">
        <f>HYPERLINK("https://klasma.github.io/Logging_0188/klagomålsmail/A 25917-2026 FSC-klagomål mail.docx", "A 25917-2026")</f>
        <v/>
      </c>
      <c r="X197">
        <f>HYPERLINK("https://klasma.github.io/Logging_0188/tillsyn/A 25917-2026 tillsynsbegäran.docx", "A 25917-2026")</f>
        <v/>
      </c>
      <c r="Y197">
        <f>HYPERLINK("https://klasma.github.io/Logging_0188/tillsynsmail/A 25917-2026 tillsynsbegäran mail.docx", "A 25917-2026")</f>
        <v/>
      </c>
      <c r="Z197">
        <f>HYPERLINK("https://klasma.github.io/Logging_0188/fåglar/A 25917-2026 prioriterade fågelarter.docx", "A 25917-2026")</f>
        <v/>
      </c>
    </row>
    <row r="198" ht="15" customHeight="1">
      <c r="A198" t="inlineStr">
        <is>
          <t>A 4860-2022</t>
        </is>
      </c>
      <c r="B198" s="1" t="n">
        <v>44592</v>
      </c>
      <c r="C198" s="1" t="n">
        <v>46192</v>
      </c>
      <c r="D198" t="inlineStr">
        <is>
          <t>STOCKHOLMS LÄN</t>
        </is>
      </c>
      <c r="E198" t="inlineStr">
        <is>
          <t>NORRTÄLJE</t>
        </is>
      </c>
      <c r="G198" t="n">
        <v>22.3</v>
      </c>
      <c r="H198" t="n">
        <v>0</v>
      </c>
      <c r="I198" t="n">
        <v>0</v>
      </c>
      <c r="J198" t="n">
        <v>0</v>
      </c>
      <c r="K198" t="n">
        <v>1</v>
      </c>
      <c r="L198" t="n">
        <v>0</v>
      </c>
      <c r="M198" t="n">
        <v>0</v>
      </c>
      <c r="N198" t="n">
        <v>0</v>
      </c>
      <c r="O198" t="n">
        <v>1</v>
      </c>
      <c r="P198" t="n">
        <v>1</v>
      </c>
      <c r="Q198" t="n">
        <v>1</v>
      </c>
      <c r="R198" s="2" t="inlineStr">
        <is>
          <t>Igelkott</t>
        </is>
      </c>
      <c r="S198">
        <f>HYPERLINK("https://klasma.github.io/Logging_0188/artfynd/A 4860-2022 artfynd.xlsx", "A 4860-2022")</f>
        <v/>
      </c>
      <c r="T198">
        <f>HYPERLINK("https://klasma.github.io/Logging_0188/kartor/A 4860-2022 karta.png", "A 4860-2022")</f>
        <v/>
      </c>
      <c r="V198">
        <f>HYPERLINK("https://klasma.github.io/Logging_0188/klagomål/A 4860-2022 FSC-klagomål.docx", "A 4860-2022")</f>
        <v/>
      </c>
      <c r="W198">
        <f>HYPERLINK("https://klasma.github.io/Logging_0188/klagomålsmail/A 4860-2022 FSC-klagomål mail.docx", "A 4860-2022")</f>
        <v/>
      </c>
      <c r="X198">
        <f>HYPERLINK("https://klasma.github.io/Logging_0188/tillsyn/A 4860-2022 tillsynsbegäran.docx", "A 4860-2022")</f>
        <v/>
      </c>
      <c r="Y198">
        <f>HYPERLINK("https://klasma.github.io/Logging_0188/tillsynsmail/A 4860-2022 tillsynsbegäran mail.docx", "A 4860-2022")</f>
        <v/>
      </c>
    </row>
    <row r="199" ht="15" customHeight="1">
      <c r="A199" t="inlineStr">
        <is>
          <t>A 38612-2022</t>
        </is>
      </c>
      <c r="B199" s="1" t="n">
        <v>44813</v>
      </c>
      <c r="C199" s="1" t="n">
        <v>46192</v>
      </c>
      <c r="D199" t="inlineStr">
        <is>
          <t>STOCKHOLMS LÄN</t>
        </is>
      </c>
      <c r="E199" t="inlineStr">
        <is>
          <t>NORRTÄLJE</t>
        </is>
      </c>
      <c r="G199" t="n">
        <v>1.7</v>
      </c>
      <c r="H199" t="n">
        <v>1</v>
      </c>
      <c r="I199" t="n">
        <v>0</v>
      </c>
      <c r="J199" t="n">
        <v>0</v>
      </c>
      <c r="K199" t="n">
        <v>1</v>
      </c>
      <c r="L199" t="n">
        <v>0</v>
      </c>
      <c r="M199" t="n">
        <v>0</v>
      </c>
      <c r="N199" t="n">
        <v>0</v>
      </c>
      <c r="O199" t="n">
        <v>1</v>
      </c>
      <c r="P199" t="n">
        <v>1</v>
      </c>
      <c r="Q199" t="n">
        <v>1</v>
      </c>
      <c r="R199" s="2" t="inlineStr">
        <is>
          <t>Hällebräcka</t>
        </is>
      </c>
      <c r="S199">
        <f>HYPERLINK("https://klasma.github.io/Logging_0188/artfynd/A 38612-2022 artfynd.xlsx", "A 38612-2022")</f>
        <v/>
      </c>
      <c r="T199">
        <f>HYPERLINK("https://klasma.github.io/Logging_0188/kartor/A 38612-2022 karta.png", "A 38612-2022")</f>
        <v/>
      </c>
      <c r="V199">
        <f>HYPERLINK("https://klasma.github.io/Logging_0188/klagomål/A 38612-2022 FSC-klagomål.docx", "A 38612-2022")</f>
        <v/>
      </c>
      <c r="W199">
        <f>HYPERLINK("https://klasma.github.io/Logging_0188/klagomålsmail/A 38612-2022 FSC-klagomål mail.docx", "A 38612-2022")</f>
        <v/>
      </c>
      <c r="X199">
        <f>HYPERLINK("https://klasma.github.io/Logging_0188/tillsyn/A 38612-2022 tillsynsbegäran.docx", "A 38612-2022")</f>
        <v/>
      </c>
      <c r="Y199">
        <f>HYPERLINK("https://klasma.github.io/Logging_0188/tillsynsmail/A 38612-2022 tillsynsbegäran mail.docx", "A 38612-2022")</f>
        <v/>
      </c>
    </row>
    <row r="200" ht="15" customHeight="1">
      <c r="A200" t="inlineStr">
        <is>
          <t>A 26415-2026</t>
        </is>
      </c>
      <c r="B200" s="1" t="n">
        <v>46183</v>
      </c>
      <c r="C200" s="1" t="n">
        <v>46192</v>
      </c>
      <c r="D200" t="inlineStr">
        <is>
          <t>STOCKHOLMS LÄN</t>
        </is>
      </c>
      <c r="E200" t="inlineStr">
        <is>
          <t>NORRTÄLJE</t>
        </is>
      </c>
      <c r="G200" t="n">
        <v>2.3</v>
      </c>
      <c r="H200" t="n">
        <v>1</v>
      </c>
      <c r="I200" t="n">
        <v>1</v>
      </c>
      <c r="J200" t="n">
        <v>0</v>
      </c>
      <c r="K200" t="n">
        <v>0</v>
      </c>
      <c r="L200" t="n">
        <v>0</v>
      </c>
      <c r="M200" t="n">
        <v>0</v>
      </c>
      <c r="N200" t="n">
        <v>0</v>
      </c>
      <c r="O200" t="n">
        <v>0</v>
      </c>
      <c r="P200" t="n">
        <v>0</v>
      </c>
      <c r="Q200" t="n">
        <v>1</v>
      </c>
      <c r="R200" s="2" t="inlineStr">
        <is>
          <t>Korallrot</t>
        </is>
      </c>
      <c r="S200">
        <f>HYPERLINK("https://klasma.github.io/Logging_0188/artfynd/A 26415-2026 artfynd.xlsx", "A 26415-2026")</f>
        <v/>
      </c>
      <c r="T200">
        <f>HYPERLINK("https://klasma.github.io/Logging_0188/kartor/A 26415-2026 karta.png", "A 26415-2026")</f>
        <v/>
      </c>
      <c r="V200">
        <f>HYPERLINK("https://klasma.github.io/Logging_0188/klagomål/A 26415-2026 FSC-klagomål.docx", "A 26415-2026")</f>
        <v/>
      </c>
      <c r="W200">
        <f>HYPERLINK("https://klasma.github.io/Logging_0188/klagomålsmail/A 26415-2026 FSC-klagomål mail.docx", "A 26415-2026")</f>
        <v/>
      </c>
      <c r="X200">
        <f>HYPERLINK("https://klasma.github.io/Logging_0188/tillsyn/A 26415-2026 tillsynsbegäran.docx", "A 26415-2026")</f>
        <v/>
      </c>
      <c r="Y200">
        <f>HYPERLINK("https://klasma.github.io/Logging_0188/tillsynsmail/A 26415-2026 tillsynsbegäran mail.docx", "A 26415-2026")</f>
        <v/>
      </c>
    </row>
    <row r="201" ht="15" customHeight="1">
      <c r="A201" t="inlineStr">
        <is>
          <t>A 37273-2024</t>
        </is>
      </c>
      <c r="B201" s="1" t="n">
        <v>45540</v>
      </c>
      <c r="C201" s="1" t="n">
        <v>46192</v>
      </c>
      <c r="D201" t="inlineStr">
        <is>
          <t>STOCKHOLMS LÄN</t>
        </is>
      </c>
      <c r="E201" t="inlineStr">
        <is>
          <t>NORRTÄLJE</t>
        </is>
      </c>
      <c r="F201" t="inlineStr">
        <is>
          <t>Sveaskog</t>
        </is>
      </c>
      <c r="G201" t="n">
        <v>12.5</v>
      </c>
      <c r="H201" t="n">
        <v>0</v>
      </c>
      <c r="I201" t="n">
        <v>1</v>
      </c>
      <c r="J201" t="n">
        <v>0</v>
      </c>
      <c r="K201" t="n">
        <v>0</v>
      </c>
      <c r="L201" t="n">
        <v>0</v>
      </c>
      <c r="M201" t="n">
        <v>0</v>
      </c>
      <c r="N201" t="n">
        <v>0</v>
      </c>
      <c r="O201" t="n">
        <v>0</v>
      </c>
      <c r="P201" t="n">
        <v>0</v>
      </c>
      <c r="Q201" t="n">
        <v>1</v>
      </c>
      <c r="R201" s="2" t="inlineStr">
        <is>
          <t>Trådticka</t>
        </is>
      </c>
      <c r="S201">
        <f>HYPERLINK("https://klasma.github.io/Logging_0188/artfynd/A 37273-2024 artfynd.xlsx", "A 37273-2024")</f>
        <v/>
      </c>
      <c r="T201">
        <f>HYPERLINK("https://klasma.github.io/Logging_0188/kartor/A 37273-2024 karta.png", "A 37273-2024")</f>
        <v/>
      </c>
      <c r="V201">
        <f>HYPERLINK("https://klasma.github.io/Logging_0188/klagomål/A 37273-2024 FSC-klagomål.docx", "A 37273-2024")</f>
        <v/>
      </c>
      <c r="W201">
        <f>HYPERLINK("https://klasma.github.io/Logging_0188/klagomålsmail/A 37273-2024 FSC-klagomål mail.docx", "A 37273-2024")</f>
        <v/>
      </c>
      <c r="X201">
        <f>HYPERLINK("https://klasma.github.io/Logging_0188/tillsyn/A 37273-2024 tillsynsbegäran.docx", "A 37273-2024")</f>
        <v/>
      </c>
      <c r="Y201">
        <f>HYPERLINK("https://klasma.github.io/Logging_0188/tillsynsmail/A 37273-2024 tillsynsbegäran mail.docx", "A 37273-2024")</f>
        <v/>
      </c>
    </row>
    <row r="202" ht="15" customHeight="1">
      <c r="A202" t="inlineStr">
        <is>
          <t>A 71543-2021</t>
        </is>
      </c>
      <c r="B202" s="1" t="n">
        <v>44540</v>
      </c>
      <c r="C202" s="1" t="n">
        <v>46192</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14036-2022</t>
        </is>
      </c>
      <c r="B203" s="1" t="n">
        <v>44650</v>
      </c>
      <c r="C203" s="1" t="n">
        <v>46192</v>
      </c>
      <c r="D203" t="inlineStr">
        <is>
          <t>STOCKHOLMS LÄN</t>
        </is>
      </c>
      <c r="E203" t="inlineStr">
        <is>
          <t>NORRTÄLJE</t>
        </is>
      </c>
      <c r="G203" t="n">
        <v>1.1</v>
      </c>
      <c r="H203" t="n">
        <v>0</v>
      </c>
      <c r="I203" t="n">
        <v>0</v>
      </c>
      <c r="J203" t="n">
        <v>0</v>
      </c>
      <c r="K203" t="n">
        <v>0</v>
      </c>
      <c r="L203" t="n">
        <v>0</v>
      </c>
      <c r="M203" t="n">
        <v>0</v>
      </c>
      <c r="N203" t="n">
        <v>0</v>
      </c>
      <c r="O203" t="n">
        <v>0</v>
      </c>
      <c r="P203" t="n">
        <v>0</v>
      </c>
      <c r="Q203" t="n">
        <v>0</v>
      </c>
      <c r="R203" s="2" t="inlineStr"/>
    </row>
    <row r="204" ht="15" customHeight="1">
      <c r="A204" t="inlineStr">
        <is>
          <t>A 47344-2021</t>
        </is>
      </c>
      <c r="B204" s="1" t="n">
        <v>44447</v>
      </c>
      <c r="C204" s="1" t="n">
        <v>46192</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12877-2022</t>
        </is>
      </c>
      <c r="B205" s="1" t="n">
        <v>44642</v>
      </c>
      <c r="C205" s="1" t="n">
        <v>46192</v>
      </c>
      <c r="D205" t="inlineStr">
        <is>
          <t>STOCKHOLMS LÄN</t>
        </is>
      </c>
      <c r="E205" t="inlineStr">
        <is>
          <t>NORRTÄLJE</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46192</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24977-2022</t>
        </is>
      </c>
      <c r="B207" s="1" t="n">
        <v>44728</v>
      </c>
      <c r="C207" s="1" t="n">
        <v>46192</v>
      </c>
      <c r="D207" t="inlineStr">
        <is>
          <t>STOCKHOLMS LÄN</t>
        </is>
      </c>
      <c r="E207" t="inlineStr">
        <is>
          <t>NORRTÄLJE</t>
        </is>
      </c>
      <c r="F207" t="inlineStr">
        <is>
          <t>Kyrkan</t>
        </is>
      </c>
      <c r="G207" t="n">
        <v>1</v>
      </c>
      <c r="H207" t="n">
        <v>0</v>
      </c>
      <c r="I207" t="n">
        <v>0</v>
      </c>
      <c r="J207" t="n">
        <v>0</v>
      </c>
      <c r="K207" t="n">
        <v>0</v>
      </c>
      <c r="L207" t="n">
        <v>0</v>
      </c>
      <c r="M207" t="n">
        <v>0</v>
      </c>
      <c r="N207" t="n">
        <v>0</v>
      </c>
      <c r="O207" t="n">
        <v>0</v>
      </c>
      <c r="P207" t="n">
        <v>0</v>
      </c>
      <c r="Q207" t="n">
        <v>0</v>
      </c>
      <c r="R207" s="2" t="inlineStr"/>
    </row>
    <row r="208" ht="15" customHeight="1">
      <c r="A208" t="inlineStr">
        <is>
          <t>A 31934-2022</t>
        </is>
      </c>
      <c r="B208" s="1" t="n">
        <v>44777</v>
      </c>
      <c r="C208" s="1" t="n">
        <v>46192</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37815-2022</t>
        </is>
      </c>
      <c r="B209" s="1" t="n">
        <v>44810</v>
      </c>
      <c r="C209" s="1" t="n">
        <v>46192</v>
      </c>
      <c r="D209" t="inlineStr">
        <is>
          <t>STOCKHOLMS LÄN</t>
        </is>
      </c>
      <c r="E209" t="inlineStr">
        <is>
          <t>NORRTÄLJE</t>
        </is>
      </c>
      <c r="G209" t="n">
        <v>1.3</v>
      </c>
      <c r="H209" t="n">
        <v>0</v>
      </c>
      <c r="I209" t="n">
        <v>0</v>
      </c>
      <c r="J209" t="n">
        <v>0</v>
      </c>
      <c r="K209" t="n">
        <v>0</v>
      </c>
      <c r="L209" t="n">
        <v>0</v>
      </c>
      <c r="M209" t="n">
        <v>0</v>
      </c>
      <c r="N209" t="n">
        <v>0</v>
      </c>
      <c r="O209" t="n">
        <v>0</v>
      </c>
      <c r="P209" t="n">
        <v>0</v>
      </c>
      <c r="Q209" t="n">
        <v>0</v>
      </c>
      <c r="R209" s="2" t="inlineStr"/>
    </row>
    <row r="210" ht="15" customHeight="1">
      <c r="A210" t="inlineStr">
        <is>
          <t>A 73855-2021</t>
        </is>
      </c>
      <c r="B210" s="1" t="n">
        <v>44552</v>
      </c>
      <c r="C210" s="1" t="n">
        <v>46192</v>
      </c>
      <c r="D210" t="inlineStr">
        <is>
          <t>STOCKHOLMS LÄN</t>
        </is>
      </c>
      <c r="E210" t="inlineStr">
        <is>
          <t>NORRTÄLJE</t>
        </is>
      </c>
      <c r="F210" t="inlineStr">
        <is>
          <t>Övriga Aktiebolag</t>
        </is>
      </c>
      <c r="G210" t="n">
        <v>4</v>
      </c>
      <c r="H210" t="n">
        <v>0</v>
      </c>
      <c r="I210" t="n">
        <v>0</v>
      </c>
      <c r="J210" t="n">
        <v>0</v>
      </c>
      <c r="K210" t="n">
        <v>0</v>
      </c>
      <c r="L210" t="n">
        <v>0</v>
      </c>
      <c r="M210" t="n">
        <v>0</v>
      </c>
      <c r="N210" t="n">
        <v>0</v>
      </c>
      <c r="O210" t="n">
        <v>0</v>
      </c>
      <c r="P210" t="n">
        <v>0</v>
      </c>
      <c r="Q210" t="n">
        <v>0</v>
      </c>
      <c r="R210" s="2" t="inlineStr"/>
    </row>
    <row r="211" ht="15" customHeight="1">
      <c r="A211" t="inlineStr">
        <is>
          <t>A 11821-2022</t>
        </is>
      </c>
      <c r="B211" s="1" t="n">
        <v>44634</v>
      </c>
      <c r="C211" s="1" t="n">
        <v>46192</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2977-2022</t>
        </is>
      </c>
      <c r="B212" s="1" t="n">
        <v>44581</v>
      </c>
      <c r="C212" s="1" t="n">
        <v>46192</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74468-2021</t>
        </is>
      </c>
      <c r="B213" s="1" t="n">
        <v>44560</v>
      </c>
      <c r="C213" s="1" t="n">
        <v>46192</v>
      </c>
      <c r="D213" t="inlineStr">
        <is>
          <t>STOCKHOLMS LÄN</t>
        </is>
      </c>
      <c r="E213" t="inlineStr">
        <is>
          <t>NORRTÄLJE</t>
        </is>
      </c>
      <c r="G213" t="n">
        <v>0.5</v>
      </c>
      <c r="H213" t="n">
        <v>0</v>
      </c>
      <c r="I213" t="n">
        <v>0</v>
      </c>
      <c r="J213" t="n">
        <v>0</v>
      </c>
      <c r="K213" t="n">
        <v>0</v>
      </c>
      <c r="L213" t="n">
        <v>0</v>
      </c>
      <c r="M213" t="n">
        <v>0</v>
      </c>
      <c r="N213" t="n">
        <v>0</v>
      </c>
      <c r="O213" t="n">
        <v>0</v>
      </c>
      <c r="P213" t="n">
        <v>0</v>
      </c>
      <c r="Q213" t="n">
        <v>0</v>
      </c>
      <c r="R213" s="2" t="inlineStr"/>
    </row>
    <row r="214" ht="15" customHeight="1">
      <c r="A214" t="inlineStr">
        <is>
          <t>A 31283-2022</t>
        </is>
      </c>
      <c r="B214" s="1" t="n">
        <v>44771</v>
      </c>
      <c r="C214" s="1" t="n">
        <v>46192</v>
      </c>
      <c r="D214" t="inlineStr">
        <is>
          <t>STOCKHOLMS LÄN</t>
        </is>
      </c>
      <c r="E214" t="inlineStr">
        <is>
          <t>NORRTÄLJE</t>
        </is>
      </c>
      <c r="G214" t="n">
        <v>0.5</v>
      </c>
      <c r="H214" t="n">
        <v>0</v>
      </c>
      <c r="I214" t="n">
        <v>0</v>
      </c>
      <c r="J214" t="n">
        <v>0</v>
      </c>
      <c r="K214" t="n">
        <v>0</v>
      </c>
      <c r="L214" t="n">
        <v>0</v>
      </c>
      <c r="M214" t="n">
        <v>0</v>
      </c>
      <c r="N214" t="n">
        <v>0</v>
      </c>
      <c r="O214" t="n">
        <v>0</v>
      </c>
      <c r="P214" t="n">
        <v>0</v>
      </c>
      <c r="Q214" t="n">
        <v>0</v>
      </c>
      <c r="R214" s="2" t="inlineStr"/>
    </row>
    <row r="215" ht="15" customHeight="1">
      <c r="A215" t="inlineStr">
        <is>
          <t>A 40542-2021</t>
        </is>
      </c>
      <c r="B215" s="1" t="n">
        <v>44420</v>
      </c>
      <c r="C215" s="1" t="n">
        <v>46192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40546-2021</t>
        </is>
      </c>
      <c r="B216" s="1" t="n">
        <v>44420</v>
      </c>
      <c r="C216" s="1" t="n">
        <v>46192</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56225-2021</t>
        </is>
      </c>
      <c r="B217" s="1" t="n">
        <v>44477</v>
      </c>
      <c r="C217" s="1" t="n">
        <v>46192</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46192</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46192</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1704-2022</t>
        </is>
      </c>
      <c r="B220" s="1" t="n">
        <v>44574</v>
      </c>
      <c r="C220" s="1" t="n">
        <v>46192</v>
      </c>
      <c r="D220" t="inlineStr">
        <is>
          <t>STOCKHOLMS LÄN</t>
        </is>
      </c>
      <c r="E220" t="inlineStr">
        <is>
          <t>NORRTÄLJE</t>
        </is>
      </c>
      <c r="G220" t="n">
        <v>6.2</v>
      </c>
      <c r="H220" t="n">
        <v>0</v>
      </c>
      <c r="I220" t="n">
        <v>0</v>
      </c>
      <c r="J220" t="n">
        <v>0</v>
      </c>
      <c r="K220" t="n">
        <v>0</v>
      </c>
      <c r="L220" t="n">
        <v>0</v>
      </c>
      <c r="M220" t="n">
        <v>0</v>
      </c>
      <c r="N220" t="n">
        <v>0</v>
      </c>
      <c r="O220" t="n">
        <v>0</v>
      </c>
      <c r="P220" t="n">
        <v>0</v>
      </c>
      <c r="Q220" t="n">
        <v>0</v>
      </c>
      <c r="R220" s="2" t="inlineStr"/>
    </row>
    <row r="221" ht="15" customHeight="1">
      <c r="A221" t="inlineStr">
        <is>
          <t>A 65737-2021</t>
        </is>
      </c>
      <c r="B221" s="1" t="n">
        <v>44516</v>
      </c>
      <c r="C221" s="1" t="n">
        <v>46192</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46192</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46192</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46192</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46192</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18905-2022</t>
        </is>
      </c>
      <c r="B226" s="1" t="n">
        <v>44690</v>
      </c>
      <c r="C226" s="1" t="n">
        <v>46192</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10711-2022</t>
        </is>
      </c>
      <c r="B227" s="1" t="n">
        <v>44626</v>
      </c>
      <c r="C227" s="1" t="n">
        <v>46192</v>
      </c>
      <c r="D227" t="inlineStr">
        <is>
          <t>STOCKHOLMS LÄN</t>
        </is>
      </c>
      <c r="E227" t="inlineStr">
        <is>
          <t>NORRTÄLJE</t>
        </is>
      </c>
      <c r="G227" t="n">
        <v>0.4</v>
      </c>
      <c r="H227" t="n">
        <v>0</v>
      </c>
      <c r="I227" t="n">
        <v>0</v>
      </c>
      <c r="J227" t="n">
        <v>0</v>
      </c>
      <c r="K227" t="n">
        <v>0</v>
      </c>
      <c r="L227" t="n">
        <v>0</v>
      </c>
      <c r="M227" t="n">
        <v>0</v>
      </c>
      <c r="N227" t="n">
        <v>0</v>
      </c>
      <c r="O227" t="n">
        <v>0</v>
      </c>
      <c r="P227" t="n">
        <v>0</v>
      </c>
      <c r="Q227" t="n">
        <v>0</v>
      </c>
      <c r="R227" s="2" t="inlineStr"/>
    </row>
    <row r="228" ht="15" customHeight="1">
      <c r="A228" t="inlineStr">
        <is>
          <t>A 17777-2022</t>
        </is>
      </c>
      <c r="B228" s="1" t="n">
        <v>44682</v>
      </c>
      <c r="C228" s="1" t="n">
        <v>46192</v>
      </c>
      <c r="D228" t="inlineStr">
        <is>
          <t>STOCKHOLMS LÄN</t>
        </is>
      </c>
      <c r="E228" t="inlineStr">
        <is>
          <t>NORRTÄLJE</t>
        </is>
      </c>
      <c r="G228" t="n">
        <v>3.7</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46192</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46192</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46192</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45539-2022</t>
        </is>
      </c>
      <c r="B233" s="1" t="n">
        <v>44845</v>
      </c>
      <c r="C233" s="1" t="n">
        <v>46192</v>
      </c>
      <c r="D233" t="inlineStr">
        <is>
          <t>STOCKHOLMS LÄN</t>
        </is>
      </c>
      <c r="E233" t="inlineStr">
        <is>
          <t>NORRTÄLJE</t>
        </is>
      </c>
      <c r="G233" t="n">
        <v>0.3</v>
      </c>
      <c r="H233" t="n">
        <v>0</v>
      </c>
      <c r="I233" t="n">
        <v>0</v>
      </c>
      <c r="J233" t="n">
        <v>0</v>
      </c>
      <c r="K233" t="n">
        <v>0</v>
      </c>
      <c r="L233" t="n">
        <v>0</v>
      </c>
      <c r="M233" t="n">
        <v>0</v>
      </c>
      <c r="N233" t="n">
        <v>0</v>
      </c>
      <c r="O233" t="n">
        <v>0</v>
      </c>
      <c r="P233" t="n">
        <v>0</v>
      </c>
      <c r="Q233" t="n">
        <v>0</v>
      </c>
      <c r="R233" s="2" t="inlineStr"/>
    </row>
    <row r="234" ht="15" customHeight="1">
      <c r="A234" t="inlineStr">
        <is>
          <t>A 71876-2021</t>
        </is>
      </c>
      <c r="B234" s="1" t="n">
        <v>44543</v>
      </c>
      <c r="C234" s="1" t="n">
        <v>46192</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71878-2021</t>
        </is>
      </c>
      <c r="B235" s="1" t="n">
        <v>44543</v>
      </c>
      <c r="C235" s="1" t="n">
        <v>46192</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46192</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46192</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72308-2021</t>
        </is>
      </c>
      <c r="B238" s="1" t="n">
        <v>44545</v>
      </c>
      <c r="C238" s="1" t="n">
        <v>46192</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54355-2022</t>
        </is>
      </c>
      <c r="B239" s="1" t="n">
        <v>44882</v>
      </c>
      <c r="C239" s="1" t="n">
        <v>46192</v>
      </c>
      <c r="D239" t="inlineStr">
        <is>
          <t>STOCKHOLMS LÄN</t>
        </is>
      </c>
      <c r="E239" t="inlineStr">
        <is>
          <t>NORRTÄLJE</t>
        </is>
      </c>
      <c r="G239" t="n">
        <v>0.4</v>
      </c>
      <c r="H239" t="n">
        <v>0</v>
      </c>
      <c r="I239" t="n">
        <v>0</v>
      </c>
      <c r="J239" t="n">
        <v>0</v>
      </c>
      <c r="K239" t="n">
        <v>0</v>
      </c>
      <c r="L239" t="n">
        <v>0</v>
      </c>
      <c r="M239" t="n">
        <v>0</v>
      </c>
      <c r="N239" t="n">
        <v>0</v>
      </c>
      <c r="O239" t="n">
        <v>0</v>
      </c>
      <c r="P239" t="n">
        <v>0</v>
      </c>
      <c r="Q239" t="n">
        <v>0</v>
      </c>
      <c r="R239" s="2" t="inlineStr"/>
    </row>
    <row r="240" ht="15" customHeight="1">
      <c r="A240" t="inlineStr">
        <is>
          <t>A 29868-2022</t>
        </is>
      </c>
      <c r="B240" s="1" t="n">
        <v>44756</v>
      </c>
      <c r="C240" s="1" t="n">
        <v>46192</v>
      </c>
      <c r="D240" t="inlineStr">
        <is>
          <t>STOCKHOLMS LÄN</t>
        </is>
      </c>
      <c r="E240" t="inlineStr">
        <is>
          <t>NORRTÄLJE</t>
        </is>
      </c>
      <c r="G240" t="n">
        <v>1.8</v>
      </c>
      <c r="H240" t="n">
        <v>0</v>
      </c>
      <c r="I240" t="n">
        <v>0</v>
      </c>
      <c r="J240" t="n">
        <v>0</v>
      </c>
      <c r="K240" t="n">
        <v>0</v>
      </c>
      <c r="L240" t="n">
        <v>0</v>
      </c>
      <c r="M240" t="n">
        <v>0</v>
      </c>
      <c r="N240" t="n">
        <v>0</v>
      </c>
      <c r="O240" t="n">
        <v>0</v>
      </c>
      <c r="P240" t="n">
        <v>0</v>
      </c>
      <c r="Q240" t="n">
        <v>0</v>
      </c>
      <c r="R240" s="2" t="inlineStr"/>
    </row>
    <row r="241" ht="15" customHeight="1">
      <c r="A241" t="inlineStr">
        <is>
          <t>A 23770-2022</t>
        </is>
      </c>
      <c r="B241" s="1" t="n">
        <v>44722</v>
      </c>
      <c r="C241" s="1" t="n">
        <v>46192</v>
      </c>
      <c r="D241" t="inlineStr">
        <is>
          <t>STOCKHOLMS LÄN</t>
        </is>
      </c>
      <c r="E241" t="inlineStr">
        <is>
          <t>NORRTÄLJE</t>
        </is>
      </c>
      <c r="G241" t="n">
        <v>1.6</v>
      </c>
      <c r="H241" t="n">
        <v>0</v>
      </c>
      <c r="I241" t="n">
        <v>0</v>
      </c>
      <c r="J241" t="n">
        <v>0</v>
      </c>
      <c r="K241" t="n">
        <v>0</v>
      </c>
      <c r="L241" t="n">
        <v>0</v>
      </c>
      <c r="M241" t="n">
        <v>0</v>
      </c>
      <c r="N241" t="n">
        <v>0</v>
      </c>
      <c r="O241" t="n">
        <v>0</v>
      </c>
      <c r="P241" t="n">
        <v>0</v>
      </c>
      <c r="Q241" t="n">
        <v>0</v>
      </c>
      <c r="R241" s="2" t="inlineStr"/>
    </row>
    <row r="242" ht="15" customHeight="1">
      <c r="A242" t="inlineStr">
        <is>
          <t>A 27538-2022</t>
        </is>
      </c>
      <c r="B242" s="1" t="n">
        <v>44742</v>
      </c>
      <c r="C242" s="1" t="n">
        <v>46192</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46192</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46192</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46192</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47349-2021</t>
        </is>
      </c>
      <c r="B246" s="1" t="n">
        <v>44447</v>
      </c>
      <c r="C246" s="1" t="n">
        <v>46192</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36565-2021</t>
        </is>
      </c>
      <c r="B247" s="1" t="n">
        <v>44391</v>
      </c>
      <c r="C247" s="1" t="n">
        <v>46192</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46192</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49113-2021</t>
        </is>
      </c>
      <c r="B249" s="1" t="n">
        <v>44453</v>
      </c>
      <c r="C249" s="1" t="n">
        <v>46192</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50970-2022</t>
        </is>
      </c>
      <c r="B250" s="1" t="n">
        <v>44867</v>
      </c>
      <c r="C250" s="1" t="n">
        <v>46192</v>
      </c>
      <c r="D250" t="inlineStr">
        <is>
          <t>STOCKHOLMS LÄN</t>
        </is>
      </c>
      <c r="E250" t="inlineStr">
        <is>
          <t>NORRTÄLJE</t>
        </is>
      </c>
      <c r="G250" t="n">
        <v>9</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46192</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46192</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46192</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71325-2021</t>
        </is>
      </c>
      <c r="B254" s="1" t="n">
        <v>44539</v>
      </c>
      <c r="C254" s="1" t="n">
        <v>46192</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46192</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39497-2021</t>
        </is>
      </c>
      <c r="B256" s="1" t="n">
        <v>44414</v>
      </c>
      <c r="C256" s="1" t="n">
        <v>46192</v>
      </c>
      <c r="D256" t="inlineStr">
        <is>
          <t>STOCKHOLMS LÄN</t>
        </is>
      </c>
      <c r="E256" t="inlineStr">
        <is>
          <t>NORRTÄLJE</t>
        </is>
      </c>
      <c r="G256" t="n">
        <v>1.7</v>
      </c>
      <c r="H256" t="n">
        <v>0</v>
      </c>
      <c r="I256" t="n">
        <v>0</v>
      </c>
      <c r="J256" t="n">
        <v>0</v>
      </c>
      <c r="K256" t="n">
        <v>0</v>
      </c>
      <c r="L256" t="n">
        <v>0</v>
      </c>
      <c r="M256" t="n">
        <v>0</v>
      </c>
      <c r="N256" t="n">
        <v>0</v>
      </c>
      <c r="O256" t="n">
        <v>0</v>
      </c>
      <c r="P256" t="n">
        <v>0</v>
      </c>
      <c r="Q256" t="n">
        <v>0</v>
      </c>
      <c r="R256" s="2" t="inlineStr"/>
    </row>
    <row r="257" ht="15" customHeight="1">
      <c r="A257" t="inlineStr">
        <is>
          <t>A 65611-2021</t>
        </is>
      </c>
      <c r="B257" s="1" t="n">
        <v>44516</v>
      </c>
      <c r="C257" s="1" t="n">
        <v>46192</v>
      </c>
      <c r="D257" t="inlineStr">
        <is>
          <t>STOCKHOLMS LÄN</t>
        </is>
      </c>
      <c r="E257" t="inlineStr">
        <is>
          <t>NORRTÄLJE</t>
        </is>
      </c>
      <c r="G257" t="n">
        <v>2.5</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46192</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31092-2022</t>
        </is>
      </c>
      <c r="B259" s="1" t="n">
        <v>44769</v>
      </c>
      <c r="C259" s="1" t="n">
        <v>46192</v>
      </c>
      <c r="D259" t="inlineStr">
        <is>
          <t>STOCKHOLMS LÄN</t>
        </is>
      </c>
      <c r="E259" t="inlineStr">
        <is>
          <t>NORRTÄLJE</t>
        </is>
      </c>
      <c r="G259" t="n">
        <v>1.6</v>
      </c>
      <c r="H259" t="n">
        <v>0</v>
      </c>
      <c r="I259" t="n">
        <v>0</v>
      </c>
      <c r="J259" t="n">
        <v>0</v>
      </c>
      <c r="K259" t="n">
        <v>0</v>
      </c>
      <c r="L259" t="n">
        <v>0</v>
      </c>
      <c r="M259" t="n">
        <v>0</v>
      </c>
      <c r="N259" t="n">
        <v>0</v>
      </c>
      <c r="O259" t="n">
        <v>0</v>
      </c>
      <c r="P259" t="n">
        <v>0</v>
      </c>
      <c r="Q259" t="n">
        <v>0</v>
      </c>
      <c r="R259" s="2" t="inlineStr"/>
    </row>
    <row r="260" ht="15" customHeight="1">
      <c r="A260" t="inlineStr">
        <is>
          <t>A 71871-2021</t>
        </is>
      </c>
      <c r="B260" s="1" t="n">
        <v>44543</v>
      </c>
      <c r="C260" s="1" t="n">
        <v>46192</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71873-2021</t>
        </is>
      </c>
      <c r="B261" s="1" t="n">
        <v>44543</v>
      </c>
      <c r="C261" s="1" t="n">
        <v>46192</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22316-2022</t>
        </is>
      </c>
      <c r="B262" s="1" t="n">
        <v>44712</v>
      </c>
      <c r="C262" s="1" t="n">
        <v>46192</v>
      </c>
      <c r="D262" t="inlineStr">
        <is>
          <t>STOCKHOLMS LÄN</t>
        </is>
      </c>
      <c r="E262" t="inlineStr">
        <is>
          <t>NORRTÄLJE</t>
        </is>
      </c>
      <c r="G262" t="n">
        <v>6.3</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46192</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46192</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46192</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46192</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46192</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46192</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46192</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46192</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46192</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46192</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46192</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46192</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46192</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46192</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46192</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46192</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46192</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46192</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46192</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46192</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46192</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5513-2022</t>
        </is>
      </c>
      <c r="B284" s="1" t="n">
        <v>44595</v>
      </c>
      <c r="C284" s="1" t="n">
        <v>46192</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28042-2022</t>
        </is>
      </c>
      <c r="B285" s="1" t="n">
        <v>44744</v>
      </c>
      <c r="C285" s="1" t="n">
        <v>46192</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41398-2022</t>
        </is>
      </c>
      <c r="B286" s="1" t="n">
        <v>44826</v>
      </c>
      <c r="C286" s="1" t="n">
        <v>46192</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45541-2022</t>
        </is>
      </c>
      <c r="B287" s="1" t="n">
        <v>44845</v>
      </c>
      <c r="C287" s="1" t="n">
        <v>46192</v>
      </c>
      <c r="D287" t="inlineStr">
        <is>
          <t>STOCKHOLMS LÄN</t>
        </is>
      </c>
      <c r="E287" t="inlineStr">
        <is>
          <t>NORRTÄLJE</t>
        </is>
      </c>
      <c r="G287" t="n">
        <v>0.4</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46192</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16117-2022</t>
        </is>
      </c>
      <c r="B289" s="1" t="n">
        <v>44665</v>
      </c>
      <c r="C289" s="1" t="n">
        <v>46192</v>
      </c>
      <c r="D289" t="inlineStr">
        <is>
          <t>STOCKHOLMS LÄN</t>
        </is>
      </c>
      <c r="E289" t="inlineStr">
        <is>
          <t>NORRTÄLJE</t>
        </is>
      </c>
      <c r="G289" t="n">
        <v>8.1</v>
      </c>
      <c r="H289" t="n">
        <v>0</v>
      </c>
      <c r="I289" t="n">
        <v>0</v>
      </c>
      <c r="J289" t="n">
        <v>0</v>
      </c>
      <c r="K289" t="n">
        <v>0</v>
      </c>
      <c r="L289" t="n">
        <v>0</v>
      </c>
      <c r="M289" t="n">
        <v>0</v>
      </c>
      <c r="N289" t="n">
        <v>0</v>
      </c>
      <c r="O289" t="n">
        <v>0</v>
      </c>
      <c r="P289" t="n">
        <v>0</v>
      </c>
      <c r="Q289" t="n">
        <v>0</v>
      </c>
      <c r="R289" s="2" t="inlineStr"/>
    </row>
    <row r="290" ht="15" customHeight="1">
      <c r="A290" t="inlineStr">
        <is>
          <t>A 16132-2022</t>
        </is>
      </c>
      <c r="B290" s="1" t="n">
        <v>44665</v>
      </c>
      <c r="C290" s="1" t="n">
        <v>46192</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54504-2024</t>
        </is>
      </c>
      <c r="B291" s="1" t="n">
        <v>45617</v>
      </c>
      <c r="C291" s="1" t="n">
        <v>46192</v>
      </c>
      <c r="D291" t="inlineStr">
        <is>
          <t>STOCKHOLMS LÄN</t>
        </is>
      </c>
      <c r="E291" t="inlineStr">
        <is>
          <t>NORRTÄLJE</t>
        </is>
      </c>
      <c r="G291" t="n">
        <v>3.4</v>
      </c>
      <c r="H291" t="n">
        <v>0</v>
      </c>
      <c r="I291" t="n">
        <v>0</v>
      </c>
      <c r="J291" t="n">
        <v>0</v>
      </c>
      <c r="K291" t="n">
        <v>0</v>
      </c>
      <c r="L291" t="n">
        <v>0</v>
      </c>
      <c r="M291" t="n">
        <v>0</v>
      </c>
      <c r="N291" t="n">
        <v>0</v>
      </c>
      <c r="O291" t="n">
        <v>0</v>
      </c>
      <c r="P291" t="n">
        <v>0</v>
      </c>
      <c r="Q291" t="n">
        <v>0</v>
      </c>
      <c r="R291" s="2" t="inlineStr"/>
    </row>
    <row r="292" ht="15" customHeight="1">
      <c r="A292" t="inlineStr">
        <is>
          <t>A 70170-2021</t>
        </is>
      </c>
      <c r="B292" s="1" t="n">
        <v>44533</v>
      </c>
      <c r="C292" s="1" t="n">
        <v>46192</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46192</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46192</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17772-2022</t>
        </is>
      </c>
      <c r="B295" s="1" t="n">
        <v>44682</v>
      </c>
      <c r="C295" s="1" t="n">
        <v>46192</v>
      </c>
      <c r="D295" t="inlineStr">
        <is>
          <t>STOCKHOLMS LÄN</t>
        </is>
      </c>
      <c r="E295" t="inlineStr">
        <is>
          <t>NORRTÄLJE</t>
        </is>
      </c>
      <c r="G295" t="n">
        <v>4</v>
      </c>
      <c r="H295" t="n">
        <v>0</v>
      </c>
      <c r="I295" t="n">
        <v>0</v>
      </c>
      <c r="J295" t="n">
        <v>0</v>
      </c>
      <c r="K295" t="n">
        <v>0</v>
      </c>
      <c r="L295" t="n">
        <v>0</v>
      </c>
      <c r="M295" t="n">
        <v>0</v>
      </c>
      <c r="N295" t="n">
        <v>0</v>
      </c>
      <c r="O295" t="n">
        <v>0</v>
      </c>
      <c r="P295" t="n">
        <v>0</v>
      </c>
      <c r="Q295" t="n">
        <v>0</v>
      </c>
      <c r="R295" s="2" t="inlineStr"/>
    </row>
    <row r="296" ht="15" customHeight="1">
      <c r="A296" t="inlineStr">
        <is>
          <t>A 67921-2021</t>
        </is>
      </c>
      <c r="B296" s="1" t="n">
        <v>44525</v>
      </c>
      <c r="C296" s="1" t="n">
        <v>46192</v>
      </c>
      <c r="D296" t="inlineStr">
        <is>
          <t>STOCKHOLMS LÄN</t>
        </is>
      </c>
      <c r="E296" t="inlineStr">
        <is>
          <t>NORRTÄLJE</t>
        </is>
      </c>
      <c r="G296" t="n">
        <v>6.3</v>
      </c>
      <c r="H296" t="n">
        <v>0</v>
      </c>
      <c r="I296" t="n">
        <v>0</v>
      </c>
      <c r="J296" t="n">
        <v>0</v>
      </c>
      <c r="K296" t="n">
        <v>0</v>
      </c>
      <c r="L296" t="n">
        <v>0</v>
      </c>
      <c r="M296" t="n">
        <v>0</v>
      </c>
      <c r="N296" t="n">
        <v>0</v>
      </c>
      <c r="O296" t="n">
        <v>0</v>
      </c>
      <c r="P296" t="n">
        <v>0</v>
      </c>
      <c r="Q296" t="n">
        <v>0</v>
      </c>
      <c r="R296" s="2" t="inlineStr"/>
    </row>
    <row r="297" ht="15" customHeight="1">
      <c r="A297" t="inlineStr">
        <is>
          <t>A 67285-2021</t>
        </is>
      </c>
      <c r="B297" s="1" t="n">
        <v>44523</v>
      </c>
      <c r="C297" s="1" t="n">
        <v>46192</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5611-2022</t>
        </is>
      </c>
      <c r="B298" s="1" t="n">
        <v>44595</v>
      </c>
      <c r="C298" s="1" t="n">
        <v>46192</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32055-2021</t>
        </is>
      </c>
      <c r="B299" s="1" t="n">
        <v>44370</v>
      </c>
      <c r="C299" s="1" t="n">
        <v>46192</v>
      </c>
      <c r="D299" t="inlineStr">
        <is>
          <t>STOCKHOLMS LÄN</t>
        </is>
      </c>
      <c r="E299" t="inlineStr">
        <is>
          <t>NORRTÄLJE</t>
        </is>
      </c>
      <c r="G299" t="n">
        <v>1.2</v>
      </c>
      <c r="H299" t="n">
        <v>0</v>
      </c>
      <c r="I299" t="n">
        <v>0</v>
      </c>
      <c r="J299" t="n">
        <v>0</v>
      </c>
      <c r="K299" t="n">
        <v>0</v>
      </c>
      <c r="L299" t="n">
        <v>0</v>
      </c>
      <c r="M299" t="n">
        <v>0</v>
      </c>
      <c r="N299" t="n">
        <v>0</v>
      </c>
      <c r="O299" t="n">
        <v>0</v>
      </c>
      <c r="P299" t="n">
        <v>0</v>
      </c>
      <c r="Q299" t="n">
        <v>0</v>
      </c>
      <c r="R299" s="2" t="inlineStr"/>
    </row>
    <row r="300" ht="15" customHeight="1">
      <c r="A300" t="inlineStr">
        <is>
          <t>A 24101-2022</t>
        </is>
      </c>
      <c r="B300" s="1" t="n">
        <v>44725</v>
      </c>
      <c r="C300" s="1" t="n">
        <v>46192</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21745-2023</t>
        </is>
      </c>
      <c r="B301" s="1" t="n">
        <v>45065</v>
      </c>
      <c r="C301" s="1" t="n">
        <v>46192</v>
      </c>
      <c r="D301" t="inlineStr">
        <is>
          <t>STOCKHOLMS LÄN</t>
        </is>
      </c>
      <c r="E301" t="inlineStr">
        <is>
          <t>NORRTÄLJE</t>
        </is>
      </c>
      <c r="F301" t="inlineStr">
        <is>
          <t>Holmen skog AB</t>
        </is>
      </c>
      <c r="G301" t="n">
        <v>0.7</v>
      </c>
      <c r="H301" t="n">
        <v>0</v>
      </c>
      <c r="I301" t="n">
        <v>0</v>
      </c>
      <c r="J301" t="n">
        <v>0</v>
      </c>
      <c r="K301" t="n">
        <v>0</v>
      </c>
      <c r="L301" t="n">
        <v>0</v>
      </c>
      <c r="M301" t="n">
        <v>0</v>
      </c>
      <c r="N301" t="n">
        <v>0</v>
      </c>
      <c r="O301" t="n">
        <v>0</v>
      </c>
      <c r="P301" t="n">
        <v>0</v>
      </c>
      <c r="Q301" t="n">
        <v>0</v>
      </c>
      <c r="R301" s="2" t="inlineStr"/>
    </row>
    <row r="302" ht="15" customHeight="1">
      <c r="A302" t="inlineStr">
        <is>
          <t>A 65499-2021</t>
        </is>
      </c>
      <c r="B302" s="1" t="n">
        <v>44516</v>
      </c>
      <c r="C302" s="1" t="n">
        <v>46192</v>
      </c>
      <c r="D302" t="inlineStr">
        <is>
          <t>STOCKHOLMS LÄN</t>
        </is>
      </c>
      <c r="E302" t="inlineStr">
        <is>
          <t>NORRTÄLJE</t>
        </is>
      </c>
      <c r="F302" t="inlineStr">
        <is>
          <t>Kommuner</t>
        </is>
      </c>
      <c r="G302" t="n">
        <v>5.2</v>
      </c>
      <c r="H302" t="n">
        <v>0</v>
      </c>
      <c r="I302" t="n">
        <v>0</v>
      </c>
      <c r="J302" t="n">
        <v>0</v>
      </c>
      <c r="K302" t="n">
        <v>0</v>
      </c>
      <c r="L302" t="n">
        <v>0</v>
      </c>
      <c r="M302" t="n">
        <v>0</v>
      </c>
      <c r="N302" t="n">
        <v>0</v>
      </c>
      <c r="O302" t="n">
        <v>0</v>
      </c>
      <c r="P302" t="n">
        <v>0</v>
      </c>
      <c r="Q302" t="n">
        <v>0</v>
      </c>
      <c r="R302" s="2" t="inlineStr"/>
    </row>
    <row r="303" ht="15" customHeight="1">
      <c r="A303" t="inlineStr">
        <is>
          <t>A 21894-2023</t>
        </is>
      </c>
      <c r="B303" s="1" t="n">
        <v>45068</v>
      </c>
      <c r="C303" s="1" t="n">
        <v>46192</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13276-2022</t>
        </is>
      </c>
      <c r="B304" s="1" t="n">
        <v>44644</v>
      </c>
      <c r="C304" s="1" t="n">
        <v>46192</v>
      </c>
      <c r="D304" t="inlineStr">
        <is>
          <t>STOCKHOLMS LÄN</t>
        </is>
      </c>
      <c r="E304" t="inlineStr">
        <is>
          <t>NORRTÄLJE</t>
        </is>
      </c>
      <c r="G304" t="n">
        <v>0.7</v>
      </c>
      <c r="H304" t="n">
        <v>0</v>
      </c>
      <c r="I304" t="n">
        <v>0</v>
      </c>
      <c r="J304" t="n">
        <v>0</v>
      </c>
      <c r="K304" t="n">
        <v>0</v>
      </c>
      <c r="L304" t="n">
        <v>0</v>
      </c>
      <c r="M304" t="n">
        <v>0</v>
      </c>
      <c r="N304" t="n">
        <v>0</v>
      </c>
      <c r="O304" t="n">
        <v>0</v>
      </c>
      <c r="P304" t="n">
        <v>0</v>
      </c>
      <c r="Q304" t="n">
        <v>0</v>
      </c>
      <c r="R304" s="2" t="inlineStr"/>
    </row>
    <row r="305" ht="15" customHeight="1">
      <c r="A305" t="inlineStr">
        <is>
          <t>A 38721-2022</t>
        </is>
      </c>
      <c r="B305" s="1" t="n">
        <v>44815</v>
      </c>
      <c r="C305" s="1" t="n">
        <v>46192</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60184-2021</t>
        </is>
      </c>
      <c r="B306" s="1" t="n">
        <v>44495</v>
      </c>
      <c r="C306" s="1" t="n">
        <v>46192</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28182-2022</t>
        </is>
      </c>
      <c r="B307" s="1" t="n">
        <v>44746</v>
      </c>
      <c r="C307" s="1" t="n">
        <v>46192</v>
      </c>
      <c r="D307" t="inlineStr">
        <is>
          <t>STOCKHOLMS LÄN</t>
        </is>
      </c>
      <c r="E307" t="inlineStr">
        <is>
          <t>NORRTÄLJE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12875-2022</t>
        </is>
      </c>
      <c r="B308" s="1" t="n">
        <v>44642</v>
      </c>
      <c r="C308" s="1" t="n">
        <v>46192</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34461-2023</t>
        </is>
      </c>
      <c r="B309" s="1" t="n">
        <v>45139</v>
      </c>
      <c r="C309" s="1" t="n">
        <v>46192</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38720-2025</t>
        </is>
      </c>
      <c r="B310" s="1" t="n">
        <v>45886</v>
      </c>
      <c r="C310" s="1" t="n">
        <v>46192</v>
      </c>
      <c r="D310" t="inlineStr">
        <is>
          <t>STOCKHOLMS LÄN</t>
        </is>
      </c>
      <c r="E310" t="inlineStr">
        <is>
          <t>NORRTÄLJE</t>
        </is>
      </c>
      <c r="G310" t="n">
        <v>1.6</v>
      </c>
      <c r="H310" t="n">
        <v>0</v>
      </c>
      <c r="I310" t="n">
        <v>0</v>
      </c>
      <c r="J310" t="n">
        <v>0</v>
      </c>
      <c r="K310" t="n">
        <v>0</v>
      </c>
      <c r="L310" t="n">
        <v>0</v>
      </c>
      <c r="M310" t="n">
        <v>0</v>
      </c>
      <c r="N310" t="n">
        <v>0</v>
      </c>
      <c r="O310" t="n">
        <v>0</v>
      </c>
      <c r="P310" t="n">
        <v>0</v>
      </c>
      <c r="Q310" t="n">
        <v>0</v>
      </c>
      <c r="R310" s="2" t="inlineStr"/>
    </row>
    <row r="311" ht="15" customHeight="1">
      <c r="A311" t="inlineStr">
        <is>
          <t>A 27828-2022</t>
        </is>
      </c>
      <c r="B311" s="1" t="n">
        <v>44743</v>
      </c>
      <c r="C311" s="1" t="n">
        <v>46192</v>
      </c>
      <c r="D311" t="inlineStr">
        <is>
          <t>STOCKHOLMS LÄN</t>
        </is>
      </c>
      <c r="E311" t="inlineStr">
        <is>
          <t>NORRTÄLJE</t>
        </is>
      </c>
      <c r="F311" t="inlineStr">
        <is>
          <t>Kommuner</t>
        </is>
      </c>
      <c r="G311" t="n">
        <v>1.6</v>
      </c>
      <c r="H311" t="n">
        <v>0</v>
      </c>
      <c r="I311" t="n">
        <v>0</v>
      </c>
      <c r="J311" t="n">
        <v>0</v>
      </c>
      <c r="K311" t="n">
        <v>0</v>
      </c>
      <c r="L311" t="n">
        <v>0</v>
      </c>
      <c r="M311" t="n">
        <v>0</v>
      </c>
      <c r="N311" t="n">
        <v>0</v>
      </c>
      <c r="O311" t="n">
        <v>0</v>
      </c>
      <c r="P311" t="n">
        <v>0</v>
      </c>
      <c r="Q311" t="n">
        <v>0</v>
      </c>
      <c r="R311" s="2" t="inlineStr"/>
    </row>
    <row r="312" ht="15" customHeight="1">
      <c r="A312" t="inlineStr">
        <is>
          <t>A 16229-2022</t>
        </is>
      </c>
      <c r="B312" s="1" t="n">
        <v>44670</v>
      </c>
      <c r="C312" s="1" t="n">
        <v>46192</v>
      </c>
      <c r="D312" t="inlineStr">
        <is>
          <t>STOCKHOLMS LÄN</t>
        </is>
      </c>
      <c r="E312" t="inlineStr">
        <is>
          <t>NORRTÄLJE</t>
        </is>
      </c>
      <c r="G312" t="n">
        <v>7.4</v>
      </c>
      <c r="H312" t="n">
        <v>0</v>
      </c>
      <c r="I312" t="n">
        <v>0</v>
      </c>
      <c r="J312" t="n">
        <v>0</v>
      </c>
      <c r="K312" t="n">
        <v>0</v>
      </c>
      <c r="L312" t="n">
        <v>0</v>
      </c>
      <c r="M312" t="n">
        <v>0</v>
      </c>
      <c r="N312" t="n">
        <v>0</v>
      </c>
      <c r="O312" t="n">
        <v>0</v>
      </c>
      <c r="P312" t="n">
        <v>0</v>
      </c>
      <c r="Q312" t="n">
        <v>0</v>
      </c>
      <c r="R312" s="2" t="inlineStr"/>
    </row>
    <row r="313" ht="15" customHeight="1">
      <c r="A313" t="inlineStr">
        <is>
          <t>A 51046-2023</t>
        </is>
      </c>
      <c r="B313" s="1" t="n">
        <v>45218</v>
      </c>
      <c r="C313" s="1" t="n">
        <v>46192</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33226-2024</t>
        </is>
      </c>
      <c r="B314" s="1" t="n">
        <v>45518</v>
      </c>
      <c r="C314" s="1" t="n">
        <v>46192</v>
      </c>
      <c r="D314" t="inlineStr">
        <is>
          <t>STOCKHOLMS LÄN</t>
        </is>
      </c>
      <c r="E314" t="inlineStr">
        <is>
          <t>NORRTÄLJE</t>
        </is>
      </c>
      <c r="G314" t="n">
        <v>13.8</v>
      </c>
      <c r="H314" t="n">
        <v>0</v>
      </c>
      <c r="I314" t="n">
        <v>0</v>
      </c>
      <c r="J314" t="n">
        <v>0</v>
      </c>
      <c r="K314" t="n">
        <v>0</v>
      </c>
      <c r="L314" t="n">
        <v>0</v>
      </c>
      <c r="M314" t="n">
        <v>0</v>
      </c>
      <c r="N314" t="n">
        <v>0</v>
      </c>
      <c r="O314" t="n">
        <v>0</v>
      </c>
      <c r="P314" t="n">
        <v>0</v>
      </c>
      <c r="Q314" t="n">
        <v>0</v>
      </c>
      <c r="R314" s="2" t="inlineStr"/>
    </row>
    <row r="315" ht="15" customHeight="1">
      <c r="A315" t="inlineStr">
        <is>
          <t>A 22008-2024</t>
        </is>
      </c>
      <c r="B315" s="1" t="n">
        <v>45443</v>
      </c>
      <c r="C315" s="1" t="n">
        <v>46192</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12355-2022</t>
        </is>
      </c>
      <c r="B316" s="1" t="n">
        <v>44637</v>
      </c>
      <c r="C316" s="1" t="n">
        <v>46192</v>
      </c>
      <c r="D316" t="inlineStr">
        <is>
          <t>STOCKHOLMS LÄN</t>
        </is>
      </c>
      <c r="E316" t="inlineStr">
        <is>
          <t>NORRTÄLJE</t>
        </is>
      </c>
      <c r="G316" t="n">
        <v>10.4</v>
      </c>
      <c r="H316" t="n">
        <v>0</v>
      </c>
      <c r="I316" t="n">
        <v>0</v>
      </c>
      <c r="J316" t="n">
        <v>0</v>
      </c>
      <c r="K316" t="n">
        <v>0</v>
      </c>
      <c r="L316" t="n">
        <v>0</v>
      </c>
      <c r="M316" t="n">
        <v>0</v>
      </c>
      <c r="N316" t="n">
        <v>0</v>
      </c>
      <c r="O316" t="n">
        <v>0</v>
      </c>
      <c r="P316" t="n">
        <v>0</v>
      </c>
      <c r="Q316" t="n">
        <v>0</v>
      </c>
      <c r="R316" s="2" t="inlineStr"/>
    </row>
    <row r="317" ht="15" customHeight="1">
      <c r="A317" t="inlineStr">
        <is>
          <t>A 55243-2023</t>
        </is>
      </c>
      <c r="B317" s="1" t="n">
        <v>45237</v>
      </c>
      <c r="C317" s="1" t="n">
        <v>46192</v>
      </c>
      <c r="D317" t="inlineStr">
        <is>
          <t>STOCKHOLMS LÄN</t>
        </is>
      </c>
      <c r="E317" t="inlineStr">
        <is>
          <t>NORRTÄLJE</t>
        </is>
      </c>
      <c r="G317" t="n">
        <v>6.5</v>
      </c>
      <c r="H317" t="n">
        <v>0</v>
      </c>
      <c r="I317" t="n">
        <v>0</v>
      </c>
      <c r="J317" t="n">
        <v>0</v>
      </c>
      <c r="K317" t="n">
        <v>0</v>
      </c>
      <c r="L317" t="n">
        <v>0</v>
      </c>
      <c r="M317" t="n">
        <v>0</v>
      </c>
      <c r="N317" t="n">
        <v>0</v>
      </c>
      <c r="O317" t="n">
        <v>0</v>
      </c>
      <c r="P317" t="n">
        <v>0</v>
      </c>
      <c r="Q317" t="n">
        <v>0</v>
      </c>
      <c r="R317" s="2" t="inlineStr"/>
    </row>
    <row r="318" ht="15" customHeight="1">
      <c r="A318" t="inlineStr">
        <is>
          <t>A 7565-2022</t>
        </is>
      </c>
      <c r="B318" s="1" t="n">
        <v>44607</v>
      </c>
      <c r="C318" s="1" t="n">
        <v>46192</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41822-2021</t>
        </is>
      </c>
      <c r="B319" s="1" t="n">
        <v>44425</v>
      </c>
      <c r="C319" s="1" t="n">
        <v>46192</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17382-2024</t>
        </is>
      </c>
      <c r="B320" s="1" t="n">
        <v>45414</v>
      </c>
      <c r="C320" s="1" t="n">
        <v>46192</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6070-2022</t>
        </is>
      </c>
      <c r="B321" s="1" t="n">
        <v>44599</v>
      </c>
      <c r="C321" s="1" t="n">
        <v>46192</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17039-2024</t>
        </is>
      </c>
      <c r="B322" s="1" t="n">
        <v>45412</v>
      </c>
      <c r="C322" s="1" t="n">
        <v>46192</v>
      </c>
      <c r="D322" t="inlineStr">
        <is>
          <t>STOCKHOLMS LÄN</t>
        </is>
      </c>
      <c r="E322" t="inlineStr">
        <is>
          <t>NORRTÄLJE</t>
        </is>
      </c>
      <c r="G322" t="n">
        <v>5.9</v>
      </c>
      <c r="H322" t="n">
        <v>0</v>
      </c>
      <c r="I322" t="n">
        <v>0</v>
      </c>
      <c r="J322" t="n">
        <v>0</v>
      </c>
      <c r="K322" t="n">
        <v>0</v>
      </c>
      <c r="L322" t="n">
        <v>0</v>
      </c>
      <c r="M322" t="n">
        <v>0</v>
      </c>
      <c r="N322" t="n">
        <v>0</v>
      </c>
      <c r="O322" t="n">
        <v>0</v>
      </c>
      <c r="P322" t="n">
        <v>0</v>
      </c>
      <c r="Q322" t="n">
        <v>0</v>
      </c>
      <c r="R322" s="2" t="inlineStr"/>
    </row>
    <row r="323" ht="15" customHeight="1">
      <c r="A323" t="inlineStr">
        <is>
          <t>A 25557-2023</t>
        </is>
      </c>
      <c r="B323" s="1" t="n">
        <v>45089</v>
      </c>
      <c r="C323" s="1" t="n">
        <v>46192</v>
      </c>
      <c r="D323" t="inlineStr">
        <is>
          <t>STOCKHOLMS LÄN</t>
        </is>
      </c>
      <c r="E323" t="inlineStr">
        <is>
          <t>NORRTÄLJE</t>
        </is>
      </c>
      <c r="G323" t="n">
        <v>1</v>
      </c>
      <c r="H323" t="n">
        <v>0</v>
      </c>
      <c r="I323" t="n">
        <v>0</v>
      </c>
      <c r="J323" t="n">
        <v>0</v>
      </c>
      <c r="K323" t="n">
        <v>0</v>
      </c>
      <c r="L323" t="n">
        <v>0</v>
      </c>
      <c r="M323" t="n">
        <v>0</v>
      </c>
      <c r="N323" t="n">
        <v>0</v>
      </c>
      <c r="O323" t="n">
        <v>0</v>
      </c>
      <c r="P323" t="n">
        <v>0</v>
      </c>
      <c r="Q323" t="n">
        <v>0</v>
      </c>
      <c r="R323" s="2" t="inlineStr"/>
    </row>
    <row r="324" ht="15" customHeight="1">
      <c r="A324" t="inlineStr">
        <is>
          <t>A 27715-2022</t>
        </is>
      </c>
      <c r="B324" s="1" t="n">
        <v>44743</v>
      </c>
      <c r="C324" s="1" t="n">
        <v>46192</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48180-2023</t>
        </is>
      </c>
      <c r="B325" s="1" t="n">
        <v>45205</v>
      </c>
      <c r="C325" s="1" t="n">
        <v>46192</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35695-2023</t>
        </is>
      </c>
      <c r="B326" s="1" t="n">
        <v>45147</v>
      </c>
      <c r="C326" s="1" t="n">
        <v>46192</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45173-2023</t>
        </is>
      </c>
      <c r="B327" s="1" t="n">
        <v>45191</v>
      </c>
      <c r="C327" s="1" t="n">
        <v>46192</v>
      </c>
      <c r="D327" t="inlineStr">
        <is>
          <t>STOCKHOLMS LÄN</t>
        </is>
      </c>
      <c r="E327" t="inlineStr">
        <is>
          <t>NORRTÄLJE</t>
        </is>
      </c>
      <c r="F327" t="inlineStr">
        <is>
          <t>Sveaskog</t>
        </is>
      </c>
      <c r="G327" t="n">
        <v>3.6</v>
      </c>
      <c r="H327" t="n">
        <v>0</v>
      </c>
      <c r="I327" t="n">
        <v>0</v>
      </c>
      <c r="J327" t="n">
        <v>0</v>
      </c>
      <c r="K327" t="n">
        <v>0</v>
      </c>
      <c r="L327" t="n">
        <v>0</v>
      </c>
      <c r="M327" t="n">
        <v>0</v>
      </c>
      <c r="N327" t="n">
        <v>0</v>
      </c>
      <c r="O327" t="n">
        <v>0</v>
      </c>
      <c r="P327" t="n">
        <v>0</v>
      </c>
      <c r="Q327" t="n">
        <v>0</v>
      </c>
      <c r="R327" s="2" t="inlineStr"/>
    </row>
    <row r="328" ht="15" customHeight="1">
      <c r="A328" t="inlineStr">
        <is>
          <t>A 20295-2022</t>
        </is>
      </c>
      <c r="B328" s="1" t="n">
        <v>44698</v>
      </c>
      <c r="C328" s="1" t="n">
        <v>46192</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37415-2021</t>
        </is>
      </c>
      <c r="B329" s="1" t="n">
        <v>44397</v>
      </c>
      <c r="C329" s="1" t="n">
        <v>46192</v>
      </c>
      <c r="D329" t="inlineStr">
        <is>
          <t>STOCKHOLMS LÄN</t>
        </is>
      </c>
      <c r="E329" t="inlineStr">
        <is>
          <t>NORRTÄLJE</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30286-2022</t>
        </is>
      </c>
      <c r="B330" s="1" t="n">
        <v>44760</v>
      </c>
      <c r="C330" s="1" t="n">
        <v>46192</v>
      </c>
      <c r="D330" t="inlineStr">
        <is>
          <t>STOCKHOLMS LÄN</t>
        </is>
      </c>
      <c r="E330" t="inlineStr">
        <is>
          <t>NORRTÄLJE</t>
        </is>
      </c>
      <c r="G330" t="n">
        <v>0.3</v>
      </c>
      <c r="H330" t="n">
        <v>0</v>
      </c>
      <c r="I330" t="n">
        <v>0</v>
      </c>
      <c r="J330" t="n">
        <v>0</v>
      </c>
      <c r="K330" t="n">
        <v>0</v>
      </c>
      <c r="L330" t="n">
        <v>0</v>
      </c>
      <c r="M330" t="n">
        <v>0</v>
      </c>
      <c r="N330" t="n">
        <v>0</v>
      </c>
      <c r="O330" t="n">
        <v>0</v>
      </c>
      <c r="P330" t="n">
        <v>0</v>
      </c>
      <c r="Q330" t="n">
        <v>0</v>
      </c>
      <c r="R330" s="2" t="inlineStr"/>
    </row>
    <row r="331" ht="15" customHeight="1">
      <c r="A331" t="inlineStr">
        <is>
          <t>A 27677-2025</t>
        </is>
      </c>
      <c r="B331" s="1" t="n">
        <v>45813</v>
      </c>
      <c r="C331" s="1" t="n">
        <v>46192</v>
      </c>
      <c r="D331" t="inlineStr">
        <is>
          <t>STOCKHOLMS LÄN</t>
        </is>
      </c>
      <c r="E331" t="inlineStr">
        <is>
          <t>NORRTÄLJE</t>
        </is>
      </c>
      <c r="G331" t="n">
        <v>2</v>
      </c>
      <c r="H331" t="n">
        <v>0</v>
      </c>
      <c r="I331" t="n">
        <v>0</v>
      </c>
      <c r="J331" t="n">
        <v>0</v>
      </c>
      <c r="K331" t="n">
        <v>0</v>
      </c>
      <c r="L331" t="n">
        <v>0</v>
      </c>
      <c r="M331" t="n">
        <v>0</v>
      </c>
      <c r="N331" t="n">
        <v>0</v>
      </c>
      <c r="O331" t="n">
        <v>0</v>
      </c>
      <c r="P331" t="n">
        <v>0</v>
      </c>
      <c r="Q331" t="n">
        <v>0</v>
      </c>
      <c r="R331" s="2" t="inlineStr"/>
    </row>
    <row r="332" ht="15" customHeight="1">
      <c r="A332" t="inlineStr">
        <is>
          <t>A 8160-2022</t>
        </is>
      </c>
      <c r="B332" s="1" t="n">
        <v>44609</v>
      </c>
      <c r="C332" s="1" t="n">
        <v>46192</v>
      </c>
      <c r="D332" t="inlineStr">
        <is>
          <t>STOCKHOLMS LÄN</t>
        </is>
      </c>
      <c r="E332" t="inlineStr">
        <is>
          <t>NORRTÄLJE</t>
        </is>
      </c>
      <c r="G332" t="n">
        <v>3.9</v>
      </c>
      <c r="H332" t="n">
        <v>0</v>
      </c>
      <c r="I332" t="n">
        <v>0</v>
      </c>
      <c r="J332" t="n">
        <v>0</v>
      </c>
      <c r="K332" t="n">
        <v>0</v>
      </c>
      <c r="L332" t="n">
        <v>0</v>
      </c>
      <c r="M332" t="n">
        <v>0</v>
      </c>
      <c r="N332" t="n">
        <v>0</v>
      </c>
      <c r="O332" t="n">
        <v>0</v>
      </c>
      <c r="P332" t="n">
        <v>0</v>
      </c>
      <c r="Q332" t="n">
        <v>0</v>
      </c>
      <c r="R332" s="2" t="inlineStr"/>
    </row>
    <row r="333" ht="15" customHeight="1">
      <c r="A333" t="inlineStr">
        <is>
          <t>A 13053-2022</t>
        </is>
      </c>
      <c r="B333" s="1" t="n">
        <v>44643</v>
      </c>
      <c r="C333" s="1" t="n">
        <v>46192</v>
      </c>
      <c r="D333" t="inlineStr">
        <is>
          <t>STOCKHOLMS LÄN</t>
        </is>
      </c>
      <c r="E333" t="inlineStr">
        <is>
          <t>NORRTÄLJE</t>
        </is>
      </c>
      <c r="G333" t="n">
        <v>2.8</v>
      </c>
      <c r="H333" t="n">
        <v>0</v>
      </c>
      <c r="I333" t="n">
        <v>0</v>
      </c>
      <c r="J333" t="n">
        <v>0</v>
      </c>
      <c r="K333" t="n">
        <v>0</v>
      </c>
      <c r="L333" t="n">
        <v>0</v>
      </c>
      <c r="M333" t="n">
        <v>0</v>
      </c>
      <c r="N333" t="n">
        <v>0</v>
      </c>
      <c r="O333" t="n">
        <v>0</v>
      </c>
      <c r="P333" t="n">
        <v>0</v>
      </c>
      <c r="Q333" t="n">
        <v>0</v>
      </c>
      <c r="R333" s="2" t="inlineStr"/>
    </row>
    <row r="334" ht="15" customHeight="1">
      <c r="A334" t="inlineStr">
        <is>
          <t>A 39152-2025</t>
        </is>
      </c>
      <c r="B334" s="1" t="n">
        <v>45888</v>
      </c>
      <c r="C334" s="1" t="n">
        <v>46192</v>
      </c>
      <c r="D334" t="inlineStr">
        <is>
          <t>STOCKHOLMS LÄN</t>
        </is>
      </c>
      <c r="E334" t="inlineStr">
        <is>
          <t>NORRTÄLJE</t>
        </is>
      </c>
      <c r="G334" t="n">
        <v>4.6</v>
      </c>
      <c r="H334" t="n">
        <v>0</v>
      </c>
      <c r="I334" t="n">
        <v>0</v>
      </c>
      <c r="J334" t="n">
        <v>0</v>
      </c>
      <c r="K334" t="n">
        <v>0</v>
      </c>
      <c r="L334" t="n">
        <v>0</v>
      </c>
      <c r="M334" t="n">
        <v>0</v>
      </c>
      <c r="N334" t="n">
        <v>0</v>
      </c>
      <c r="O334" t="n">
        <v>0</v>
      </c>
      <c r="P334" t="n">
        <v>0</v>
      </c>
      <c r="Q334" t="n">
        <v>0</v>
      </c>
      <c r="R334" s="2" t="inlineStr"/>
    </row>
    <row r="335" ht="15" customHeight="1">
      <c r="A335" t="inlineStr">
        <is>
          <t>A 39319-2022</t>
        </is>
      </c>
      <c r="B335" s="1" t="n">
        <v>44817</v>
      </c>
      <c r="C335" s="1" t="n">
        <v>46192</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15915-2023</t>
        </is>
      </c>
      <c r="B336" s="1" t="n">
        <v>45022</v>
      </c>
      <c r="C336" s="1" t="n">
        <v>46192</v>
      </c>
      <c r="D336" t="inlineStr">
        <is>
          <t>STOCKHOLMS LÄN</t>
        </is>
      </c>
      <c r="E336" t="inlineStr">
        <is>
          <t>NORRTÄLJE</t>
        </is>
      </c>
      <c r="G336" t="n">
        <v>2.9</v>
      </c>
      <c r="H336" t="n">
        <v>0</v>
      </c>
      <c r="I336" t="n">
        <v>0</v>
      </c>
      <c r="J336" t="n">
        <v>0</v>
      </c>
      <c r="K336" t="n">
        <v>0</v>
      </c>
      <c r="L336" t="n">
        <v>0</v>
      </c>
      <c r="M336" t="n">
        <v>0</v>
      </c>
      <c r="N336" t="n">
        <v>0</v>
      </c>
      <c r="O336" t="n">
        <v>0</v>
      </c>
      <c r="P336" t="n">
        <v>0</v>
      </c>
      <c r="Q336" t="n">
        <v>0</v>
      </c>
      <c r="R336" s="2" t="inlineStr"/>
    </row>
    <row r="337" ht="15" customHeight="1">
      <c r="A337" t="inlineStr">
        <is>
          <t>A 56219-2021</t>
        </is>
      </c>
      <c r="B337" s="1" t="n">
        <v>44477</v>
      </c>
      <c r="C337" s="1" t="n">
        <v>46192</v>
      </c>
      <c r="D337" t="inlineStr">
        <is>
          <t>STOCKHOLMS LÄN</t>
        </is>
      </c>
      <c r="E337" t="inlineStr">
        <is>
          <t>NORRTÄLJE</t>
        </is>
      </c>
      <c r="F337" t="inlineStr">
        <is>
          <t>Kommuner</t>
        </is>
      </c>
      <c r="G337" t="n">
        <v>2.3</v>
      </c>
      <c r="H337" t="n">
        <v>0</v>
      </c>
      <c r="I337" t="n">
        <v>0</v>
      </c>
      <c r="J337" t="n">
        <v>0</v>
      </c>
      <c r="K337" t="n">
        <v>0</v>
      </c>
      <c r="L337" t="n">
        <v>0</v>
      </c>
      <c r="M337" t="n">
        <v>0</v>
      </c>
      <c r="N337" t="n">
        <v>0</v>
      </c>
      <c r="O337" t="n">
        <v>0</v>
      </c>
      <c r="P337" t="n">
        <v>0</v>
      </c>
      <c r="Q337" t="n">
        <v>0</v>
      </c>
      <c r="R337" s="2" t="inlineStr"/>
    </row>
    <row r="338" ht="15" customHeight="1">
      <c r="A338" t="inlineStr">
        <is>
          <t>A 24705-2023</t>
        </is>
      </c>
      <c r="B338" s="1" t="n">
        <v>45084</v>
      </c>
      <c r="C338" s="1" t="n">
        <v>46192</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21696-2024</t>
        </is>
      </c>
      <c r="B339" s="1" t="n">
        <v>45442</v>
      </c>
      <c r="C339" s="1" t="n">
        <v>46192</v>
      </c>
      <c r="D339" t="inlineStr">
        <is>
          <t>STOCKHOLMS LÄN</t>
        </is>
      </c>
      <c r="E339" t="inlineStr">
        <is>
          <t>NORRTÄLJE</t>
        </is>
      </c>
      <c r="G339" t="n">
        <v>2.9</v>
      </c>
      <c r="H339" t="n">
        <v>0</v>
      </c>
      <c r="I339" t="n">
        <v>0</v>
      </c>
      <c r="J339" t="n">
        <v>0</v>
      </c>
      <c r="K339" t="n">
        <v>0</v>
      </c>
      <c r="L339" t="n">
        <v>0</v>
      </c>
      <c r="M339" t="n">
        <v>0</v>
      </c>
      <c r="N339" t="n">
        <v>0</v>
      </c>
      <c r="O339" t="n">
        <v>0</v>
      </c>
      <c r="P339" t="n">
        <v>0</v>
      </c>
      <c r="Q339" t="n">
        <v>0</v>
      </c>
      <c r="R339" s="2" t="inlineStr"/>
    </row>
    <row r="340" ht="15" customHeight="1">
      <c r="A340" t="inlineStr">
        <is>
          <t>A 67990-2021</t>
        </is>
      </c>
      <c r="B340" s="1" t="n">
        <v>44525</v>
      </c>
      <c r="C340" s="1" t="n">
        <v>46192</v>
      </c>
      <c r="D340" t="inlineStr">
        <is>
          <t>STOCKHOLMS LÄN</t>
        </is>
      </c>
      <c r="E340" t="inlineStr">
        <is>
          <t>NORRTÄLJE</t>
        </is>
      </c>
      <c r="F340" t="inlineStr">
        <is>
          <t>Sveaskog</t>
        </is>
      </c>
      <c r="G340" t="n">
        <v>7.8</v>
      </c>
      <c r="H340" t="n">
        <v>0</v>
      </c>
      <c r="I340" t="n">
        <v>0</v>
      </c>
      <c r="J340" t="n">
        <v>0</v>
      </c>
      <c r="K340" t="n">
        <v>0</v>
      </c>
      <c r="L340" t="n">
        <v>0</v>
      </c>
      <c r="M340" t="n">
        <v>0</v>
      </c>
      <c r="N340" t="n">
        <v>0</v>
      </c>
      <c r="O340" t="n">
        <v>0</v>
      </c>
      <c r="P340" t="n">
        <v>0</v>
      </c>
      <c r="Q340" t="n">
        <v>0</v>
      </c>
      <c r="R340" s="2" t="inlineStr"/>
    </row>
    <row r="341" ht="15" customHeight="1">
      <c r="A341" t="inlineStr">
        <is>
          <t>A 15226-2022</t>
        </is>
      </c>
      <c r="B341" s="1" t="n">
        <v>44658</v>
      </c>
      <c r="C341" s="1" t="n">
        <v>46192</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3300-2022</t>
        </is>
      </c>
      <c r="B342" s="1" t="n">
        <v>44584</v>
      </c>
      <c r="C342" s="1" t="n">
        <v>46192</v>
      </c>
      <c r="D342" t="inlineStr">
        <is>
          <t>STOCKHOLMS LÄN</t>
        </is>
      </c>
      <c r="E342" t="inlineStr">
        <is>
          <t>NORRTÄLJE</t>
        </is>
      </c>
      <c r="G342" t="n">
        <v>0.4</v>
      </c>
      <c r="H342" t="n">
        <v>0</v>
      </c>
      <c r="I342" t="n">
        <v>0</v>
      </c>
      <c r="J342" t="n">
        <v>0</v>
      </c>
      <c r="K342" t="n">
        <v>0</v>
      </c>
      <c r="L342" t="n">
        <v>0</v>
      </c>
      <c r="M342" t="n">
        <v>0</v>
      </c>
      <c r="N342" t="n">
        <v>0</v>
      </c>
      <c r="O342" t="n">
        <v>0</v>
      </c>
      <c r="P342" t="n">
        <v>0</v>
      </c>
      <c r="Q342" t="n">
        <v>0</v>
      </c>
      <c r="R342" s="2" t="inlineStr"/>
    </row>
    <row r="343" ht="15" customHeight="1">
      <c r="A343" t="inlineStr">
        <is>
          <t>A 71552-2021</t>
        </is>
      </c>
      <c r="B343" s="1" t="n">
        <v>44540</v>
      </c>
      <c r="C343" s="1" t="n">
        <v>46192</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17388-2022</t>
        </is>
      </c>
      <c r="B344" s="1" t="n">
        <v>44678</v>
      </c>
      <c r="C344" s="1" t="n">
        <v>46192</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73992-2021</t>
        </is>
      </c>
      <c r="B345" s="1" t="n">
        <v>44556</v>
      </c>
      <c r="C345" s="1" t="n">
        <v>46192</v>
      </c>
      <c r="D345" t="inlineStr">
        <is>
          <t>STOCKHOLMS LÄN</t>
        </is>
      </c>
      <c r="E345" t="inlineStr">
        <is>
          <t>NORRTÄLJE</t>
        </is>
      </c>
      <c r="G345" t="n">
        <v>12.5</v>
      </c>
      <c r="H345" t="n">
        <v>0</v>
      </c>
      <c r="I345" t="n">
        <v>0</v>
      </c>
      <c r="J345" t="n">
        <v>0</v>
      </c>
      <c r="K345" t="n">
        <v>0</v>
      </c>
      <c r="L345" t="n">
        <v>0</v>
      </c>
      <c r="M345" t="n">
        <v>0</v>
      </c>
      <c r="N345" t="n">
        <v>0</v>
      </c>
      <c r="O345" t="n">
        <v>0</v>
      </c>
      <c r="P345" t="n">
        <v>0</v>
      </c>
      <c r="Q345" t="n">
        <v>0</v>
      </c>
      <c r="R345" s="2" t="inlineStr"/>
    </row>
    <row r="346" ht="15" customHeight="1">
      <c r="A346" t="inlineStr">
        <is>
          <t>A 17771-2022</t>
        </is>
      </c>
      <c r="B346" s="1" t="n">
        <v>44682</v>
      </c>
      <c r="C346" s="1" t="n">
        <v>46192</v>
      </c>
      <c r="D346" t="inlineStr">
        <is>
          <t>STOCKHOLMS LÄN</t>
        </is>
      </c>
      <c r="E346" t="inlineStr">
        <is>
          <t>NORRTÄLJE</t>
        </is>
      </c>
      <c r="G346" t="n">
        <v>13.3</v>
      </c>
      <c r="H346" t="n">
        <v>0</v>
      </c>
      <c r="I346" t="n">
        <v>0</v>
      </c>
      <c r="J346" t="n">
        <v>0</v>
      </c>
      <c r="K346" t="n">
        <v>0</v>
      </c>
      <c r="L346" t="n">
        <v>0</v>
      </c>
      <c r="M346" t="n">
        <v>0</v>
      </c>
      <c r="N346" t="n">
        <v>0</v>
      </c>
      <c r="O346" t="n">
        <v>0</v>
      </c>
      <c r="P346" t="n">
        <v>0</v>
      </c>
      <c r="Q346" t="n">
        <v>0</v>
      </c>
      <c r="R346" s="2" t="inlineStr"/>
    </row>
    <row r="347" ht="15" customHeight="1">
      <c r="A347" t="inlineStr">
        <is>
          <t>A 17773-2022</t>
        </is>
      </c>
      <c r="B347" s="1" t="n">
        <v>44682</v>
      </c>
      <c r="C347" s="1" t="n">
        <v>46192</v>
      </c>
      <c r="D347" t="inlineStr">
        <is>
          <t>STOCKHOLMS LÄN</t>
        </is>
      </c>
      <c r="E347" t="inlineStr">
        <is>
          <t>NORRTÄLJE</t>
        </is>
      </c>
      <c r="G347" t="n">
        <v>10.8</v>
      </c>
      <c r="H347" t="n">
        <v>0</v>
      </c>
      <c r="I347" t="n">
        <v>0</v>
      </c>
      <c r="J347" t="n">
        <v>0</v>
      </c>
      <c r="K347" t="n">
        <v>0</v>
      </c>
      <c r="L347" t="n">
        <v>0</v>
      </c>
      <c r="M347" t="n">
        <v>0</v>
      </c>
      <c r="N347" t="n">
        <v>0</v>
      </c>
      <c r="O347" t="n">
        <v>0</v>
      </c>
      <c r="P347" t="n">
        <v>0</v>
      </c>
      <c r="Q347" t="n">
        <v>0</v>
      </c>
      <c r="R347" s="2" t="inlineStr"/>
    </row>
    <row r="348" ht="15" customHeight="1">
      <c r="A348" t="inlineStr">
        <is>
          <t>A 10521-2022</t>
        </is>
      </c>
      <c r="B348" s="1" t="n">
        <v>44623</v>
      </c>
      <c r="C348" s="1" t="n">
        <v>46192</v>
      </c>
      <c r="D348" t="inlineStr">
        <is>
          <t>STOCKHOLMS LÄN</t>
        </is>
      </c>
      <c r="E348" t="inlineStr">
        <is>
          <t>NORRTÄLJE</t>
        </is>
      </c>
      <c r="G348" t="n">
        <v>2.9</v>
      </c>
      <c r="H348" t="n">
        <v>0</v>
      </c>
      <c r="I348" t="n">
        <v>0</v>
      </c>
      <c r="J348" t="n">
        <v>0</v>
      </c>
      <c r="K348" t="n">
        <v>0</v>
      </c>
      <c r="L348" t="n">
        <v>0</v>
      </c>
      <c r="M348" t="n">
        <v>0</v>
      </c>
      <c r="N348" t="n">
        <v>0</v>
      </c>
      <c r="O348" t="n">
        <v>0</v>
      </c>
      <c r="P348" t="n">
        <v>0</v>
      </c>
      <c r="Q348" t="n">
        <v>0</v>
      </c>
      <c r="R348" s="2" t="inlineStr"/>
    </row>
    <row r="349" ht="15" customHeight="1">
      <c r="A349" t="inlineStr">
        <is>
          <t>A 48716-2023</t>
        </is>
      </c>
      <c r="B349" s="1" t="n">
        <v>45208</v>
      </c>
      <c r="C349" s="1" t="n">
        <v>46192</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5027-2025</t>
        </is>
      </c>
      <c r="B350" s="1" t="n">
        <v>45691</v>
      </c>
      <c r="C350" s="1" t="n">
        <v>46192</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26113-2024</t>
        </is>
      </c>
      <c r="B351" s="1" t="n">
        <v>45468</v>
      </c>
      <c r="C351" s="1" t="n">
        <v>46192</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26116-2024</t>
        </is>
      </c>
      <c r="B352" s="1" t="n">
        <v>45468</v>
      </c>
      <c r="C352" s="1" t="n">
        <v>46192</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64137-2021</t>
        </is>
      </c>
      <c r="B353" s="1" t="n">
        <v>44510</v>
      </c>
      <c r="C353" s="1" t="n">
        <v>46192</v>
      </c>
      <c r="D353" t="inlineStr">
        <is>
          <t>STOCKHOLMS LÄN</t>
        </is>
      </c>
      <c r="E353" t="inlineStr">
        <is>
          <t>NORRTÄLJE</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34391-2023</t>
        </is>
      </c>
      <c r="B354" s="1" t="n">
        <v>45139</v>
      </c>
      <c r="C354" s="1" t="n">
        <v>46192</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35256-2025</t>
        </is>
      </c>
      <c r="B355" s="1" t="n">
        <v>45853</v>
      </c>
      <c r="C355" s="1" t="n">
        <v>46192</v>
      </c>
      <c r="D355" t="inlineStr">
        <is>
          <t>STOCKHOLMS LÄN</t>
        </is>
      </c>
      <c r="E355" t="inlineStr">
        <is>
          <t>NORRTÄLJE</t>
        </is>
      </c>
      <c r="G355" t="n">
        <v>6.4</v>
      </c>
      <c r="H355" t="n">
        <v>0</v>
      </c>
      <c r="I355" t="n">
        <v>0</v>
      </c>
      <c r="J355" t="n">
        <v>0</v>
      </c>
      <c r="K355" t="n">
        <v>0</v>
      </c>
      <c r="L355" t="n">
        <v>0</v>
      </c>
      <c r="M355" t="n">
        <v>0</v>
      </c>
      <c r="N355" t="n">
        <v>0</v>
      </c>
      <c r="O355" t="n">
        <v>0</v>
      </c>
      <c r="P355" t="n">
        <v>0</v>
      </c>
      <c r="Q355" t="n">
        <v>0</v>
      </c>
      <c r="R355" s="2" t="inlineStr"/>
    </row>
    <row r="356" ht="15" customHeight="1">
      <c r="A356" t="inlineStr">
        <is>
          <t>A 67921-2021</t>
        </is>
      </c>
      <c r="B356" s="1" t="n">
        <v>44525</v>
      </c>
      <c r="C356" s="1" t="n">
        <v>46192</v>
      </c>
      <c r="D356" t="inlineStr">
        <is>
          <t>STOCKHOLMS LÄN</t>
        </is>
      </c>
      <c r="E356" t="inlineStr">
        <is>
          <t>NORRTÄLJE</t>
        </is>
      </c>
      <c r="G356" t="n">
        <v>6.3</v>
      </c>
      <c r="H356" t="n">
        <v>0</v>
      </c>
      <c r="I356" t="n">
        <v>0</v>
      </c>
      <c r="J356" t="n">
        <v>0</v>
      </c>
      <c r="K356" t="n">
        <v>0</v>
      </c>
      <c r="L356" t="n">
        <v>0</v>
      </c>
      <c r="M356" t="n">
        <v>0</v>
      </c>
      <c r="N356" t="n">
        <v>0</v>
      </c>
      <c r="O356" t="n">
        <v>0</v>
      </c>
      <c r="P356" t="n">
        <v>0</v>
      </c>
      <c r="Q356" t="n">
        <v>0</v>
      </c>
      <c r="R356" s="2" t="inlineStr"/>
    </row>
    <row r="357" ht="15" customHeight="1">
      <c r="A357" t="inlineStr">
        <is>
          <t>A 25681-2024</t>
        </is>
      </c>
      <c r="B357" s="1" t="n">
        <v>45463</v>
      </c>
      <c r="C357" s="1" t="n">
        <v>46192</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39692-2025</t>
        </is>
      </c>
      <c r="B358" s="1" t="n">
        <v>45890</v>
      </c>
      <c r="C358" s="1" t="n">
        <v>46192</v>
      </c>
      <c r="D358" t="inlineStr">
        <is>
          <t>STOCKHOLMS LÄN</t>
        </is>
      </c>
      <c r="E358" t="inlineStr">
        <is>
          <t>NORRTÄLJE</t>
        </is>
      </c>
      <c r="G358" t="n">
        <v>10.5</v>
      </c>
      <c r="H358" t="n">
        <v>0</v>
      </c>
      <c r="I358" t="n">
        <v>0</v>
      </c>
      <c r="J358" t="n">
        <v>0</v>
      </c>
      <c r="K358" t="n">
        <v>0</v>
      </c>
      <c r="L358" t="n">
        <v>0</v>
      </c>
      <c r="M358" t="n">
        <v>0</v>
      </c>
      <c r="N358" t="n">
        <v>0</v>
      </c>
      <c r="O358" t="n">
        <v>0</v>
      </c>
      <c r="P358" t="n">
        <v>0</v>
      </c>
      <c r="Q358" t="n">
        <v>0</v>
      </c>
      <c r="R358" s="2" t="inlineStr"/>
    </row>
    <row r="359" ht="15" customHeight="1">
      <c r="A359" t="inlineStr">
        <is>
          <t>A 12268-2022</t>
        </is>
      </c>
      <c r="B359" s="1" t="n">
        <v>44637</v>
      </c>
      <c r="C359" s="1" t="n">
        <v>46192</v>
      </c>
      <c r="D359" t="inlineStr">
        <is>
          <t>STOCKHOLMS LÄN</t>
        </is>
      </c>
      <c r="E359" t="inlineStr">
        <is>
          <t>NORRTÄLJE</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47498-2025</t>
        </is>
      </c>
      <c r="B360" s="1" t="n">
        <v>45930</v>
      </c>
      <c r="C360" s="1" t="n">
        <v>46192</v>
      </c>
      <c r="D360" t="inlineStr">
        <is>
          <t>STOCKHOLMS LÄN</t>
        </is>
      </c>
      <c r="E360" t="inlineStr">
        <is>
          <t>NORRTÄLJE</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20015-2023</t>
        </is>
      </c>
      <c r="B361" s="1" t="n">
        <v>45054</v>
      </c>
      <c r="C361" s="1" t="n">
        <v>46192</v>
      </c>
      <c r="D361" t="inlineStr">
        <is>
          <t>STOCKHOLMS LÄN</t>
        </is>
      </c>
      <c r="E361" t="inlineStr">
        <is>
          <t>NORRTÄLJE</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47496-2025</t>
        </is>
      </c>
      <c r="B362" s="1" t="n">
        <v>45930</v>
      </c>
      <c r="C362" s="1" t="n">
        <v>46192</v>
      </c>
      <c r="D362" t="inlineStr">
        <is>
          <t>STOCKHOLMS LÄN</t>
        </is>
      </c>
      <c r="E362" t="inlineStr">
        <is>
          <t>NORRTÄLJE</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47497-2025</t>
        </is>
      </c>
      <c r="B363" s="1" t="n">
        <v>45930</v>
      </c>
      <c r="C363" s="1" t="n">
        <v>46192</v>
      </c>
      <c r="D363" t="inlineStr">
        <is>
          <t>STOCKHOLMS LÄN</t>
        </is>
      </c>
      <c r="E363" t="inlineStr">
        <is>
          <t>NORRTÄLJE</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35639-2025</t>
        </is>
      </c>
      <c r="B364" s="1" t="n">
        <v>45859</v>
      </c>
      <c r="C364" s="1" t="n">
        <v>46192</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48364-2025</t>
        </is>
      </c>
      <c r="B365" s="1" t="n">
        <v>45933</v>
      </c>
      <c r="C365" s="1" t="n">
        <v>46192</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15256-2023</t>
        </is>
      </c>
      <c r="B366" s="1" t="n">
        <v>45019</v>
      </c>
      <c r="C366" s="1" t="n">
        <v>46192</v>
      </c>
      <c r="D366" t="inlineStr">
        <is>
          <t>STOCKHOLMS LÄN</t>
        </is>
      </c>
      <c r="E366" t="inlineStr">
        <is>
          <t>NORRTÄLJE</t>
        </is>
      </c>
      <c r="G366" t="n">
        <v>2.4</v>
      </c>
      <c r="H366" t="n">
        <v>0</v>
      </c>
      <c r="I366" t="n">
        <v>0</v>
      </c>
      <c r="J366" t="n">
        <v>0</v>
      </c>
      <c r="K366" t="n">
        <v>0</v>
      </c>
      <c r="L366" t="n">
        <v>0</v>
      </c>
      <c r="M366" t="n">
        <v>0</v>
      </c>
      <c r="N366" t="n">
        <v>0</v>
      </c>
      <c r="O366" t="n">
        <v>0</v>
      </c>
      <c r="P366" t="n">
        <v>0</v>
      </c>
      <c r="Q366" t="n">
        <v>0</v>
      </c>
      <c r="R366" s="2" t="inlineStr"/>
    </row>
    <row r="367" ht="15" customHeight="1">
      <c r="A367" t="inlineStr">
        <is>
          <t>A 35636-2025</t>
        </is>
      </c>
      <c r="B367" s="1" t="n">
        <v>45859</v>
      </c>
      <c r="C367" s="1" t="n">
        <v>46192</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20428-2024</t>
        </is>
      </c>
      <c r="B368" s="1" t="n">
        <v>45435</v>
      </c>
      <c r="C368" s="1" t="n">
        <v>46192</v>
      </c>
      <c r="D368" t="inlineStr">
        <is>
          <t>STOCKHOLMS LÄN</t>
        </is>
      </c>
      <c r="E368" t="inlineStr">
        <is>
          <t>NORRTÄLJE</t>
        </is>
      </c>
      <c r="G368" t="n">
        <v>3.7</v>
      </c>
      <c r="H368" t="n">
        <v>0</v>
      </c>
      <c r="I368" t="n">
        <v>0</v>
      </c>
      <c r="J368" t="n">
        <v>0</v>
      </c>
      <c r="K368" t="n">
        <v>0</v>
      </c>
      <c r="L368" t="n">
        <v>0</v>
      </c>
      <c r="M368" t="n">
        <v>0</v>
      </c>
      <c r="N368" t="n">
        <v>0</v>
      </c>
      <c r="O368" t="n">
        <v>0</v>
      </c>
      <c r="P368" t="n">
        <v>0</v>
      </c>
      <c r="Q368" t="n">
        <v>0</v>
      </c>
      <c r="R368" s="2" t="inlineStr"/>
    </row>
    <row r="369" ht="15" customHeight="1">
      <c r="A369" t="inlineStr">
        <is>
          <t>A 40033-2025</t>
        </is>
      </c>
      <c r="B369" s="1" t="n">
        <v>45893</v>
      </c>
      <c r="C369" s="1" t="n">
        <v>46192</v>
      </c>
      <c r="D369" t="inlineStr">
        <is>
          <t>STOCKHOLMS LÄN</t>
        </is>
      </c>
      <c r="E369" t="inlineStr">
        <is>
          <t>NORRTÄLJE</t>
        </is>
      </c>
      <c r="G369" t="n">
        <v>1.7</v>
      </c>
      <c r="H369" t="n">
        <v>0</v>
      </c>
      <c r="I369" t="n">
        <v>0</v>
      </c>
      <c r="J369" t="n">
        <v>0</v>
      </c>
      <c r="K369" t="n">
        <v>0</v>
      </c>
      <c r="L369" t="n">
        <v>0</v>
      </c>
      <c r="M369" t="n">
        <v>0</v>
      </c>
      <c r="N369" t="n">
        <v>0</v>
      </c>
      <c r="O369" t="n">
        <v>0</v>
      </c>
      <c r="P369" t="n">
        <v>0</v>
      </c>
      <c r="Q369" t="n">
        <v>0</v>
      </c>
      <c r="R369" s="2" t="inlineStr"/>
    </row>
    <row r="370" ht="15" customHeight="1">
      <c r="A370" t="inlineStr">
        <is>
          <t>A 40032-2025</t>
        </is>
      </c>
      <c r="B370" s="1" t="n">
        <v>45893</v>
      </c>
      <c r="C370" s="1" t="n">
        <v>46192</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48174-2025</t>
        </is>
      </c>
      <c r="B371" s="1" t="n">
        <v>45933</v>
      </c>
      <c r="C371" s="1" t="n">
        <v>46192</v>
      </c>
      <c r="D371" t="inlineStr">
        <is>
          <t>STOCKHOLMS LÄN</t>
        </is>
      </c>
      <c r="E371" t="inlineStr">
        <is>
          <t>NORRTÄLJE</t>
        </is>
      </c>
      <c r="G371" t="n">
        <v>2.6</v>
      </c>
      <c r="H371" t="n">
        <v>0</v>
      </c>
      <c r="I371" t="n">
        <v>0</v>
      </c>
      <c r="J371" t="n">
        <v>0</v>
      </c>
      <c r="K371" t="n">
        <v>0</v>
      </c>
      <c r="L371" t="n">
        <v>0</v>
      </c>
      <c r="M371" t="n">
        <v>0</v>
      </c>
      <c r="N371" t="n">
        <v>0</v>
      </c>
      <c r="O371" t="n">
        <v>0</v>
      </c>
      <c r="P371" t="n">
        <v>0</v>
      </c>
      <c r="Q371" t="n">
        <v>0</v>
      </c>
      <c r="R371" s="2" t="inlineStr"/>
    </row>
    <row r="372" ht="15" customHeight="1">
      <c r="A372" t="inlineStr">
        <is>
          <t>A 40292-2025</t>
        </is>
      </c>
      <c r="B372" s="1" t="n">
        <v>45895</v>
      </c>
      <c r="C372" s="1" t="n">
        <v>46192</v>
      </c>
      <c r="D372" t="inlineStr">
        <is>
          <t>STOCKHOLMS LÄN</t>
        </is>
      </c>
      <c r="E372" t="inlineStr">
        <is>
          <t>NORRTÄLJE</t>
        </is>
      </c>
      <c r="G372" t="n">
        <v>3.5</v>
      </c>
      <c r="H372" t="n">
        <v>0</v>
      </c>
      <c r="I372" t="n">
        <v>0</v>
      </c>
      <c r="J372" t="n">
        <v>0</v>
      </c>
      <c r="K372" t="n">
        <v>0</v>
      </c>
      <c r="L372" t="n">
        <v>0</v>
      </c>
      <c r="M372" t="n">
        <v>0</v>
      </c>
      <c r="N372" t="n">
        <v>0</v>
      </c>
      <c r="O372" t="n">
        <v>0</v>
      </c>
      <c r="P372" t="n">
        <v>0</v>
      </c>
      <c r="Q372" t="n">
        <v>0</v>
      </c>
      <c r="R372" s="2" t="inlineStr"/>
    </row>
    <row r="373" ht="15" customHeight="1">
      <c r="A373" t="inlineStr">
        <is>
          <t>A 40228-2025</t>
        </is>
      </c>
      <c r="B373" s="1" t="n">
        <v>45894</v>
      </c>
      <c r="C373" s="1" t="n">
        <v>46192</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48718-2025</t>
        </is>
      </c>
      <c r="B374" s="1" t="n">
        <v>45936</v>
      </c>
      <c r="C374" s="1" t="n">
        <v>46192</v>
      </c>
      <c r="D374" t="inlineStr">
        <is>
          <t>STOCKHOLMS LÄN</t>
        </is>
      </c>
      <c r="E374" t="inlineStr">
        <is>
          <t>NORRTÄLJE</t>
        </is>
      </c>
      <c r="G374" t="n">
        <v>2.1</v>
      </c>
      <c r="H374" t="n">
        <v>0</v>
      </c>
      <c r="I374" t="n">
        <v>0</v>
      </c>
      <c r="J374" t="n">
        <v>0</v>
      </c>
      <c r="K374" t="n">
        <v>0</v>
      </c>
      <c r="L374" t="n">
        <v>0</v>
      </c>
      <c r="M374" t="n">
        <v>0</v>
      </c>
      <c r="N374" t="n">
        <v>0</v>
      </c>
      <c r="O374" t="n">
        <v>0</v>
      </c>
      <c r="P374" t="n">
        <v>0</v>
      </c>
      <c r="Q374" t="n">
        <v>0</v>
      </c>
      <c r="R374" s="2" t="inlineStr"/>
    </row>
    <row r="375" ht="15" customHeight="1">
      <c r="A375" t="inlineStr">
        <is>
          <t>A 40230-2025</t>
        </is>
      </c>
      <c r="B375" s="1" t="n">
        <v>45894</v>
      </c>
      <c r="C375" s="1" t="n">
        <v>46192</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40217-2025</t>
        </is>
      </c>
      <c r="B376" s="1" t="n">
        <v>45894</v>
      </c>
      <c r="C376" s="1" t="n">
        <v>46192</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40097-2025</t>
        </is>
      </c>
      <c r="B377" s="1" t="n">
        <v>45894</v>
      </c>
      <c r="C377" s="1" t="n">
        <v>46192</v>
      </c>
      <c r="D377" t="inlineStr">
        <is>
          <t>STOCKHOLMS LÄN</t>
        </is>
      </c>
      <c r="E377" t="inlineStr">
        <is>
          <t>NORRTÄLJE</t>
        </is>
      </c>
      <c r="G377" t="n">
        <v>3</v>
      </c>
      <c r="H377" t="n">
        <v>0</v>
      </c>
      <c r="I377" t="n">
        <v>0</v>
      </c>
      <c r="J377" t="n">
        <v>0</v>
      </c>
      <c r="K377" t="n">
        <v>0</v>
      </c>
      <c r="L377" t="n">
        <v>0</v>
      </c>
      <c r="M377" t="n">
        <v>0</v>
      </c>
      <c r="N377" t="n">
        <v>0</v>
      </c>
      <c r="O377" t="n">
        <v>0</v>
      </c>
      <c r="P377" t="n">
        <v>0</v>
      </c>
      <c r="Q377" t="n">
        <v>0</v>
      </c>
      <c r="R377" s="2" t="inlineStr"/>
    </row>
    <row r="378" ht="15" customHeight="1">
      <c r="A378" t="inlineStr">
        <is>
          <t>A 48443-2025</t>
        </is>
      </c>
      <c r="B378" s="1" t="n">
        <v>45935</v>
      </c>
      <c r="C378" s="1" t="n">
        <v>46192</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40829-2025</t>
        </is>
      </c>
      <c r="B379" s="1" t="n">
        <v>45897</v>
      </c>
      <c r="C379" s="1" t="n">
        <v>46192</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40837-2025</t>
        </is>
      </c>
      <c r="B380" s="1" t="n">
        <v>45897</v>
      </c>
      <c r="C380" s="1" t="n">
        <v>46192</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40529-2025</t>
        </is>
      </c>
      <c r="B381" s="1" t="n">
        <v>45896</v>
      </c>
      <c r="C381" s="1" t="n">
        <v>46192</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40831-2025</t>
        </is>
      </c>
      <c r="B382" s="1" t="n">
        <v>45897</v>
      </c>
      <c r="C382" s="1" t="n">
        <v>46192</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58853-2024</t>
        </is>
      </c>
      <c r="B383" s="1" t="n">
        <v>45636</v>
      </c>
      <c r="C383" s="1" t="n">
        <v>46192</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48780-2025</t>
        </is>
      </c>
      <c r="B384" s="1" t="n">
        <v>45937</v>
      </c>
      <c r="C384" s="1" t="n">
        <v>46192</v>
      </c>
      <c r="D384" t="inlineStr">
        <is>
          <t>STOCKHOLMS LÄN</t>
        </is>
      </c>
      <c r="E384" t="inlineStr">
        <is>
          <t>NORRTÄLJE</t>
        </is>
      </c>
      <c r="G384" t="n">
        <v>7.7</v>
      </c>
      <c r="H384" t="n">
        <v>0</v>
      </c>
      <c r="I384" t="n">
        <v>0</v>
      </c>
      <c r="J384" t="n">
        <v>0</v>
      </c>
      <c r="K384" t="n">
        <v>0</v>
      </c>
      <c r="L384" t="n">
        <v>0</v>
      </c>
      <c r="M384" t="n">
        <v>0</v>
      </c>
      <c r="N384" t="n">
        <v>0</v>
      </c>
      <c r="O384" t="n">
        <v>0</v>
      </c>
      <c r="P384" t="n">
        <v>0</v>
      </c>
      <c r="Q384" t="n">
        <v>0</v>
      </c>
      <c r="R384" s="2" t="inlineStr"/>
    </row>
    <row r="385" ht="15" customHeight="1">
      <c r="A385" t="inlineStr">
        <is>
          <t>A 64145-2021</t>
        </is>
      </c>
      <c r="B385" s="1" t="n">
        <v>44510</v>
      </c>
      <c r="C385" s="1" t="n">
        <v>46192</v>
      </c>
      <c r="D385" t="inlineStr">
        <is>
          <t>STOCKHOLMS LÄN</t>
        </is>
      </c>
      <c r="E385" t="inlineStr">
        <is>
          <t>NORRTÄLJE</t>
        </is>
      </c>
      <c r="F385" t="inlineStr">
        <is>
          <t>Holmen skog AB</t>
        </is>
      </c>
      <c r="G385" t="n">
        <v>1.5</v>
      </c>
      <c r="H385" t="n">
        <v>0</v>
      </c>
      <c r="I385" t="n">
        <v>0</v>
      </c>
      <c r="J385" t="n">
        <v>0</v>
      </c>
      <c r="K385" t="n">
        <v>0</v>
      </c>
      <c r="L385" t="n">
        <v>0</v>
      </c>
      <c r="M385" t="n">
        <v>0</v>
      </c>
      <c r="N385" t="n">
        <v>0</v>
      </c>
      <c r="O385" t="n">
        <v>0</v>
      </c>
      <c r="P385" t="n">
        <v>0</v>
      </c>
      <c r="Q385" t="n">
        <v>0</v>
      </c>
      <c r="R385" s="2" t="inlineStr"/>
    </row>
    <row r="386" ht="15" customHeight="1">
      <c r="A386" t="inlineStr">
        <is>
          <t>A 1740-2023</t>
        </is>
      </c>
      <c r="B386" s="1" t="n">
        <v>44938</v>
      </c>
      <c r="C386" s="1" t="n">
        <v>46192</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4596-2023</t>
        </is>
      </c>
      <c r="B387" s="1" t="n">
        <v>44956</v>
      </c>
      <c r="C387" s="1" t="n">
        <v>46192</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41158-2025</t>
        </is>
      </c>
      <c r="B388" s="1" t="n">
        <v>45898</v>
      </c>
      <c r="C388" s="1" t="n">
        <v>46192</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19058-2024</t>
        </is>
      </c>
      <c r="B389" s="1" t="n">
        <v>45427</v>
      </c>
      <c r="C389" s="1" t="n">
        <v>46192</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10676-2025</t>
        </is>
      </c>
      <c r="B390" s="1" t="n">
        <v>45721</v>
      </c>
      <c r="C390" s="1" t="n">
        <v>46192</v>
      </c>
      <c r="D390" t="inlineStr">
        <is>
          <t>STOCKHOLMS LÄN</t>
        </is>
      </c>
      <c r="E390" t="inlineStr">
        <is>
          <t>NORRTÄLJE</t>
        </is>
      </c>
      <c r="G390" t="n">
        <v>1.3</v>
      </c>
      <c r="H390" t="n">
        <v>0</v>
      </c>
      <c r="I390" t="n">
        <v>0</v>
      </c>
      <c r="J390" t="n">
        <v>0</v>
      </c>
      <c r="K390" t="n">
        <v>0</v>
      </c>
      <c r="L390" t="n">
        <v>0</v>
      </c>
      <c r="M390" t="n">
        <v>0</v>
      </c>
      <c r="N390" t="n">
        <v>0</v>
      </c>
      <c r="O390" t="n">
        <v>0</v>
      </c>
      <c r="P390" t="n">
        <v>0</v>
      </c>
      <c r="Q390" t="n">
        <v>0</v>
      </c>
      <c r="R390" s="2" t="inlineStr"/>
    </row>
    <row r="391" ht="15" customHeight="1">
      <c r="A391" t="inlineStr">
        <is>
          <t>A 49129-2025</t>
        </is>
      </c>
      <c r="B391" s="1" t="n">
        <v>45937</v>
      </c>
      <c r="C391" s="1" t="n">
        <v>46192</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41174-2025</t>
        </is>
      </c>
      <c r="B392" s="1" t="n">
        <v>45898</v>
      </c>
      <c r="C392" s="1" t="n">
        <v>46192</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41110-2025</t>
        </is>
      </c>
      <c r="B393" s="1" t="n">
        <v>45898</v>
      </c>
      <c r="C393" s="1" t="n">
        <v>46192</v>
      </c>
      <c r="D393" t="inlineStr">
        <is>
          <t>STOCKHOLMS LÄN</t>
        </is>
      </c>
      <c r="E393" t="inlineStr">
        <is>
          <t>NORRTÄLJE</t>
        </is>
      </c>
      <c r="F393" t="inlineStr">
        <is>
          <t>Holmen skog AB</t>
        </is>
      </c>
      <c r="G393" t="n">
        <v>6.7</v>
      </c>
      <c r="H393" t="n">
        <v>0</v>
      </c>
      <c r="I393" t="n">
        <v>0</v>
      </c>
      <c r="J393" t="n">
        <v>0</v>
      </c>
      <c r="K393" t="n">
        <v>0</v>
      </c>
      <c r="L393" t="n">
        <v>0</v>
      </c>
      <c r="M393" t="n">
        <v>0</v>
      </c>
      <c r="N393" t="n">
        <v>0</v>
      </c>
      <c r="O393" t="n">
        <v>0</v>
      </c>
      <c r="P393" t="n">
        <v>0</v>
      </c>
      <c r="Q393" t="n">
        <v>0</v>
      </c>
      <c r="R393" s="2" t="inlineStr"/>
    </row>
    <row r="394" ht="15" customHeight="1">
      <c r="A394" t="inlineStr">
        <is>
          <t>A 10511-2025</t>
        </is>
      </c>
      <c r="B394" s="1" t="n">
        <v>45721</v>
      </c>
      <c r="C394" s="1" t="n">
        <v>46192</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19982-2022</t>
        </is>
      </c>
      <c r="B395" s="1" t="n">
        <v>44697</v>
      </c>
      <c r="C395" s="1" t="n">
        <v>46192</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50327-2025</t>
        </is>
      </c>
      <c r="B396" s="1" t="n">
        <v>45944</v>
      </c>
      <c r="C396" s="1" t="n">
        <v>46192</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50108-2021</t>
        </is>
      </c>
      <c r="B397" s="1" t="n">
        <v>44456</v>
      </c>
      <c r="C397" s="1" t="n">
        <v>46192</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50563-2025</t>
        </is>
      </c>
      <c r="B398" s="1" t="n">
        <v>45944</v>
      </c>
      <c r="C398" s="1" t="n">
        <v>46192</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51233-2025</t>
        </is>
      </c>
      <c r="B399" s="1" t="n">
        <v>45947</v>
      </c>
      <c r="C399" s="1" t="n">
        <v>46192</v>
      </c>
      <c r="D399" t="inlineStr">
        <is>
          <t>STOCKHOLMS LÄN</t>
        </is>
      </c>
      <c r="E399" t="inlineStr">
        <is>
          <t>NORRTÄLJE</t>
        </is>
      </c>
      <c r="F399" t="inlineStr">
        <is>
          <t>Naturvårdsverket</t>
        </is>
      </c>
      <c r="G399" t="n">
        <v>8.1</v>
      </c>
      <c r="H399" t="n">
        <v>0</v>
      </c>
      <c r="I399" t="n">
        <v>0</v>
      </c>
      <c r="J399" t="n">
        <v>0</v>
      </c>
      <c r="K399" t="n">
        <v>0</v>
      </c>
      <c r="L399" t="n">
        <v>0</v>
      </c>
      <c r="M399" t="n">
        <v>0</v>
      </c>
      <c r="N399" t="n">
        <v>0</v>
      </c>
      <c r="O399" t="n">
        <v>0</v>
      </c>
      <c r="P399" t="n">
        <v>0</v>
      </c>
      <c r="Q399" t="n">
        <v>0</v>
      </c>
      <c r="R399" s="2" t="inlineStr"/>
    </row>
    <row r="400" ht="15" customHeight="1">
      <c r="A400" t="inlineStr">
        <is>
          <t>A 51236-2025</t>
        </is>
      </c>
      <c r="B400" s="1" t="n">
        <v>45947</v>
      </c>
      <c r="C400" s="1" t="n">
        <v>46192</v>
      </c>
      <c r="D400" t="inlineStr">
        <is>
          <t>STOCKHOLMS LÄN</t>
        </is>
      </c>
      <c r="E400" t="inlineStr">
        <is>
          <t>NORRTÄLJE</t>
        </is>
      </c>
      <c r="F400" t="inlineStr">
        <is>
          <t>Naturvårdsverket</t>
        </is>
      </c>
      <c r="G400" t="n">
        <v>6.3</v>
      </c>
      <c r="H400" t="n">
        <v>0</v>
      </c>
      <c r="I400" t="n">
        <v>0</v>
      </c>
      <c r="J400" t="n">
        <v>0</v>
      </c>
      <c r="K400" t="n">
        <v>0</v>
      </c>
      <c r="L400" t="n">
        <v>0</v>
      </c>
      <c r="M400" t="n">
        <v>0</v>
      </c>
      <c r="N400" t="n">
        <v>0</v>
      </c>
      <c r="O400" t="n">
        <v>0</v>
      </c>
      <c r="P400" t="n">
        <v>0</v>
      </c>
      <c r="Q400" t="n">
        <v>0</v>
      </c>
      <c r="R400" s="2" t="inlineStr"/>
    </row>
    <row r="401" ht="15" customHeight="1">
      <c r="A401" t="inlineStr">
        <is>
          <t>A 51241-2025</t>
        </is>
      </c>
      <c r="B401" s="1" t="n">
        <v>45947</v>
      </c>
      <c r="C401" s="1" t="n">
        <v>46192</v>
      </c>
      <c r="D401" t="inlineStr">
        <is>
          <t>STOCKHOLMS LÄN</t>
        </is>
      </c>
      <c r="E401" t="inlineStr">
        <is>
          <t>NORRTÄLJE</t>
        </is>
      </c>
      <c r="F401" t="inlineStr">
        <is>
          <t>Naturvårdsverket</t>
        </is>
      </c>
      <c r="G401" t="n">
        <v>6.4</v>
      </c>
      <c r="H401" t="n">
        <v>0</v>
      </c>
      <c r="I401" t="n">
        <v>0</v>
      </c>
      <c r="J401" t="n">
        <v>0</v>
      </c>
      <c r="K401" t="n">
        <v>0</v>
      </c>
      <c r="L401" t="n">
        <v>0</v>
      </c>
      <c r="M401" t="n">
        <v>0</v>
      </c>
      <c r="N401" t="n">
        <v>0</v>
      </c>
      <c r="O401" t="n">
        <v>0</v>
      </c>
      <c r="P401" t="n">
        <v>0</v>
      </c>
      <c r="Q401" t="n">
        <v>0</v>
      </c>
      <c r="R401" s="2" t="inlineStr"/>
    </row>
    <row r="402" ht="15" customHeight="1">
      <c r="A402" t="inlineStr">
        <is>
          <t>A 51240-2025</t>
        </is>
      </c>
      <c r="B402" s="1" t="n">
        <v>45947</v>
      </c>
      <c r="C402" s="1" t="n">
        <v>46192</v>
      </c>
      <c r="D402" t="inlineStr">
        <is>
          <t>STOCKHOLMS LÄN</t>
        </is>
      </c>
      <c r="E402" t="inlineStr">
        <is>
          <t>NORRTÄLJE</t>
        </is>
      </c>
      <c r="F402" t="inlineStr">
        <is>
          <t>Naturvårdsverket</t>
        </is>
      </c>
      <c r="G402" t="n">
        <v>3</v>
      </c>
      <c r="H402" t="n">
        <v>0</v>
      </c>
      <c r="I402" t="n">
        <v>0</v>
      </c>
      <c r="J402" t="n">
        <v>0</v>
      </c>
      <c r="K402" t="n">
        <v>0</v>
      </c>
      <c r="L402" t="n">
        <v>0</v>
      </c>
      <c r="M402" t="n">
        <v>0</v>
      </c>
      <c r="N402" t="n">
        <v>0</v>
      </c>
      <c r="O402" t="n">
        <v>0</v>
      </c>
      <c r="P402" t="n">
        <v>0</v>
      </c>
      <c r="Q402" t="n">
        <v>0</v>
      </c>
      <c r="R402" s="2" t="inlineStr"/>
    </row>
    <row r="403" ht="15" customHeight="1">
      <c r="A403" t="inlineStr">
        <is>
          <t>A 35438-2023</t>
        </is>
      </c>
      <c r="B403" s="1" t="n">
        <v>45146</v>
      </c>
      <c r="C403" s="1" t="n">
        <v>46192</v>
      </c>
      <c r="D403" t="inlineStr">
        <is>
          <t>STOCKHOLMS LÄN</t>
        </is>
      </c>
      <c r="E403" t="inlineStr">
        <is>
          <t>NORRTÄLJE</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51121-2025</t>
        </is>
      </c>
      <c r="B404" s="1" t="n">
        <v>45947</v>
      </c>
      <c r="C404" s="1" t="n">
        <v>46192</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50355-2024</t>
        </is>
      </c>
      <c r="B405" s="1" t="n">
        <v>45600</v>
      </c>
      <c r="C405" s="1" t="n">
        <v>46192</v>
      </c>
      <c r="D405" t="inlineStr">
        <is>
          <t>STOCKHOLMS LÄN</t>
        </is>
      </c>
      <c r="E405" t="inlineStr">
        <is>
          <t>NORRTÄLJE</t>
        </is>
      </c>
      <c r="F405" t="inlineStr">
        <is>
          <t>Kommuner</t>
        </is>
      </c>
      <c r="G405" t="n">
        <v>1</v>
      </c>
      <c r="H405" t="n">
        <v>0</v>
      </c>
      <c r="I405" t="n">
        <v>0</v>
      </c>
      <c r="J405" t="n">
        <v>0</v>
      </c>
      <c r="K405" t="n">
        <v>0</v>
      </c>
      <c r="L405" t="n">
        <v>0</v>
      </c>
      <c r="M405" t="n">
        <v>0</v>
      </c>
      <c r="N405" t="n">
        <v>0</v>
      </c>
      <c r="O405" t="n">
        <v>0</v>
      </c>
      <c r="P405" t="n">
        <v>0</v>
      </c>
      <c r="Q405" t="n">
        <v>0</v>
      </c>
      <c r="R405" s="2" t="inlineStr"/>
    </row>
    <row r="406" ht="15" customHeight="1">
      <c r="A406" t="inlineStr">
        <is>
          <t>A 20291-2022</t>
        </is>
      </c>
      <c r="B406" s="1" t="n">
        <v>44698</v>
      </c>
      <c r="C406" s="1" t="n">
        <v>46192</v>
      </c>
      <c r="D406" t="inlineStr">
        <is>
          <t>STOCKHOLMS LÄN</t>
        </is>
      </c>
      <c r="E406" t="inlineStr">
        <is>
          <t>NORRTÄLJE</t>
        </is>
      </c>
      <c r="F406" t="inlineStr">
        <is>
          <t>Naturvårdsverket</t>
        </is>
      </c>
      <c r="G406" t="n">
        <v>2</v>
      </c>
      <c r="H406" t="n">
        <v>0</v>
      </c>
      <c r="I406" t="n">
        <v>0</v>
      </c>
      <c r="J406" t="n">
        <v>0</v>
      </c>
      <c r="K406" t="n">
        <v>0</v>
      </c>
      <c r="L406" t="n">
        <v>0</v>
      </c>
      <c r="M406" t="n">
        <v>0</v>
      </c>
      <c r="N406" t="n">
        <v>0</v>
      </c>
      <c r="O406" t="n">
        <v>0</v>
      </c>
      <c r="P406" t="n">
        <v>0</v>
      </c>
      <c r="Q406" t="n">
        <v>0</v>
      </c>
      <c r="R406" s="2" t="inlineStr"/>
    </row>
    <row r="407" ht="15" customHeight="1">
      <c r="A407" t="inlineStr">
        <is>
          <t>A 26115-2024</t>
        </is>
      </c>
      <c r="B407" s="1" t="n">
        <v>45468</v>
      </c>
      <c r="C407" s="1" t="n">
        <v>46192</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44917-2022</t>
        </is>
      </c>
      <c r="B408" s="1" t="n">
        <v>44841</v>
      </c>
      <c r="C408" s="1" t="n">
        <v>46192</v>
      </c>
      <c r="D408" t="inlineStr">
        <is>
          <t>STOCKHOLMS LÄN</t>
        </is>
      </c>
      <c r="E408" t="inlineStr">
        <is>
          <t>NORRTÄLJE</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51532-2025</t>
        </is>
      </c>
      <c r="B409" s="1" t="n">
        <v>45950</v>
      </c>
      <c r="C409" s="1" t="n">
        <v>46192</v>
      </c>
      <c r="D409" t="inlineStr">
        <is>
          <t>STOCKHOLMS LÄN</t>
        </is>
      </c>
      <c r="E409" t="inlineStr">
        <is>
          <t>NORRTÄLJE</t>
        </is>
      </c>
      <c r="F409" t="inlineStr">
        <is>
          <t>Naturvårdsverket</t>
        </is>
      </c>
      <c r="G409" t="n">
        <v>17.3</v>
      </c>
      <c r="H409" t="n">
        <v>0</v>
      </c>
      <c r="I409" t="n">
        <v>0</v>
      </c>
      <c r="J409" t="n">
        <v>0</v>
      </c>
      <c r="K409" t="n">
        <v>0</v>
      </c>
      <c r="L409" t="n">
        <v>0</v>
      </c>
      <c r="M409" t="n">
        <v>0</v>
      </c>
      <c r="N409" t="n">
        <v>0</v>
      </c>
      <c r="O409" t="n">
        <v>0</v>
      </c>
      <c r="P409" t="n">
        <v>0</v>
      </c>
      <c r="Q409" t="n">
        <v>0</v>
      </c>
      <c r="R409" s="2" t="inlineStr"/>
    </row>
    <row r="410" ht="15" customHeight="1">
      <c r="A410" t="inlineStr">
        <is>
          <t>A 51789-2025</t>
        </is>
      </c>
      <c r="B410" s="1" t="n">
        <v>45951</v>
      </c>
      <c r="C410" s="1" t="n">
        <v>46192</v>
      </c>
      <c r="D410" t="inlineStr">
        <is>
          <t>STOCKHOLMS LÄN</t>
        </is>
      </c>
      <c r="E410" t="inlineStr">
        <is>
          <t>NORRTÄLJE</t>
        </is>
      </c>
      <c r="F410" t="inlineStr">
        <is>
          <t>Naturvårdsverket</t>
        </is>
      </c>
      <c r="G410" t="n">
        <v>8.9</v>
      </c>
      <c r="H410" t="n">
        <v>0</v>
      </c>
      <c r="I410" t="n">
        <v>0</v>
      </c>
      <c r="J410" t="n">
        <v>0</v>
      </c>
      <c r="K410" t="n">
        <v>0</v>
      </c>
      <c r="L410" t="n">
        <v>0</v>
      </c>
      <c r="M410" t="n">
        <v>0</v>
      </c>
      <c r="N410" t="n">
        <v>0</v>
      </c>
      <c r="O410" t="n">
        <v>0</v>
      </c>
      <c r="P410" t="n">
        <v>0</v>
      </c>
      <c r="Q410" t="n">
        <v>0</v>
      </c>
      <c r="R410" s="2" t="inlineStr"/>
    </row>
    <row r="411" ht="15" customHeight="1">
      <c r="A411" t="inlineStr">
        <is>
          <t>A 55012-2024</t>
        </is>
      </c>
      <c r="B411" s="1" t="n">
        <v>45621</v>
      </c>
      <c r="C411" s="1" t="n">
        <v>46192</v>
      </c>
      <c r="D411" t="inlineStr">
        <is>
          <t>STOCKHOLMS LÄN</t>
        </is>
      </c>
      <c r="E411" t="inlineStr">
        <is>
          <t>NORRTÄLJE</t>
        </is>
      </c>
      <c r="F411" t="inlineStr">
        <is>
          <t>Sveaskog</t>
        </is>
      </c>
      <c r="G411" t="n">
        <v>5.2</v>
      </c>
      <c r="H411" t="n">
        <v>0</v>
      </c>
      <c r="I411" t="n">
        <v>0</v>
      </c>
      <c r="J411" t="n">
        <v>0</v>
      </c>
      <c r="K411" t="n">
        <v>0</v>
      </c>
      <c r="L411" t="n">
        <v>0</v>
      </c>
      <c r="M411" t="n">
        <v>0</v>
      </c>
      <c r="N411" t="n">
        <v>0</v>
      </c>
      <c r="O411" t="n">
        <v>0</v>
      </c>
      <c r="P411" t="n">
        <v>0</v>
      </c>
      <c r="Q411" t="n">
        <v>0</v>
      </c>
      <c r="R411" s="2" t="inlineStr"/>
    </row>
    <row r="412" ht="15" customHeight="1">
      <c r="A412" t="inlineStr">
        <is>
          <t>A 19118-2022</t>
        </is>
      </c>
      <c r="B412" s="1" t="n">
        <v>44691</v>
      </c>
      <c r="C412" s="1" t="n">
        <v>46192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30699-2025</t>
        </is>
      </c>
      <c r="B413" s="1" t="n">
        <v>45831</v>
      </c>
      <c r="C413" s="1" t="n">
        <v>46192</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51960-2025</t>
        </is>
      </c>
      <c r="B414" s="1" t="n">
        <v>45952</v>
      </c>
      <c r="C414" s="1" t="n">
        <v>46192</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8739-2024</t>
        </is>
      </c>
      <c r="B415" s="1" t="n">
        <v>45356</v>
      </c>
      <c r="C415" s="1" t="n">
        <v>46192</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52061-2025</t>
        </is>
      </c>
      <c r="B416" s="1" t="n">
        <v>45952</v>
      </c>
      <c r="C416" s="1" t="n">
        <v>46192</v>
      </c>
      <c r="D416" t="inlineStr">
        <is>
          <t>STOCKHOLMS LÄN</t>
        </is>
      </c>
      <c r="E416" t="inlineStr">
        <is>
          <t>NORRTÄLJE</t>
        </is>
      </c>
      <c r="G416" t="n">
        <v>9.5</v>
      </c>
      <c r="H416" t="n">
        <v>0</v>
      </c>
      <c r="I416" t="n">
        <v>0</v>
      </c>
      <c r="J416" t="n">
        <v>0</v>
      </c>
      <c r="K416" t="n">
        <v>0</v>
      </c>
      <c r="L416" t="n">
        <v>0</v>
      </c>
      <c r="M416" t="n">
        <v>0</v>
      </c>
      <c r="N416" t="n">
        <v>0</v>
      </c>
      <c r="O416" t="n">
        <v>0</v>
      </c>
      <c r="P416" t="n">
        <v>0</v>
      </c>
      <c r="Q416" t="n">
        <v>0</v>
      </c>
      <c r="R416" s="2" t="inlineStr"/>
    </row>
    <row r="417" ht="15" customHeight="1">
      <c r="A417" t="inlineStr">
        <is>
          <t>A 51945-2025</t>
        </is>
      </c>
      <c r="B417" s="1" t="n">
        <v>45952</v>
      </c>
      <c r="C417" s="1" t="n">
        <v>46192</v>
      </c>
      <c r="D417" t="inlineStr">
        <is>
          <t>STOCKHOLMS LÄN</t>
        </is>
      </c>
      <c r="E417" t="inlineStr">
        <is>
          <t>NORRTÄLJE</t>
        </is>
      </c>
      <c r="G417" t="n">
        <v>7</v>
      </c>
      <c r="H417" t="n">
        <v>0</v>
      </c>
      <c r="I417" t="n">
        <v>0</v>
      </c>
      <c r="J417" t="n">
        <v>0</v>
      </c>
      <c r="K417" t="n">
        <v>0</v>
      </c>
      <c r="L417" t="n">
        <v>0</v>
      </c>
      <c r="M417" t="n">
        <v>0</v>
      </c>
      <c r="N417" t="n">
        <v>0</v>
      </c>
      <c r="O417" t="n">
        <v>0</v>
      </c>
      <c r="P417" t="n">
        <v>0</v>
      </c>
      <c r="Q417" t="n">
        <v>0</v>
      </c>
      <c r="R417" s="2" t="inlineStr"/>
    </row>
    <row r="418" ht="15" customHeight="1">
      <c r="A418" t="inlineStr">
        <is>
          <t>A 38759-2022</t>
        </is>
      </c>
      <c r="B418" s="1" t="n">
        <v>44816</v>
      </c>
      <c r="C418" s="1" t="n">
        <v>46192</v>
      </c>
      <c r="D418" t="inlineStr">
        <is>
          <t>STOCKHOLMS LÄN</t>
        </is>
      </c>
      <c r="E418" t="inlineStr">
        <is>
          <t>NORRTÄLJE</t>
        </is>
      </c>
      <c r="G418" t="n">
        <v>2.8</v>
      </c>
      <c r="H418" t="n">
        <v>0</v>
      </c>
      <c r="I418" t="n">
        <v>0</v>
      </c>
      <c r="J418" t="n">
        <v>0</v>
      </c>
      <c r="K418" t="n">
        <v>0</v>
      </c>
      <c r="L418" t="n">
        <v>0</v>
      </c>
      <c r="M418" t="n">
        <v>0</v>
      </c>
      <c r="N418" t="n">
        <v>0</v>
      </c>
      <c r="O418" t="n">
        <v>0</v>
      </c>
      <c r="P418" t="n">
        <v>0</v>
      </c>
      <c r="Q418" t="n">
        <v>0</v>
      </c>
      <c r="R418" s="2" t="inlineStr"/>
    </row>
    <row r="419" ht="15" customHeight="1">
      <c r="A419" t="inlineStr">
        <is>
          <t>A 52773-2025</t>
        </is>
      </c>
      <c r="B419" s="1" t="n">
        <v>45957</v>
      </c>
      <c r="C419" s="1" t="n">
        <v>46192</v>
      </c>
      <c r="D419" t="inlineStr">
        <is>
          <t>STOCKHOLMS LÄN</t>
        </is>
      </c>
      <c r="E419" t="inlineStr">
        <is>
          <t>NORRTÄLJE</t>
        </is>
      </c>
      <c r="F419" t="inlineStr">
        <is>
          <t>Sveaskog</t>
        </is>
      </c>
      <c r="G419" t="n">
        <v>10.5</v>
      </c>
      <c r="H419" t="n">
        <v>0</v>
      </c>
      <c r="I419" t="n">
        <v>0</v>
      </c>
      <c r="J419" t="n">
        <v>0</v>
      </c>
      <c r="K419" t="n">
        <v>0</v>
      </c>
      <c r="L419" t="n">
        <v>0</v>
      </c>
      <c r="M419" t="n">
        <v>0</v>
      </c>
      <c r="N419" t="n">
        <v>0</v>
      </c>
      <c r="O419" t="n">
        <v>0</v>
      </c>
      <c r="P419" t="n">
        <v>0</v>
      </c>
      <c r="Q419" t="n">
        <v>0</v>
      </c>
      <c r="R419" s="2" t="inlineStr"/>
    </row>
    <row r="420" ht="15" customHeight="1">
      <c r="A420" t="inlineStr">
        <is>
          <t>A 52777-2025</t>
        </is>
      </c>
      <c r="B420" s="1" t="n">
        <v>45957</v>
      </c>
      <c r="C420" s="1" t="n">
        <v>46192</v>
      </c>
      <c r="D420" t="inlineStr">
        <is>
          <t>STOCKHOLMS LÄN</t>
        </is>
      </c>
      <c r="E420" t="inlineStr">
        <is>
          <t>NORRTÄLJE</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58863-2024</t>
        </is>
      </c>
      <c r="B421" s="1" t="n">
        <v>45636</v>
      </c>
      <c r="C421" s="1" t="n">
        <v>46192</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32857-2021</t>
        </is>
      </c>
      <c r="B422" s="1" t="n">
        <v>44375</v>
      </c>
      <c r="C422" s="1" t="n">
        <v>46192</v>
      </c>
      <c r="D422" t="inlineStr">
        <is>
          <t>STOCKHOLMS LÄN</t>
        </is>
      </c>
      <c r="E422" t="inlineStr">
        <is>
          <t>NORRTÄLJE</t>
        </is>
      </c>
      <c r="G422" t="n">
        <v>2.9</v>
      </c>
      <c r="H422" t="n">
        <v>0</v>
      </c>
      <c r="I422" t="n">
        <v>0</v>
      </c>
      <c r="J422" t="n">
        <v>0</v>
      </c>
      <c r="K422" t="n">
        <v>0</v>
      </c>
      <c r="L422" t="n">
        <v>0</v>
      </c>
      <c r="M422" t="n">
        <v>0</v>
      </c>
      <c r="N422" t="n">
        <v>0</v>
      </c>
      <c r="O422" t="n">
        <v>0</v>
      </c>
      <c r="P422" t="n">
        <v>0</v>
      </c>
      <c r="Q422" t="n">
        <v>0</v>
      </c>
      <c r="R422" s="2" t="inlineStr"/>
    </row>
    <row r="423" ht="15" customHeight="1">
      <c r="A423" t="inlineStr">
        <is>
          <t>A 29714-2023</t>
        </is>
      </c>
      <c r="B423" s="1" t="n">
        <v>45107</v>
      </c>
      <c r="C423" s="1" t="n">
        <v>46192</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23271-2023</t>
        </is>
      </c>
      <c r="B424" s="1" t="n">
        <v>45075</v>
      </c>
      <c r="C424" s="1" t="n">
        <v>46192</v>
      </c>
      <c r="D424" t="inlineStr">
        <is>
          <t>STOCKHOLMS LÄN</t>
        </is>
      </c>
      <c r="E424" t="inlineStr">
        <is>
          <t>NORRTÄLJE</t>
        </is>
      </c>
      <c r="G424" t="n">
        <v>5.1</v>
      </c>
      <c r="H424" t="n">
        <v>0</v>
      </c>
      <c r="I424" t="n">
        <v>0</v>
      </c>
      <c r="J424" t="n">
        <v>0</v>
      </c>
      <c r="K424" t="n">
        <v>0</v>
      </c>
      <c r="L424" t="n">
        <v>0</v>
      </c>
      <c r="M424" t="n">
        <v>0</v>
      </c>
      <c r="N424" t="n">
        <v>0</v>
      </c>
      <c r="O424" t="n">
        <v>0</v>
      </c>
      <c r="P424" t="n">
        <v>0</v>
      </c>
      <c r="Q424" t="n">
        <v>0</v>
      </c>
      <c r="R424" s="2" t="inlineStr"/>
    </row>
    <row r="425" ht="15" customHeight="1">
      <c r="A425" t="inlineStr">
        <is>
          <t>A 23273-2023</t>
        </is>
      </c>
      <c r="B425" s="1" t="n">
        <v>45075</v>
      </c>
      <c r="C425" s="1" t="n">
        <v>46192</v>
      </c>
      <c r="D425" t="inlineStr">
        <is>
          <t>STOCKHOLMS LÄN</t>
        </is>
      </c>
      <c r="E425" t="inlineStr">
        <is>
          <t>NORRTÄLJE</t>
        </is>
      </c>
      <c r="G425" t="n">
        <v>7.5</v>
      </c>
      <c r="H425" t="n">
        <v>0</v>
      </c>
      <c r="I425" t="n">
        <v>0</v>
      </c>
      <c r="J425" t="n">
        <v>0</v>
      </c>
      <c r="K425" t="n">
        <v>0</v>
      </c>
      <c r="L425" t="n">
        <v>0</v>
      </c>
      <c r="M425" t="n">
        <v>0</v>
      </c>
      <c r="N425" t="n">
        <v>0</v>
      </c>
      <c r="O425" t="n">
        <v>0</v>
      </c>
      <c r="P425" t="n">
        <v>0</v>
      </c>
      <c r="Q425" t="n">
        <v>0</v>
      </c>
      <c r="R425" s="2" t="inlineStr"/>
    </row>
    <row r="426" ht="15" customHeight="1">
      <c r="A426" t="inlineStr">
        <is>
          <t>A 53000-2025</t>
        </is>
      </c>
      <c r="B426" s="1" t="n">
        <v>45957</v>
      </c>
      <c r="C426" s="1" t="n">
        <v>46192</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52703-2025</t>
        </is>
      </c>
      <c r="B427" s="1" t="n">
        <v>45956</v>
      </c>
      <c r="C427" s="1" t="n">
        <v>46192</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52729-2025</t>
        </is>
      </c>
      <c r="B428" s="1" t="n">
        <v>45957</v>
      </c>
      <c r="C428" s="1" t="n">
        <v>46192</v>
      </c>
      <c r="D428" t="inlineStr">
        <is>
          <t>STOCKHOLMS LÄN</t>
        </is>
      </c>
      <c r="E428" t="inlineStr">
        <is>
          <t>NORRTÄLJE</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52734-2025</t>
        </is>
      </c>
      <c r="B429" s="1" t="n">
        <v>45957</v>
      </c>
      <c r="C429" s="1" t="n">
        <v>46192</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11900-2024</t>
        </is>
      </c>
      <c r="B430" s="1" t="n">
        <v>45376</v>
      </c>
      <c r="C430" s="1" t="n">
        <v>46192</v>
      </c>
      <c r="D430" t="inlineStr">
        <is>
          <t>STOCKHOLMS LÄN</t>
        </is>
      </c>
      <c r="E430" t="inlineStr">
        <is>
          <t>NORRTÄLJE</t>
        </is>
      </c>
      <c r="G430" t="n">
        <v>4.2</v>
      </c>
      <c r="H430" t="n">
        <v>0</v>
      </c>
      <c r="I430" t="n">
        <v>0</v>
      </c>
      <c r="J430" t="n">
        <v>0</v>
      </c>
      <c r="K430" t="n">
        <v>0</v>
      </c>
      <c r="L430" t="n">
        <v>0</v>
      </c>
      <c r="M430" t="n">
        <v>0</v>
      </c>
      <c r="N430" t="n">
        <v>0</v>
      </c>
      <c r="O430" t="n">
        <v>0</v>
      </c>
      <c r="P430" t="n">
        <v>0</v>
      </c>
      <c r="Q430" t="n">
        <v>0</v>
      </c>
      <c r="R430" s="2" t="inlineStr"/>
    </row>
    <row r="431" ht="15" customHeight="1">
      <c r="A431" t="inlineStr">
        <is>
          <t>A 52704-2025</t>
        </is>
      </c>
      <c r="B431" s="1" t="n">
        <v>45956</v>
      </c>
      <c r="C431" s="1" t="n">
        <v>46192</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52553-2025</t>
        </is>
      </c>
      <c r="B432" s="1" t="n">
        <v>45954</v>
      </c>
      <c r="C432" s="1" t="n">
        <v>46192</v>
      </c>
      <c r="D432" t="inlineStr">
        <is>
          <t>STOCKHOLMS LÄN</t>
        </is>
      </c>
      <c r="E432" t="inlineStr">
        <is>
          <t>NORRTÄLJE</t>
        </is>
      </c>
      <c r="G432" t="n">
        <v>4.4</v>
      </c>
      <c r="H432" t="n">
        <v>0</v>
      </c>
      <c r="I432" t="n">
        <v>0</v>
      </c>
      <c r="J432" t="n">
        <v>0</v>
      </c>
      <c r="K432" t="n">
        <v>0</v>
      </c>
      <c r="L432" t="n">
        <v>0</v>
      </c>
      <c r="M432" t="n">
        <v>0</v>
      </c>
      <c r="N432" t="n">
        <v>0</v>
      </c>
      <c r="O432" t="n">
        <v>0</v>
      </c>
      <c r="P432" t="n">
        <v>0</v>
      </c>
      <c r="Q432" t="n">
        <v>0</v>
      </c>
      <c r="R432" s="2" t="inlineStr"/>
    </row>
    <row r="433" ht="15" customHeight="1">
      <c r="A433" t="inlineStr">
        <is>
          <t>A 20011-2025</t>
        </is>
      </c>
      <c r="B433" s="1" t="n">
        <v>45772</v>
      </c>
      <c r="C433" s="1" t="n">
        <v>46192</v>
      </c>
      <c r="D433" t="inlineStr">
        <is>
          <t>STOCKHOLMS LÄN</t>
        </is>
      </c>
      <c r="E433" t="inlineStr">
        <is>
          <t>NORRTÄLJE</t>
        </is>
      </c>
      <c r="G433" t="n">
        <v>3.5</v>
      </c>
      <c r="H433" t="n">
        <v>0</v>
      </c>
      <c r="I433" t="n">
        <v>0</v>
      </c>
      <c r="J433" t="n">
        <v>0</v>
      </c>
      <c r="K433" t="n">
        <v>0</v>
      </c>
      <c r="L433" t="n">
        <v>0</v>
      </c>
      <c r="M433" t="n">
        <v>0</v>
      </c>
      <c r="N433" t="n">
        <v>0</v>
      </c>
      <c r="O433" t="n">
        <v>0</v>
      </c>
      <c r="P433" t="n">
        <v>0</v>
      </c>
      <c r="Q433" t="n">
        <v>0</v>
      </c>
      <c r="R433" s="2" t="inlineStr"/>
    </row>
    <row r="434" ht="15" customHeight="1">
      <c r="A434" t="inlineStr">
        <is>
          <t>A 42856-2025</t>
        </is>
      </c>
      <c r="B434" s="1" t="n">
        <v>45908</v>
      </c>
      <c r="C434" s="1" t="n">
        <v>46192</v>
      </c>
      <c r="D434" t="inlineStr">
        <is>
          <t>STOCKHOLMS LÄN</t>
        </is>
      </c>
      <c r="E434" t="inlineStr">
        <is>
          <t>NORRTÄLJE</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42867-2022</t>
        </is>
      </c>
      <c r="B435" s="1" t="n">
        <v>44832</v>
      </c>
      <c r="C435" s="1" t="n">
        <v>46192</v>
      </c>
      <c r="D435" t="inlineStr">
        <is>
          <t>STOCKHOLMS LÄN</t>
        </is>
      </c>
      <c r="E435" t="inlineStr">
        <is>
          <t>NORRTÄLJE</t>
        </is>
      </c>
      <c r="G435" t="n">
        <v>6.4</v>
      </c>
      <c r="H435" t="n">
        <v>0</v>
      </c>
      <c r="I435" t="n">
        <v>0</v>
      </c>
      <c r="J435" t="n">
        <v>0</v>
      </c>
      <c r="K435" t="n">
        <v>0</v>
      </c>
      <c r="L435" t="n">
        <v>0</v>
      </c>
      <c r="M435" t="n">
        <v>0</v>
      </c>
      <c r="N435" t="n">
        <v>0</v>
      </c>
      <c r="O435" t="n">
        <v>0</v>
      </c>
      <c r="P435" t="n">
        <v>0</v>
      </c>
      <c r="Q435" t="n">
        <v>0</v>
      </c>
      <c r="R435" s="2" t="inlineStr"/>
    </row>
    <row r="436" ht="15" customHeight="1">
      <c r="A436" t="inlineStr">
        <is>
          <t>A 23749-2024</t>
        </is>
      </c>
      <c r="B436" s="1" t="n">
        <v>45455</v>
      </c>
      <c r="C436" s="1" t="n">
        <v>46192</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58277-2023</t>
        </is>
      </c>
      <c r="B437" s="1" t="n">
        <v>45245</v>
      </c>
      <c r="C437" s="1" t="n">
        <v>46192</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30719-2025</t>
        </is>
      </c>
      <c r="B438" s="1" t="n">
        <v>45831</v>
      </c>
      <c r="C438" s="1" t="n">
        <v>46192</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43269-2025</t>
        </is>
      </c>
      <c r="B439" s="1" t="n">
        <v>45910</v>
      </c>
      <c r="C439" s="1" t="n">
        <v>46192</v>
      </c>
      <c r="D439" t="inlineStr">
        <is>
          <t>STOCKHOLMS LÄN</t>
        </is>
      </c>
      <c r="E439" t="inlineStr">
        <is>
          <t>NORRTÄLJE</t>
        </is>
      </c>
      <c r="G439" t="n">
        <v>3.7</v>
      </c>
      <c r="H439" t="n">
        <v>0</v>
      </c>
      <c r="I439" t="n">
        <v>0</v>
      </c>
      <c r="J439" t="n">
        <v>0</v>
      </c>
      <c r="K439" t="n">
        <v>0</v>
      </c>
      <c r="L439" t="n">
        <v>0</v>
      </c>
      <c r="M439" t="n">
        <v>0</v>
      </c>
      <c r="N439" t="n">
        <v>0</v>
      </c>
      <c r="O439" t="n">
        <v>0</v>
      </c>
      <c r="P439" t="n">
        <v>0</v>
      </c>
      <c r="Q439" t="n">
        <v>0</v>
      </c>
      <c r="R439" s="2" t="inlineStr"/>
    </row>
    <row r="440" ht="15" customHeight="1">
      <c r="A440" t="inlineStr">
        <is>
          <t>A 32705-2022</t>
        </is>
      </c>
      <c r="B440" s="1" t="n">
        <v>44783</v>
      </c>
      <c r="C440" s="1" t="n">
        <v>46192</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30802-2022</t>
        </is>
      </c>
      <c r="B441" s="1" t="n">
        <v>44764</v>
      </c>
      <c r="C441" s="1" t="n">
        <v>46192</v>
      </c>
      <c r="D441" t="inlineStr">
        <is>
          <t>STOCKHOLMS LÄN</t>
        </is>
      </c>
      <c r="E441" t="inlineStr">
        <is>
          <t>NORRTÄLJE</t>
        </is>
      </c>
      <c r="G441" t="n">
        <v>1.7</v>
      </c>
      <c r="H441" t="n">
        <v>0</v>
      </c>
      <c r="I441" t="n">
        <v>0</v>
      </c>
      <c r="J441" t="n">
        <v>0</v>
      </c>
      <c r="K441" t="n">
        <v>0</v>
      </c>
      <c r="L441" t="n">
        <v>0</v>
      </c>
      <c r="M441" t="n">
        <v>0</v>
      </c>
      <c r="N441" t="n">
        <v>0</v>
      </c>
      <c r="O441" t="n">
        <v>0</v>
      </c>
      <c r="P441" t="n">
        <v>0</v>
      </c>
      <c r="Q441" t="n">
        <v>0</v>
      </c>
      <c r="R441" s="2" t="inlineStr"/>
    </row>
    <row r="442" ht="15" customHeight="1">
      <c r="A442" t="inlineStr">
        <is>
          <t>A 44311-2025</t>
        </is>
      </c>
      <c r="B442" s="1" t="n">
        <v>45916</v>
      </c>
      <c r="C442" s="1" t="n">
        <v>46192</v>
      </c>
      <c r="D442" t="inlineStr">
        <is>
          <t>STOCKHOLMS LÄN</t>
        </is>
      </c>
      <c r="E442" t="inlineStr">
        <is>
          <t>NORRTÄLJE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47481-2024</t>
        </is>
      </c>
      <c r="B443" s="1" t="n">
        <v>45587</v>
      </c>
      <c r="C443" s="1" t="n">
        <v>46192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44937-2025</t>
        </is>
      </c>
      <c r="B444" s="1" t="n">
        <v>45918</v>
      </c>
      <c r="C444" s="1" t="n">
        <v>46192</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57037-2022</t>
        </is>
      </c>
      <c r="B445" s="1" t="n">
        <v>44895</v>
      </c>
      <c r="C445" s="1" t="n">
        <v>46192</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53747-2025</t>
        </is>
      </c>
      <c r="B446" s="1" t="n">
        <v>45960</v>
      </c>
      <c r="C446" s="1" t="n">
        <v>46192</v>
      </c>
      <c r="D446" t="inlineStr">
        <is>
          <t>STOCKHOLMS LÄN</t>
        </is>
      </c>
      <c r="E446" t="inlineStr">
        <is>
          <t>NORRTÄLJE</t>
        </is>
      </c>
      <c r="G446" t="n">
        <v>1.8</v>
      </c>
      <c r="H446" t="n">
        <v>0</v>
      </c>
      <c r="I446" t="n">
        <v>0</v>
      </c>
      <c r="J446" t="n">
        <v>0</v>
      </c>
      <c r="K446" t="n">
        <v>0</v>
      </c>
      <c r="L446" t="n">
        <v>0</v>
      </c>
      <c r="M446" t="n">
        <v>0</v>
      </c>
      <c r="N446" t="n">
        <v>0</v>
      </c>
      <c r="O446" t="n">
        <v>0</v>
      </c>
      <c r="P446" t="n">
        <v>0</v>
      </c>
      <c r="Q446" t="n">
        <v>0</v>
      </c>
      <c r="R446" s="2" t="inlineStr"/>
    </row>
    <row r="447" ht="15" customHeight="1">
      <c r="A447" t="inlineStr">
        <is>
          <t>A 55369-2023</t>
        </is>
      </c>
      <c r="B447" s="1" t="n">
        <v>45238</v>
      </c>
      <c r="C447" s="1" t="n">
        <v>46192</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22359-2025</t>
        </is>
      </c>
      <c r="B448" s="1" t="n">
        <v>45786</v>
      </c>
      <c r="C448" s="1" t="n">
        <v>46192</v>
      </c>
      <c r="D448" t="inlineStr">
        <is>
          <t>STOCKHOLMS LÄN</t>
        </is>
      </c>
      <c r="E448" t="inlineStr">
        <is>
          <t>NORRTÄLJE</t>
        </is>
      </c>
      <c r="G448" t="n">
        <v>5</v>
      </c>
      <c r="H448" t="n">
        <v>0</v>
      </c>
      <c r="I448" t="n">
        <v>0</v>
      </c>
      <c r="J448" t="n">
        <v>0</v>
      </c>
      <c r="K448" t="n">
        <v>0</v>
      </c>
      <c r="L448" t="n">
        <v>0</v>
      </c>
      <c r="M448" t="n">
        <v>0</v>
      </c>
      <c r="N448" t="n">
        <v>0</v>
      </c>
      <c r="O448" t="n">
        <v>0</v>
      </c>
      <c r="P448" t="n">
        <v>0</v>
      </c>
      <c r="Q448" t="n">
        <v>0</v>
      </c>
      <c r="R448" s="2" t="inlineStr"/>
    </row>
    <row r="449" ht="15" customHeight="1">
      <c r="A449" t="inlineStr">
        <is>
          <t>A 45697-2025</t>
        </is>
      </c>
      <c r="B449" s="1" t="n">
        <v>45923</v>
      </c>
      <c r="C449" s="1" t="n">
        <v>46192</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11940-2023</t>
        </is>
      </c>
      <c r="B450" s="1" t="n">
        <v>44995</v>
      </c>
      <c r="C450" s="1" t="n">
        <v>46192</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2281-2024</t>
        </is>
      </c>
      <c r="B451" s="1" t="n">
        <v>45310</v>
      </c>
      <c r="C451" s="1" t="n">
        <v>46192</v>
      </c>
      <c r="D451" t="inlineStr">
        <is>
          <t>STOCKHOLMS LÄN</t>
        </is>
      </c>
      <c r="E451" t="inlineStr">
        <is>
          <t>NORRTÄLJE</t>
        </is>
      </c>
      <c r="G451" t="n">
        <v>2.7</v>
      </c>
      <c r="H451" t="n">
        <v>0</v>
      </c>
      <c r="I451" t="n">
        <v>0</v>
      </c>
      <c r="J451" t="n">
        <v>0</v>
      </c>
      <c r="K451" t="n">
        <v>0</v>
      </c>
      <c r="L451" t="n">
        <v>0</v>
      </c>
      <c r="M451" t="n">
        <v>0</v>
      </c>
      <c r="N451" t="n">
        <v>0</v>
      </c>
      <c r="O451" t="n">
        <v>0</v>
      </c>
      <c r="P451" t="n">
        <v>0</v>
      </c>
      <c r="Q451" t="n">
        <v>0</v>
      </c>
      <c r="R451" s="2" t="inlineStr"/>
    </row>
    <row r="452" ht="15" customHeight="1">
      <c r="A452" t="inlineStr">
        <is>
          <t>A 61113-2023</t>
        </is>
      </c>
      <c r="B452" s="1" t="n">
        <v>45261</v>
      </c>
      <c r="C452" s="1" t="n">
        <v>46192</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60525-2022</t>
        </is>
      </c>
      <c r="B453" s="1" t="n">
        <v>44904</v>
      </c>
      <c r="C453" s="1" t="n">
        <v>46192</v>
      </c>
      <c r="D453" t="inlineStr">
        <is>
          <t>STOCKHOLMS LÄN</t>
        </is>
      </c>
      <c r="E453" t="inlineStr">
        <is>
          <t>NORRTÄLJE</t>
        </is>
      </c>
      <c r="G453" t="n">
        <v>13.4</v>
      </c>
      <c r="H453" t="n">
        <v>0</v>
      </c>
      <c r="I453" t="n">
        <v>0</v>
      </c>
      <c r="J453" t="n">
        <v>0</v>
      </c>
      <c r="K453" t="n">
        <v>0</v>
      </c>
      <c r="L453" t="n">
        <v>0</v>
      </c>
      <c r="M453" t="n">
        <v>0</v>
      </c>
      <c r="N453" t="n">
        <v>0</v>
      </c>
      <c r="O453" t="n">
        <v>0</v>
      </c>
      <c r="P453" t="n">
        <v>0</v>
      </c>
      <c r="Q453" t="n">
        <v>0</v>
      </c>
      <c r="R453" s="2" t="inlineStr"/>
    </row>
    <row r="454" ht="15" customHeight="1">
      <c r="A454" t="inlineStr">
        <is>
          <t>A 34295-2024</t>
        </is>
      </c>
      <c r="B454" s="1" t="n">
        <v>45524</v>
      </c>
      <c r="C454" s="1" t="n">
        <v>46192</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58311-2023</t>
        </is>
      </c>
      <c r="B455" s="1" t="n">
        <v>45245</v>
      </c>
      <c r="C455" s="1" t="n">
        <v>46192</v>
      </c>
      <c r="D455" t="inlineStr">
        <is>
          <t>STOCKHOLMS LÄN</t>
        </is>
      </c>
      <c r="E455" t="inlineStr">
        <is>
          <t>NORRTÄLJE</t>
        </is>
      </c>
      <c r="G455" t="n">
        <v>2.3</v>
      </c>
      <c r="H455" t="n">
        <v>0</v>
      </c>
      <c r="I455" t="n">
        <v>0</v>
      </c>
      <c r="J455" t="n">
        <v>0</v>
      </c>
      <c r="K455" t="n">
        <v>0</v>
      </c>
      <c r="L455" t="n">
        <v>0</v>
      </c>
      <c r="M455" t="n">
        <v>0</v>
      </c>
      <c r="N455" t="n">
        <v>0</v>
      </c>
      <c r="O455" t="n">
        <v>0</v>
      </c>
      <c r="P455" t="n">
        <v>0</v>
      </c>
      <c r="Q455" t="n">
        <v>0</v>
      </c>
      <c r="R455" s="2" t="inlineStr"/>
    </row>
    <row r="456" ht="15" customHeight="1">
      <c r="A456" t="inlineStr">
        <is>
          <t>A 23692-2024</t>
        </is>
      </c>
      <c r="B456" s="1" t="n">
        <v>45454</v>
      </c>
      <c r="C456" s="1" t="n">
        <v>46192</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39213-2022</t>
        </is>
      </c>
      <c r="B457" s="1" t="n">
        <v>44817</v>
      </c>
      <c r="C457" s="1" t="n">
        <v>46192</v>
      </c>
      <c r="D457" t="inlineStr">
        <is>
          <t>STOCKHOLMS LÄN</t>
        </is>
      </c>
      <c r="E457" t="inlineStr">
        <is>
          <t>NORRTÄLJE</t>
        </is>
      </c>
      <c r="G457" t="n">
        <v>3.4</v>
      </c>
      <c r="H457" t="n">
        <v>0</v>
      </c>
      <c r="I457" t="n">
        <v>0</v>
      </c>
      <c r="J457" t="n">
        <v>0</v>
      </c>
      <c r="K457" t="n">
        <v>0</v>
      </c>
      <c r="L457" t="n">
        <v>0</v>
      </c>
      <c r="M457" t="n">
        <v>0</v>
      </c>
      <c r="N457" t="n">
        <v>0</v>
      </c>
      <c r="O457" t="n">
        <v>0</v>
      </c>
      <c r="P457" t="n">
        <v>0</v>
      </c>
      <c r="Q457" t="n">
        <v>0</v>
      </c>
      <c r="R457" s="2" t="inlineStr"/>
    </row>
    <row r="458" ht="15" customHeight="1">
      <c r="A458" t="inlineStr">
        <is>
          <t>A 54273-2021</t>
        </is>
      </c>
      <c r="B458" s="1" t="n">
        <v>44470</v>
      </c>
      <c r="C458" s="1" t="n">
        <v>46192</v>
      </c>
      <c r="D458" t="inlineStr">
        <is>
          <t>STOCKHOLMS LÄN</t>
        </is>
      </c>
      <c r="E458" t="inlineStr">
        <is>
          <t>NORRTÄLJE</t>
        </is>
      </c>
      <c r="G458" t="n">
        <v>2.7</v>
      </c>
      <c r="H458" t="n">
        <v>0</v>
      </c>
      <c r="I458" t="n">
        <v>0</v>
      </c>
      <c r="J458" t="n">
        <v>0</v>
      </c>
      <c r="K458" t="n">
        <v>0</v>
      </c>
      <c r="L458" t="n">
        <v>0</v>
      </c>
      <c r="M458" t="n">
        <v>0</v>
      </c>
      <c r="N458" t="n">
        <v>0</v>
      </c>
      <c r="O458" t="n">
        <v>0</v>
      </c>
      <c r="P458" t="n">
        <v>0</v>
      </c>
      <c r="Q458" t="n">
        <v>0</v>
      </c>
      <c r="R458" s="2" t="inlineStr"/>
    </row>
    <row r="459" ht="15" customHeight="1">
      <c r="A459" t="inlineStr">
        <is>
          <t>A 41976-2024</t>
        </is>
      </c>
      <c r="B459" s="1" t="n">
        <v>45561</v>
      </c>
      <c r="C459" s="1" t="n">
        <v>46192</v>
      </c>
      <c r="D459" t="inlineStr">
        <is>
          <t>STOCKHOLMS LÄN</t>
        </is>
      </c>
      <c r="E459" t="inlineStr">
        <is>
          <t>NORRTÄLJE</t>
        </is>
      </c>
      <c r="G459" t="n">
        <v>2.5</v>
      </c>
      <c r="H459" t="n">
        <v>0</v>
      </c>
      <c r="I459" t="n">
        <v>0</v>
      </c>
      <c r="J459" t="n">
        <v>0</v>
      </c>
      <c r="K459" t="n">
        <v>0</v>
      </c>
      <c r="L459" t="n">
        <v>0</v>
      </c>
      <c r="M459" t="n">
        <v>0</v>
      </c>
      <c r="N459" t="n">
        <v>0</v>
      </c>
      <c r="O459" t="n">
        <v>0</v>
      </c>
      <c r="P459" t="n">
        <v>0</v>
      </c>
      <c r="Q459" t="n">
        <v>0</v>
      </c>
      <c r="R459" s="2" t="inlineStr"/>
    </row>
    <row r="460" ht="15" customHeight="1">
      <c r="A460" t="inlineStr">
        <is>
          <t>A 51325-2023</t>
        </is>
      </c>
      <c r="B460" s="1" t="n">
        <v>45219</v>
      </c>
      <c r="C460" s="1" t="n">
        <v>46192</v>
      </c>
      <c r="D460" t="inlineStr">
        <is>
          <t>STOCKHOLMS LÄN</t>
        </is>
      </c>
      <c r="E460" t="inlineStr">
        <is>
          <t>NORRTÄLJE</t>
        </is>
      </c>
      <c r="G460" t="n">
        <v>2.2</v>
      </c>
      <c r="H460" t="n">
        <v>0</v>
      </c>
      <c r="I460" t="n">
        <v>0</v>
      </c>
      <c r="J460" t="n">
        <v>0</v>
      </c>
      <c r="K460" t="n">
        <v>0</v>
      </c>
      <c r="L460" t="n">
        <v>0</v>
      </c>
      <c r="M460" t="n">
        <v>0</v>
      </c>
      <c r="N460" t="n">
        <v>0</v>
      </c>
      <c r="O460" t="n">
        <v>0</v>
      </c>
      <c r="P460" t="n">
        <v>0</v>
      </c>
      <c r="Q460" t="n">
        <v>0</v>
      </c>
      <c r="R460" s="2" t="inlineStr"/>
    </row>
    <row r="461" ht="15" customHeight="1">
      <c r="A461" t="inlineStr">
        <is>
          <t>A 31107-2022</t>
        </is>
      </c>
      <c r="B461" s="1" t="n">
        <v>44769</v>
      </c>
      <c r="C461" s="1" t="n">
        <v>46192</v>
      </c>
      <c r="D461" t="inlineStr">
        <is>
          <t>STOCKHOLMS LÄN</t>
        </is>
      </c>
      <c r="E461" t="inlineStr">
        <is>
          <t>NORRTÄLJE</t>
        </is>
      </c>
      <c r="G461" t="n">
        <v>3.8</v>
      </c>
      <c r="H461" t="n">
        <v>0</v>
      </c>
      <c r="I461" t="n">
        <v>0</v>
      </c>
      <c r="J461" t="n">
        <v>0</v>
      </c>
      <c r="K461" t="n">
        <v>0</v>
      </c>
      <c r="L461" t="n">
        <v>0</v>
      </c>
      <c r="M461" t="n">
        <v>0</v>
      </c>
      <c r="N461" t="n">
        <v>0</v>
      </c>
      <c r="O461" t="n">
        <v>0</v>
      </c>
      <c r="P461" t="n">
        <v>0</v>
      </c>
      <c r="Q461" t="n">
        <v>0</v>
      </c>
      <c r="R461" s="2" t="inlineStr"/>
    </row>
    <row r="462" ht="15" customHeight="1">
      <c r="A462" t="inlineStr">
        <is>
          <t>A 6855-2025</t>
        </is>
      </c>
      <c r="B462" s="1" t="n">
        <v>45700</v>
      </c>
      <c r="C462" s="1" t="n">
        <v>46192</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34432-2021</t>
        </is>
      </c>
      <c r="B463" s="1" t="n">
        <v>44380</v>
      </c>
      <c r="C463" s="1" t="n">
        <v>46192</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53792-2023</t>
        </is>
      </c>
      <c r="B464" s="1" t="n">
        <v>45231</v>
      </c>
      <c r="C464" s="1" t="n">
        <v>46192</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54907-2025</t>
        </is>
      </c>
      <c r="B465" s="1" t="n">
        <v>45967</v>
      </c>
      <c r="C465" s="1" t="n">
        <v>46192</v>
      </c>
      <c r="D465" t="inlineStr">
        <is>
          <t>STOCKHOLMS LÄN</t>
        </is>
      </c>
      <c r="E465" t="inlineStr">
        <is>
          <t>NORRTÄLJE</t>
        </is>
      </c>
      <c r="G465" t="n">
        <v>2.3</v>
      </c>
      <c r="H465" t="n">
        <v>0</v>
      </c>
      <c r="I465" t="n">
        <v>0</v>
      </c>
      <c r="J465" t="n">
        <v>0</v>
      </c>
      <c r="K465" t="n">
        <v>0</v>
      </c>
      <c r="L465" t="n">
        <v>0</v>
      </c>
      <c r="M465" t="n">
        <v>0</v>
      </c>
      <c r="N465" t="n">
        <v>0</v>
      </c>
      <c r="O465" t="n">
        <v>0</v>
      </c>
      <c r="P465" t="n">
        <v>0</v>
      </c>
      <c r="Q465" t="n">
        <v>0</v>
      </c>
      <c r="R465" s="2" t="inlineStr"/>
    </row>
    <row r="466" ht="15" customHeight="1">
      <c r="A466" t="inlineStr">
        <is>
          <t>A 50569-2022</t>
        </is>
      </c>
      <c r="B466" s="1" t="n">
        <v>44866</v>
      </c>
      <c r="C466" s="1" t="n">
        <v>46192</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24501-2023</t>
        </is>
      </c>
      <c r="B467" s="1" t="n">
        <v>45082</v>
      </c>
      <c r="C467" s="1" t="n">
        <v>46192</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24520-2023</t>
        </is>
      </c>
      <c r="B468" s="1" t="n">
        <v>45082</v>
      </c>
      <c r="C468" s="1" t="n">
        <v>46192</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60654-2023</t>
        </is>
      </c>
      <c r="B469" s="1" t="n">
        <v>45260</v>
      </c>
      <c r="C469" s="1" t="n">
        <v>46192</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60656-2023</t>
        </is>
      </c>
      <c r="B470" s="1" t="n">
        <v>45260</v>
      </c>
      <c r="C470" s="1" t="n">
        <v>46192</v>
      </c>
      <c r="D470" t="inlineStr">
        <is>
          <t>STOCKHOLMS LÄN</t>
        </is>
      </c>
      <c r="E470" t="inlineStr">
        <is>
          <t>NORRTÄLJE</t>
        </is>
      </c>
      <c r="G470" t="n">
        <v>4.8</v>
      </c>
      <c r="H470" t="n">
        <v>0</v>
      </c>
      <c r="I470" t="n">
        <v>0</v>
      </c>
      <c r="J470" t="n">
        <v>0</v>
      </c>
      <c r="K470" t="n">
        <v>0</v>
      </c>
      <c r="L470" t="n">
        <v>0</v>
      </c>
      <c r="M470" t="n">
        <v>0</v>
      </c>
      <c r="N470" t="n">
        <v>0</v>
      </c>
      <c r="O470" t="n">
        <v>0</v>
      </c>
      <c r="P470" t="n">
        <v>0</v>
      </c>
      <c r="Q470" t="n">
        <v>0</v>
      </c>
      <c r="R470" s="2" t="inlineStr"/>
    </row>
    <row r="471" ht="15" customHeight="1">
      <c r="A471" t="inlineStr">
        <is>
          <t>A 54496-2024</t>
        </is>
      </c>
      <c r="B471" s="1" t="n">
        <v>45617</v>
      </c>
      <c r="C471" s="1" t="n">
        <v>46192</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23149-2024</t>
        </is>
      </c>
      <c r="B472" s="1" t="n">
        <v>45450</v>
      </c>
      <c r="C472" s="1" t="n">
        <v>46192</v>
      </c>
      <c r="D472" t="inlineStr">
        <is>
          <t>STOCKHOLMS LÄN</t>
        </is>
      </c>
      <c r="E472" t="inlineStr">
        <is>
          <t>NORRTÄLJE</t>
        </is>
      </c>
      <c r="F472" t="inlineStr">
        <is>
          <t>Kommuner</t>
        </is>
      </c>
      <c r="G472" t="n">
        <v>1.3</v>
      </c>
      <c r="H472" t="n">
        <v>0</v>
      </c>
      <c r="I472" t="n">
        <v>0</v>
      </c>
      <c r="J472" t="n">
        <v>0</v>
      </c>
      <c r="K472" t="n">
        <v>0</v>
      </c>
      <c r="L472" t="n">
        <v>0</v>
      </c>
      <c r="M472" t="n">
        <v>0</v>
      </c>
      <c r="N472" t="n">
        <v>0</v>
      </c>
      <c r="O472" t="n">
        <v>0</v>
      </c>
      <c r="P472" t="n">
        <v>0</v>
      </c>
      <c r="Q472" t="n">
        <v>0</v>
      </c>
      <c r="R472" s="2" t="inlineStr"/>
    </row>
    <row r="473" ht="15" customHeight="1">
      <c r="A473" t="inlineStr">
        <is>
          <t>A 23151-2024</t>
        </is>
      </c>
      <c r="B473" s="1" t="n">
        <v>45450</v>
      </c>
      <c r="C473" s="1" t="n">
        <v>46192</v>
      </c>
      <c r="D473" t="inlineStr">
        <is>
          <t>STOCKHOLMS LÄN</t>
        </is>
      </c>
      <c r="E473" t="inlineStr">
        <is>
          <t>NORRTÄLJE</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21386-2023</t>
        </is>
      </c>
      <c r="B474" s="1" t="n">
        <v>45063</v>
      </c>
      <c r="C474" s="1" t="n">
        <v>46192</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55599-2025</t>
        </is>
      </c>
      <c r="B475" s="1" t="n">
        <v>45971</v>
      </c>
      <c r="C475" s="1" t="n">
        <v>46192</v>
      </c>
      <c r="D475" t="inlineStr">
        <is>
          <t>STOCKHOLMS LÄN</t>
        </is>
      </c>
      <c r="E475" t="inlineStr">
        <is>
          <t>NORRTÄLJE</t>
        </is>
      </c>
      <c r="F475" t="inlineStr">
        <is>
          <t>Holmen skog AB</t>
        </is>
      </c>
      <c r="G475" t="n">
        <v>6.4</v>
      </c>
      <c r="H475" t="n">
        <v>0</v>
      </c>
      <c r="I475" t="n">
        <v>0</v>
      </c>
      <c r="J475" t="n">
        <v>0</v>
      </c>
      <c r="K475" t="n">
        <v>0</v>
      </c>
      <c r="L475" t="n">
        <v>0</v>
      </c>
      <c r="M475" t="n">
        <v>0</v>
      </c>
      <c r="N475" t="n">
        <v>0</v>
      </c>
      <c r="O475" t="n">
        <v>0</v>
      </c>
      <c r="P475" t="n">
        <v>0</v>
      </c>
      <c r="Q475" t="n">
        <v>0</v>
      </c>
      <c r="R475" s="2" t="inlineStr"/>
    </row>
    <row r="476" ht="15" customHeight="1">
      <c r="A476" t="inlineStr">
        <is>
          <t>A 10642-2025</t>
        </is>
      </c>
      <c r="B476" s="1" t="n">
        <v>45721</v>
      </c>
      <c r="C476" s="1" t="n">
        <v>46192</v>
      </c>
      <c r="D476" t="inlineStr">
        <is>
          <t>STOCKHOLMS LÄN</t>
        </is>
      </c>
      <c r="E476" t="inlineStr">
        <is>
          <t>NORRTÄLJE</t>
        </is>
      </c>
      <c r="G476" t="n">
        <v>2.6</v>
      </c>
      <c r="H476" t="n">
        <v>0</v>
      </c>
      <c r="I476" t="n">
        <v>0</v>
      </c>
      <c r="J476" t="n">
        <v>0</v>
      </c>
      <c r="K476" t="n">
        <v>0</v>
      </c>
      <c r="L476" t="n">
        <v>0</v>
      </c>
      <c r="M476" t="n">
        <v>0</v>
      </c>
      <c r="N476" t="n">
        <v>0</v>
      </c>
      <c r="O476" t="n">
        <v>0</v>
      </c>
      <c r="P476" t="n">
        <v>0</v>
      </c>
      <c r="Q476" t="n">
        <v>0</v>
      </c>
      <c r="R476" s="2" t="inlineStr"/>
    </row>
    <row r="477" ht="15" customHeight="1">
      <c r="A477" t="inlineStr">
        <is>
          <t>A 52001-2023</t>
        </is>
      </c>
      <c r="B477" s="1" t="n">
        <v>45223</v>
      </c>
      <c r="C477" s="1" t="n">
        <v>46192</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56114-2025</t>
        </is>
      </c>
      <c r="B478" s="1" t="n">
        <v>45973</v>
      </c>
      <c r="C478" s="1" t="n">
        <v>46192</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60185-2024</t>
        </is>
      </c>
      <c r="B479" s="1" t="n">
        <v>45642</v>
      </c>
      <c r="C479" s="1" t="n">
        <v>46192</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48686-2023</t>
        </is>
      </c>
      <c r="B480" s="1" t="n">
        <v>45208</v>
      </c>
      <c r="C480" s="1" t="n">
        <v>46192</v>
      </c>
      <c r="D480" t="inlineStr">
        <is>
          <t>STOCKHOLMS LÄN</t>
        </is>
      </c>
      <c r="E480" t="inlineStr">
        <is>
          <t>NORRTÄLJE</t>
        </is>
      </c>
      <c r="G480" t="n">
        <v>6</v>
      </c>
      <c r="H480" t="n">
        <v>0</v>
      </c>
      <c r="I480" t="n">
        <v>0</v>
      </c>
      <c r="J480" t="n">
        <v>0</v>
      </c>
      <c r="K480" t="n">
        <v>0</v>
      </c>
      <c r="L480" t="n">
        <v>0</v>
      </c>
      <c r="M480" t="n">
        <v>0</v>
      </c>
      <c r="N480" t="n">
        <v>0</v>
      </c>
      <c r="O480" t="n">
        <v>0</v>
      </c>
      <c r="P480" t="n">
        <v>0</v>
      </c>
      <c r="Q480" t="n">
        <v>0</v>
      </c>
      <c r="R480" s="2" t="inlineStr"/>
    </row>
    <row r="481" ht="15" customHeight="1">
      <c r="A481" t="inlineStr">
        <is>
          <t>A 48691-2023</t>
        </is>
      </c>
      <c r="B481" s="1" t="n">
        <v>45208</v>
      </c>
      <c r="C481" s="1" t="n">
        <v>46192</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20144-2023</t>
        </is>
      </c>
      <c r="B482" s="1" t="n">
        <v>45055</v>
      </c>
      <c r="C482" s="1" t="n">
        <v>46192</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53312-2024</t>
        </is>
      </c>
      <c r="B483" s="1" t="n">
        <v>45614</v>
      </c>
      <c r="C483" s="1" t="n">
        <v>46192</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21726-2022</t>
        </is>
      </c>
      <c r="B484" s="1" t="n">
        <v>44708</v>
      </c>
      <c r="C484" s="1" t="n">
        <v>46192</v>
      </c>
      <c r="D484" t="inlineStr">
        <is>
          <t>STOCKHOLMS LÄN</t>
        </is>
      </c>
      <c r="E484" t="inlineStr">
        <is>
          <t>NORRTÄLJE</t>
        </is>
      </c>
      <c r="G484" t="n">
        <v>0.2</v>
      </c>
      <c r="H484" t="n">
        <v>0</v>
      </c>
      <c r="I484" t="n">
        <v>0</v>
      </c>
      <c r="J484" t="n">
        <v>0</v>
      </c>
      <c r="K484" t="n">
        <v>0</v>
      </c>
      <c r="L484" t="n">
        <v>0</v>
      </c>
      <c r="M484" t="n">
        <v>0</v>
      </c>
      <c r="N484" t="n">
        <v>0</v>
      </c>
      <c r="O484" t="n">
        <v>0</v>
      </c>
      <c r="P484" t="n">
        <v>0</v>
      </c>
      <c r="Q484" t="n">
        <v>0</v>
      </c>
      <c r="R484" s="2" t="inlineStr"/>
    </row>
    <row r="485" ht="15" customHeight="1">
      <c r="A485" t="inlineStr">
        <is>
          <t>A 21739-2022</t>
        </is>
      </c>
      <c r="B485" s="1" t="n">
        <v>44708</v>
      </c>
      <c r="C485" s="1" t="n">
        <v>46192</v>
      </c>
      <c r="D485" t="inlineStr">
        <is>
          <t>STOCKHOLMS LÄN</t>
        </is>
      </c>
      <c r="E485" t="inlineStr">
        <is>
          <t>NORRTÄLJE</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35210-2023</t>
        </is>
      </c>
      <c r="B486" s="1" t="n">
        <v>45145</v>
      </c>
      <c r="C486" s="1" t="n">
        <v>46192</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59767-2022</t>
        </is>
      </c>
      <c r="B487" s="1" t="n">
        <v>44900</v>
      </c>
      <c r="C487" s="1" t="n">
        <v>46192</v>
      </c>
      <c r="D487" t="inlineStr">
        <is>
          <t>STOCKHOLMS LÄN</t>
        </is>
      </c>
      <c r="E487" t="inlineStr">
        <is>
          <t>NORRTÄLJE</t>
        </is>
      </c>
      <c r="G487" t="n">
        <v>2.2</v>
      </c>
      <c r="H487" t="n">
        <v>0</v>
      </c>
      <c r="I487" t="n">
        <v>0</v>
      </c>
      <c r="J487" t="n">
        <v>0</v>
      </c>
      <c r="K487" t="n">
        <v>0</v>
      </c>
      <c r="L487" t="n">
        <v>0</v>
      </c>
      <c r="M487" t="n">
        <v>0</v>
      </c>
      <c r="N487" t="n">
        <v>0</v>
      </c>
      <c r="O487" t="n">
        <v>0</v>
      </c>
      <c r="P487" t="n">
        <v>0</v>
      </c>
      <c r="Q487" t="n">
        <v>0</v>
      </c>
      <c r="R487" s="2" t="inlineStr"/>
    </row>
    <row r="488" ht="15" customHeight="1">
      <c r="A488" t="inlineStr">
        <is>
          <t>A 22756-2022</t>
        </is>
      </c>
      <c r="B488" s="1" t="n">
        <v>44714</v>
      </c>
      <c r="C488" s="1" t="n">
        <v>46192</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4581-2025</t>
        </is>
      </c>
      <c r="B489" s="1" t="n">
        <v>45687</v>
      </c>
      <c r="C489" s="1" t="n">
        <v>46192</v>
      </c>
      <c r="D489" t="inlineStr">
        <is>
          <t>STOCKHOLMS LÄN</t>
        </is>
      </c>
      <c r="E489" t="inlineStr">
        <is>
          <t>NORRTÄLJE</t>
        </is>
      </c>
      <c r="F489" t="inlineStr">
        <is>
          <t>Holmen skog AB</t>
        </is>
      </c>
      <c r="G489" t="n">
        <v>2.8</v>
      </c>
      <c r="H489" t="n">
        <v>0</v>
      </c>
      <c r="I489" t="n">
        <v>0</v>
      </c>
      <c r="J489" t="n">
        <v>0</v>
      </c>
      <c r="K489" t="n">
        <v>0</v>
      </c>
      <c r="L489" t="n">
        <v>0</v>
      </c>
      <c r="M489" t="n">
        <v>0</v>
      </c>
      <c r="N489" t="n">
        <v>0</v>
      </c>
      <c r="O489" t="n">
        <v>0</v>
      </c>
      <c r="P489" t="n">
        <v>0</v>
      </c>
      <c r="Q489" t="n">
        <v>0</v>
      </c>
      <c r="R489" s="2" t="inlineStr"/>
    </row>
    <row r="490" ht="15" customHeight="1">
      <c r="A490" t="inlineStr">
        <is>
          <t>A 19915-2024</t>
        </is>
      </c>
      <c r="B490" s="1" t="n">
        <v>45433</v>
      </c>
      <c r="C490" s="1" t="n">
        <v>46192</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56207-2025</t>
        </is>
      </c>
      <c r="B491" s="1" t="n">
        <v>45974</v>
      </c>
      <c r="C491" s="1" t="n">
        <v>46192</v>
      </c>
      <c r="D491" t="inlineStr">
        <is>
          <t>STOCKHOLMS LÄN</t>
        </is>
      </c>
      <c r="E491" t="inlineStr">
        <is>
          <t>NORRTÄLJE</t>
        </is>
      </c>
      <c r="G491" t="n">
        <v>3.2</v>
      </c>
      <c r="H491" t="n">
        <v>0</v>
      </c>
      <c r="I491" t="n">
        <v>0</v>
      </c>
      <c r="J491" t="n">
        <v>0</v>
      </c>
      <c r="K491" t="n">
        <v>0</v>
      </c>
      <c r="L491" t="n">
        <v>0</v>
      </c>
      <c r="M491" t="n">
        <v>0</v>
      </c>
      <c r="N491" t="n">
        <v>0</v>
      </c>
      <c r="O491" t="n">
        <v>0</v>
      </c>
      <c r="P491" t="n">
        <v>0</v>
      </c>
      <c r="Q491" t="n">
        <v>0</v>
      </c>
      <c r="R491" s="2" t="inlineStr"/>
    </row>
    <row r="492" ht="15" customHeight="1">
      <c r="A492" t="inlineStr">
        <is>
          <t>A 29176-2024</t>
        </is>
      </c>
      <c r="B492" s="1" t="n">
        <v>45482</v>
      </c>
      <c r="C492" s="1" t="n">
        <v>46192</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52508-2023</t>
        </is>
      </c>
      <c r="B493" s="1" t="n">
        <v>45225</v>
      </c>
      <c r="C493" s="1" t="n">
        <v>46192</v>
      </c>
      <c r="D493" t="inlineStr">
        <is>
          <t>STOCKHOLMS LÄN</t>
        </is>
      </c>
      <c r="E493" t="inlineStr">
        <is>
          <t>NORRTÄLJE</t>
        </is>
      </c>
      <c r="G493" t="n">
        <v>19.7</v>
      </c>
      <c r="H493" t="n">
        <v>0</v>
      </c>
      <c r="I493" t="n">
        <v>0</v>
      </c>
      <c r="J493" t="n">
        <v>0</v>
      </c>
      <c r="K493" t="n">
        <v>0</v>
      </c>
      <c r="L493" t="n">
        <v>0</v>
      </c>
      <c r="M493" t="n">
        <v>0</v>
      </c>
      <c r="N493" t="n">
        <v>0</v>
      </c>
      <c r="O493" t="n">
        <v>0</v>
      </c>
      <c r="P493" t="n">
        <v>0</v>
      </c>
      <c r="Q493" t="n">
        <v>0</v>
      </c>
      <c r="R493" s="2" t="inlineStr"/>
    </row>
    <row r="494" ht="15" customHeight="1">
      <c r="A494" t="inlineStr">
        <is>
          <t>A 36430-2024</t>
        </is>
      </c>
      <c r="B494" s="1" t="n">
        <v>45536</v>
      </c>
      <c r="C494" s="1" t="n">
        <v>46192</v>
      </c>
      <c r="D494" t="inlineStr">
        <is>
          <t>STOCKHOLMS LÄN</t>
        </is>
      </c>
      <c r="E494" t="inlineStr">
        <is>
          <t>NORRTÄLJE</t>
        </is>
      </c>
      <c r="G494" t="n">
        <v>1</v>
      </c>
      <c r="H494" t="n">
        <v>0</v>
      </c>
      <c r="I494" t="n">
        <v>0</v>
      </c>
      <c r="J494" t="n">
        <v>0</v>
      </c>
      <c r="K494" t="n">
        <v>0</v>
      </c>
      <c r="L494" t="n">
        <v>0</v>
      </c>
      <c r="M494" t="n">
        <v>0</v>
      </c>
      <c r="N494" t="n">
        <v>0</v>
      </c>
      <c r="O494" t="n">
        <v>0</v>
      </c>
      <c r="P494" t="n">
        <v>0</v>
      </c>
      <c r="Q494" t="n">
        <v>0</v>
      </c>
      <c r="R494" s="2" t="inlineStr"/>
    </row>
    <row r="495" ht="15" customHeight="1">
      <c r="A495" t="inlineStr">
        <is>
          <t>A 35640-2024</t>
        </is>
      </c>
      <c r="B495" s="1" t="n">
        <v>45531</v>
      </c>
      <c r="C495" s="1" t="n">
        <v>46192</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59276-2023</t>
        </is>
      </c>
      <c r="B496" s="1" t="n">
        <v>45253</v>
      </c>
      <c r="C496" s="1" t="n">
        <v>46192</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46914-2022</t>
        </is>
      </c>
      <c r="B497" s="1" t="n">
        <v>44851</v>
      </c>
      <c r="C497" s="1" t="n">
        <v>46192</v>
      </c>
      <c r="D497" t="inlineStr">
        <is>
          <t>STOCKHOLMS LÄN</t>
        </is>
      </c>
      <c r="E497" t="inlineStr">
        <is>
          <t>NORRTÄLJE</t>
        </is>
      </c>
      <c r="G497" t="n">
        <v>2.4</v>
      </c>
      <c r="H497" t="n">
        <v>0</v>
      </c>
      <c r="I497" t="n">
        <v>0</v>
      </c>
      <c r="J497" t="n">
        <v>0</v>
      </c>
      <c r="K497" t="n">
        <v>0</v>
      </c>
      <c r="L497" t="n">
        <v>0</v>
      </c>
      <c r="M497" t="n">
        <v>0</v>
      </c>
      <c r="N497" t="n">
        <v>0</v>
      </c>
      <c r="O497" t="n">
        <v>0</v>
      </c>
      <c r="P497" t="n">
        <v>0</v>
      </c>
      <c r="Q497" t="n">
        <v>0</v>
      </c>
      <c r="R497" s="2" t="inlineStr"/>
    </row>
    <row r="498" ht="15" customHeight="1">
      <c r="A498" t="inlineStr">
        <is>
          <t>A 18541-2023</t>
        </is>
      </c>
      <c r="B498" s="1" t="n">
        <v>45042</v>
      </c>
      <c r="C498" s="1" t="n">
        <v>46192</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43212-2022</t>
        </is>
      </c>
      <c r="B499" s="1" t="n">
        <v>44834</v>
      </c>
      <c r="C499" s="1" t="n">
        <v>46192</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51653-2022</t>
        </is>
      </c>
      <c r="B500" s="1" t="n">
        <v>44867</v>
      </c>
      <c r="C500" s="1" t="n">
        <v>46192</v>
      </c>
      <c r="D500" t="inlineStr">
        <is>
          <t>STOCKHOLMS LÄN</t>
        </is>
      </c>
      <c r="E500" t="inlineStr">
        <is>
          <t>NORRTÄLJE</t>
        </is>
      </c>
      <c r="G500" t="n">
        <v>6.6</v>
      </c>
      <c r="H500" t="n">
        <v>0</v>
      </c>
      <c r="I500" t="n">
        <v>0</v>
      </c>
      <c r="J500" t="n">
        <v>0</v>
      </c>
      <c r="K500" t="n">
        <v>0</v>
      </c>
      <c r="L500" t="n">
        <v>0</v>
      </c>
      <c r="M500" t="n">
        <v>0</v>
      </c>
      <c r="N500" t="n">
        <v>0</v>
      </c>
      <c r="O500" t="n">
        <v>0</v>
      </c>
      <c r="P500" t="n">
        <v>0</v>
      </c>
      <c r="Q500" t="n">
        <v>0</v>
      </c>
      <c r="R500" s="2" t="inlineStr"/>
    </row>
    <row r="501" ht="15" customHeight="1">
      <c r="A501" t="inlineStr">
        <is>
          <t>A 3509-2022</t>
        </is>
      </c>
      <c r="B501" s="1" t="n">
        <v>44585</v>
      </c>
      <c r="C501" s="1" t="n">
        <v>46192</v>
      </c>
      <c r="D501" t="inlineStr">
        <is>
          <t>STOCKHOLMS LÄN</t>
        </is>
      </c>
      <c r="E501" t="inlineStr">
        <is>
          <t>NORRTÄLJE</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26407-2024</t>
        </is>
      </c>
      <c r="B502" s="1" t="n">
        <v>45469</v>
      </c>
      <c r="C502" s="1" t="n">
        <v>46192</v>
      </c>
      <c r="D502" t="inlineStr">
        <is>
          <t>STOCKHOLMS LÄN</t>
        </is>
      </c>
      <c r="E502" t="inlineStr">
        <is>
          <t>NORRTÄLJE</t>
        </is>
      </c>
      <c r="G502" t="n">
        <v>3.5</v>
      </c>
      <c r="H502" t="n">
        <v>0</v>
      </c>
      <c r="I502" t="n">
        <v>0</v>
      </c>
      <c r="J502" t="n">
        <v>0</v>
      </c>
      <c r="K502" t="n">
        <v>0</v>
      </c>
      <c r="L502" t="n">
        <v>0</v>
      </c>
      <c r="M502" t="n">
        <v>0</v>
      </c>
      <c r="N502" t="n">
        <v>0</v>
      </c>
      <c r="O502" t="n">
        <v>0</v>
      </c>
      <c r="P502" t="n">
        <v>0</v>
      </c>
      <c r="Q502" t="n">
        <v>0</v>
      </c>
      <c r="R502" s="2" t="inlineStr"/>
    </row>
    <row r="503" ht="15" customHeight="1">
      <c r="A503" t="inlineStr">
        <is>
          <t>A 12890-2024</t>
        </is>
      </c>
      <c r="B503" s="1" t="n">
        <v>45385</v>
      </c>
      <c r="C503" s="1" t="n">
        <v>46192</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4322-2023</t>
        </is>
      </c>
      <c r="B504" s="1" t="n">
        <v>44953</v>
      </c>
      <c r="C504" s="1" t="n">
        <v>46192</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47419-2023</t>
        </is>
      </c>
      <c r="B505" s="1" t="n">
        <v>45202</v>
      </c>
      <c r="C505" s="1" t="n">
        <v>46192</v>
      </c>
      <c r="D505" t="inlineStr">
        <is>
          <t>STOCKHOLMS LÄN</t>
        </is>
      </c>
      <c r="E505" t="inlineStr">
        <is>
          <t>NORRTÄLJE</t>
        </is>
      </c>
      <c r="G505" t="n">
        <v>11.4</v>
      </c>
      <c r="H505" t="n">
        <v>0</v>
      </c>
      <c r="I505" t="n">
        <v>0</v>
      </c>
      <c r="J505" t="n">
        <v>0</v>
      </c>
      <c r="K505" t="n">
        <v>0</v>
      </c>
      <c r="L505" t="n">
        <v>0</v>
      </c>
      <c r="M505" t="n">
        <v>0</v>
      </c>
      <c r="N505" t="n">
        <v>0</v>
      </c>
      <c r="O505" t="n">
        <v>0</v>
      </c>
      <c r="P505" t="n">
        <v>0</v>
      </c>
      <c r="Q505" t="n">
        <v>0</v>
      </c>
      <c r="R505" s="2" t="inlineStr"/>
    </row>
    <row r="506" ht="15" customHeight="1">
      <c r="A506" t="inlineStr">
        <is>
          <t>A 23070-2023</t>
        </is>
      </c>
      <c r="B506" s="1" t="n">
        <v>45075</v>
      </c>
      <c r="C506" s="1" t="n">
        <v>46192</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27824-2022</t>
        </is>
      </c>
      <c r="B507" s="1" t="n">
        <v>44743</v>
      </c>
      <c r="C507" s="1" t="n">
        <v>46192</v>
      </c>
      <c r="D507" t="inlineStr">
        <is>
          <t>STOCKHOLMS LÄN</t>
        </is>
      </c>
      <c r="E507" t="inlineStr">
        <is>
          <t>NORRTÄLJE</t>
        </is>
      </c>
      <c r="F507" t="inlineStr">
        <is>
          <t>Kommuner</t>
        </is>
      </c>
      <c r="G507" t="n">
        <v>3.1</v>
      </c>
      <c r="H507" t="n">
        <v>0</v>
      </c>
      <c r="I507" t="n">
        <v>0</v>
      </c>
      <c r="J507" t="n">
        <v>0</v>
      </c>
      <c r="K507" t="n">
        <v>0</v>
      </c>
      <c r="L507" t="n">
        <v>0</v>
      </c>
      <c r="M507" t="n">
        <v>0</v>
      </c>
      <c r="N507" t="n">
        <v>0</v>
      </c>
      <c r="O507" t="n">
        <v>0</v>
      </c>
      <c r="P507" t="n">
        <v>0</v>
      </c>
      <c r="Q507" t="n">
        <v>0</v>
      </c>
      <c r="R507" s="2" t="inlineStr"/>
    </row>
    <row r="508" ht="15" customHeight="1">
      <c r="A508" t="inlineStr">
        <is>
          <t>A 25619-2022</t>
        </is>
      </c>
      <c r="B508" s="1" t="n">
        <v>44732</v>
      </c>
      <c r="C508" s="1" t="n">
        <v>46192</v>
      </c>
      <c r="D508" t="inlineStr">
        <is>
          <t>STOCKHOLMS LÄN</t>
        </is>
      </c>
      <c r="E508" t="inlineStr">
        <is>
          <t>NORRTÄLJE</t>
        </is>
      </c>
      <c r="G508" t="n">
        <v>3.9</v>
      </c>
      <c r="H508" t="n">
        <v>0</v>
      </c>
      <c r="I508" t="n">
        <v>0</v>
      </c>
      <c r="J508" t="n">
        <v>0</v>
      </c>
      <c r="K508" t="n">
        <v>0</v>
      </c>
      <c r="L508" t="n">
        <v>0</v>
      </c>
      <c r="M508" t="n">
        <v>0</v>
      </c>
      <c r="N508" t="n">
        <v>0</v>
      </c>
      <c r="O508" t="n">
        <v>0</v>
      </c>
      <c r="P508" t="n">
        <v>0</v>
      </c>
      <c r="Q508" t="n">
        <v>0</v>
      </c>
      <c r="R508" s="2" t="inlineStr"/>
    </row>
    <row r="509" ht="15" customHeight="1">
      <c r="A509" t="inlineStr">
        <is>
          <t>A 38990-2022</t>
        </is>
      </c>
      <c r="B509" s="1" t="n">
        <v>44816</v>
      </c>
      <c r="C509" s="1" t="n">
        <v>46192</v>
      </c>
      <c r="D509" t="inlineStr">
        <is>
          <t>STOCKHOLMS LÄN</t>
        </is>
      </c>
      <c r="E509" t="inlineStr">
        <is>
          <t>NORRTÄLJE</t>
        </is>
      </c>
      <c r="G509" t="n">
        <v>5.7</v>
      </c>
      <c r="H509" t="n">
        <v>0</v>
      </c>
      <c r="I509" t="n">
        <v>0</v>
      </c>
      <c r="J509" t="n">
        <v>0</v>
      </c>
      <c r="K509" t="n">
        <v>0</v>
      </c>
      <c r="L509" t="n">
        <v>0</v>
      </c>
      <c r="M509" t="n">
        <v>0</v>
      </c>
      <c r="N509" t="n">
        <v>0</v>
      </c>
      <c r="O509" t="n">
        <v>0</v>
      </c>
      <c r="P509" t="n">
        <v>0</v>
      </c>
      <c r="Q509" t="n">
        <v>0</v>
      </c>
      <c r="R509" s="2" t="inlineStr"/>
    </row>
    <row r="510" ht="15" customHeight="1">
      <c r="A510" t="inlineStr">
        <is>
          <t>A 875-2023</t>
        </is>
      </c>
      <c r="B510" s="1" t="n">
        <v>44931</v>
      </c>
      <c r="C510" s="1" t="n">
        <v>46192</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31236-2022</t>
        </is>
      </c>
      <c r="B511" s="1" t="n">
        <v>44771</v>
      </c>
      <c r="C511" s="1" t="n">
        <v>46192</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36246-2021</t>
        </is>
      </c>
      <c r="B512" s="1" t="n">
        <v>44390</v>
      </c>
      <c r="C512" s="1" t="n">
        <v>46192</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58403-2025</t>
        </is>
      </c>
      <c r="B513" s="1" t="n">
        <v>45985</v>
      </c>
      <c r="C513" s="1" t="n">
        <v>46192</v>
      </c>
      <c r="D513" t="inlineStr">
        <is>
          <t>STOCKHOLMS LÄN</t>
        </is>
      </c>
      <c r="E513" t="inlineStr">
        <is>
          <t>NORRTÄLJE</t>
        </is>
      </c>
      <c r="F513" t="inlineStr">
        <is>
          <t>Naturvårdsverket</t>
        </is>
      </c>
      <c r="G513" t="n">
        <v>13.5</v>
      </c>
      <c r="H513" t="n">
        <v>0</v>
      </c>
      <c r="I513" t="n">
        <v>0</v>
      </c>
      <c r="J513" t="n">
        <v>0</v>
      </c>
      <c r="K513" t="n">
        <v>0</v>
      </c>
      <c r="L513" t="n">
        <v>0</v>
      </c>
      <c r="M513" t="n">
        <v>0</v>
      </c>
      <c r="N513" t="n">
        <v>0</v>
      </c>
      <c r="O513" t="n">
        <v>0</v>
      </c>
      <c r="P513" t="n">
        <v>0</v>
      </c>
      <c r="Q513" t="n">
        <v>0</v>
      </c>
      <c r="R513" s="2" t="inlineStr"/>
    </row>
    <row r="514" ht="15" customHeight="1">
      <c r="A514" t="inlineStr">
        <is>
          <t>A 19952-2023</t>
        </is>
      </c>
      <c r="B514" s="1" t="n">
        <v>45054</v>
      </c>
      <c r="C514" s="1" t="n">
        <v>46192</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19994-2023</t>
        </is>
      </c>
      <c r="B515" s="1" t="n">
        <v>45054</v>
      </c>
      <c r="C515" s="1" t="n">
        <v>46192</v>
      </c>
      <c r="D515" t="inlineStr">
        <is>
          <t>STOCKHOLMS LÄN</t>
        </is>
      </c>
      <c r="E515" t="inlineStr">
        <is>
          <t>NORRTÄLJE</t>
        </is>
      </c>
      <c r="G515" t="n">
        <v>4.3</v>
      </c>
      <c r="H515" t="n">
        <v>0</v>
      </c>
      <c r="I515" t="n">
        <v>0</v>
      </c>
      <c r="J515" t="n">
        <v>0</v>
      </c>
      <c r="K515" t="n">
        <v>0</v>
      </c>
      <c r="L515" t="n">
        <v>0</v>
      </c>
      <c r="M515" t="n">
        <v>0</v>
      </c>
      <c r="N515" t="n">
        <v>0</v>
      </c>
      <c r="O515" t="n">
        <v>0</v>
      </c>
      <c r="P515" t="n">
        <v>0</v>
      </c>
      <c r="Q515" t="n">
        <v>0</v>
      </c>
      <c r="R515" s="2" t="inlineStr"/>
    </row>
    <row r="516" ht="15" customHeight="1">
      <c r="A516" t="inlineStr">
        <is>
          <t>A 18665-2022</t>
        </is>
      </c>
      <c r="B516" s="1" t="n">
        <v>44687</v>
      </c>
      <c r="C516" s="1" t="n">
        <v>46192</v>
      </c>
      <c r="D516" t="inlineStr">
        <is>
          <t>STOCKHOLMS LÄN</t>
        </is>
      </c>
      <c r="E516" t="inlineStr">
        <is>
          <t>NORRTÄLJE</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57953-2025</t>
        </is>
      </c>
      <c r="B517" s="1" t="n">
        <v>45982</v>
      </c>
      <c r="C517" s="1" t="n">
        <v>46192</v>
      </c>
      <c r="D517" t="inlineStr">
        <is>
          <t>STOCKHOLMS LÄN</t>
        </is>
      </c>
      <c r="E517" t="inlineStr">
        <is>
          <t>NORRTÄLJE</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574-2023</t>
        </is>
      </c>
      <c r="B518" s="1" t="n">
        <v>44925</v>
      </c>
      <c r="C518" s="1" t="n">
        <v>46192</v>
      </c>
      <c r="D518" t="inlineStr">
        <is>
          <t>STOCKHOLMS LÄN</t>
        </is>
      </c>
      <c r="E518" t="inlineStr">
        <is>
          <t>NORRTÄLJE</t>
        </is>
      </c>
      <c r="G518" t="n">
        <v>5</v>
      </c>
      <c r="H518" t="n">
        <v>0</v>
      </c>
      <c r="I518" t="n">
        <v>0</v>
      </c>
      <c r="J518" t="n">
        <v>0</v>
      </c>
      <c r="K518" t="n">
        <v>0</v>
      </c>
      <c r="L518" t="n">
        <v>0</v>
      </c>
      <c r="M518" t="n">
        <v>0</v>
      </c>
      <c r="N518" t="n">
        <v>0</v>
      </c>
      <c r="O518" t="n">
        <v>0</v>
      </c>
      <c r="P518" t="n">
        <v>0</v>
      </c>
      <c r="Q518" t="n">
        <v>0</v>
      </c>
      <c r="R518" s="2" t="inlineStr"/>
    </row>
    <row r="519" ht="15" customHeight="1">
      <c r="A519" t="inlineStr">
        <is>
          <t>A 30283-2022</t>
        </is>
      </c>
      <c r="B519" s="1" t="n">
        <v>44760</v>
      </c>
      <c r="C519" s="1" t="n">
        <v>46192</v>
      </c>
      <c r="D519" t="inlineStr">
        <is>
          <t>STOCKHOLMS LÄN</t>
        </is>
      </c>
      <c r="E519" t="inlineStr">
        <is>
          <t>NORRTÄLJE</t>
        </is>
      </c>
      <c r="G519" t="n">
        <v>6.2</v>
      </c>
      <c r="H519" t="n">
        <v>0</v>
      </c>
      <c r="I519" t="n">
        <v>0</v>
      </c>
      <c r="J519" t="n">
        <v>0</v>
      </c>
      <c r="K519" t="n">
        <v>0</v>
      </c>
      <c r="L519" t="n">
        <v>0</v>
      </c>
      <c r="M519" t="n">
        <v>0</v>
      </c>
      <c r="N519" t="n">
        <v>0</v>
      </c>
      <c r="O519" t="n">
        <v>0</v>
      </c>
      <c r="P519" t="n">
        <v>0</v>
      </c>
      <c r="Q519" t="n">
        <v>0</v>
      </c>
      <c r="R519" s="2" t="inlineStr"/>
    </row>
    <row r="520" ht="15" customHeight="1">
      <c r="A520" t="inlineStr">
        <is>
          <t>A 58302-2022</t>
        </is>
      </c>
      <c r="B520" s="1" t="n">
        <v>44901</v>
      </c>
      <c r="C520" s="1" t="n">
        <v>46192</v>
      </c>
      <c r="D520" t="inlineStr">
        <is>
          <t>STOCKHOLMS LÄN</t>
        </is>
      </c>
      <c r="E520" t="inlineStr">
        <is>
          <t>NORRTÄLJE</t>
        </is>
      </c>
      <c r="G520" t="n">
        <v>3.9</v>
      </c>
      <c r="H520" t="n">
        <v>0</v>
      </c>
      <c r="I520" t="n">
        <v>0</v>
      </c>
      <c r="J520" t="n">
        <v>0</v>
      </c>
      <c r="K520" t="n">
        <v>0</v>
      </c>
      <c r="L520" t="n">
        <v>0</v>
      </c>
      <c r="M520" t="n">
        <v>0</v>
      </c>
      <c r="N520" t="n">
        <v>0</v>
      </c>
      <c r="O520" t="n">
        <v>0</v>
      </c>
      <c r="P520" t="n">
        <v>0</v>
      </c>
      <c r="Q520" t="n">
        <v>0</v>
      </c>
      <c r="R520" s="2" t="inlineStr"/>
    </row>
    <row r="521" ht="15" customHeight="1">
      <c r="A521" t="inlineStr">
        <is>
          <t>A 60884-2024</t>
        </is>
      </c>
      <c r="B521" s="1" t="n">
        <v>45644</v>
      </c>
      <c r="C521" s="1" t="n">
        <v>46192</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10090-2022</t>
        </is>
      </c>
      <c r="B522" s="1" t="n">
        <v>44621</v>
      </c>
      <c r="C522" s="1" t="n">
        <v>46192</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30338-2022</t>
        </is>
      </c>
      <c r="B523" s="1" t="n">
        <v>44760</v>
      </c>
      <c r="C523" s="1" t="n">
        <v>46192</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2888-2022</t>
        </is>
      </c>
      <c r="B524" s="1" t="n">
        <v>44581</v>
      </c>
      <c r="C524" s="1" t="n">
        <v>46192</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43300-2023</t>
        </is>
      </c>
      <c r="B525" s="1" t="n">
        <v>45183</v>
      </c>
      <c r="C525" s="1" t="n">
        <v>46192</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25654-2023</t>
        </is>
      </c>
      <c r="B526" s="1" t="n">
        <v>45089</v>
      </c>
      <c r="C526" s="1" t="n">
        <v>46192</v>
      </c>
      <c r="D526" t="inlineStr">
        <is>
          <t>STOCKHOLMS LÄN</t>
        </is>
      </c>
      <c r="E526" t="inlineStr">
        <is>
          <t>NORRTÄLJE</t>
        </is>
      </c>
      <c r="G526" t="n">
        <v>2.1</v>
      </c>
      <c r="H526" t="n">
        <v>0</v>
      </c>
      <c r="I526" t="n">
        <v>0</v>
      </c>
      <c r="J526" t="n">
        <v>0</v>
      </c>
      <c r="K526" t="n">
        <v>0</v>
      </c>
      <c r="L526" t="n">
        <v>0</v>
      </c>
      <c r="M526" t="n">
        <v>0</v>
      </c>
      <c r="N526" t="n">
        <v>0</v>
      </c>
      <c r="O526" t="n">
        <v>0</v>
      </c>
      <c r="P526" t="n">
        <v>0</v>
      </c>
      <c r="Q526" t="n">
        <v>0</v>
      </c>
      <c r="R526" s="2" t="inlineStr"/>
    </row>
    <row r="527" ht="15" customHeight="1">
      <c r="A527" t="inlineStr">
        <is>
          <t>A 52686-2024</t>
        </is>
      </c>
      <c r="B527" s="1" t="n">
        <v>45610</v>
      </c>
      <c r="C527" s="1" t="n">
        <v>46192</v>
      </c>
      <c r="D527" t="inlineStr">
        <is>
          <t>STOCKHOLMS LÄN</t>
        </is>
      </c>
      <c r="E527" t="inlineStr">
        <is>
          <t>NORRTÄLJE</t>
        </is>
      </c>
      <c r="G527" t="n">
        <v>5.7</v>
      </c>
      <c r="H527" t="n">
        <v>0</v>
      </c>
      <c r="I527" t="n">
        <v>0</v>
      </c>
      <c r="J527" t="n">
        <v>0</v>
      </c>
      <c r="K527" t="n">
        <v>0</v>
      </c>
      <c r="L527" t="n">
        <v>0</v>
      </c>
      <c r="M527" t="n">
        <v>0</v>
      </c>
      <c r="N527" t="n">
        <v>0</v>
      </c>
      <c r="O527" t="n">
        <v>0</v>
      </c>
      <c r="P527" t="n">
        <v>0</v>
      </c>
      <c r="Q527" t="n">
        <v>0</v>
      </c>
      <c r="R527" s="2" t="inlineStr"/>
    </row>
    <row r="528" ht="15" customHeight="1">
      <c r="A528" t="inlineStr">
        <is>
          <t>A 9765-2024</t>
        </is>
      </c>
      <c r="B528" s="1" t="n">
        <v>45362</v>
      </c>
      <c r="C528" s="1" t="n">
        <v>46192</v>
      </c>
      <c r="D528" t="inlineStr">
        <is>
          <t>STOCKHOLMS LÄN</t>
        </is>
      </c>
      <c r="E528" t="inlineStr">
        <is>
          <t>NORRTÄLJE</t>
        </is>
      </c>
      <c r="G528" t="n">
        <v>1.4</v>
      </c>
      <c r="H528" t="n">
        <v>0</v>
      </c>
      <c r="I528" t="n">
        <v>0</v>
      </c>
      <c r="J528" t="n">
        <v>0</v>
      </c>
      <c r="K528" t="n">
        <v>0</v>
      </c>
      <c r="L528" t="n">
        <v>0</v>
      </c>
      <c r="M528" t="n">
        <v>0</v>
      </c>
      <c r="N528" t="n">
        <v>0</v>
      </c>
      <c r="O528" t="n">
        <v>0</v>
      </c>
      <c r="P528" t="n">
        <v>0</v>
      </c>
      <c r="Q528" t="n">
        <v>0</v>
      </c>
      <c r="R528" s="2" t="inlineStr"/>
    </row>
    <row r="529" ht="15" customHeight="1">
      <c r="A529" t="inlineStr">
        <is>
          <t>A 59875-2024</t>
        </is>
      </c>
      <c r="B529" s="1" t="n">
        <v>45640</v>
      </c>
      <c r="C529" s="1" t="n">
        <v>46192</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14559-2024</t>
        </is>
      </c>
      <c r="B530" s="1" t="n">
        <v>45394</v>
      </c>
      <c r="C530" s="1" t="n">
        <v>46192</v>
      </c>
      <c r="D530" t="inlineStr">
        <is>
          <t>STOCKHOLMS LÄN</t>
        </is>
      </c>
      <c r="E530" t="inlineStr">
        <is>
          <t>NORRTÄLJE</t>
        </is>
      </c>
      <c r="G530" t="n">
        <v>4.2</v>
      </c>
      <c r="H530" t="n">
        <v>0</v>
      </c>
      <c r="I530" t="n">
        <v>0</v>
      </c>
      <c r="J530" t="n">
        <v>0</v>
      </c>
      <c r="K530" t="n">
        <v>0</v>
      </c>
      <c r="L530" t="n">
        <v>0</v>
      </c>
      <c r="M530" t="n">
        <v>0</v>
      </c>
      <c r="N530" t="n">
        <v>0</v>
      </c>
      <c r="O530" t="n">
        <v>0</v>
      </c>
      <c r="P530" t="n">
        <v>0</v>
      </c>
      <c r="Q530" t="n">
        <v>0</v>
      </c>
      <c r="R530" s="2" t="inlineStr"/>
    </row>
    <row r="531" ht="15" customHeight="1">
      <c r="A531" t="inlineStr">
        <is>
          <t>A 23125-2022</t>
        </is>
      </c>
      <c r="B531" s="1" t="n">
        <v>44719</v>
      </c>
      <c r="C531" s="1" t="n">
        <v>46192</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8433-2022</t>
        </is>
      </c>
      <c r="B532" s="1" t="n">
        <v>44611</v>
      </c>
      <c r="C532" s="1" t="n">
        <v>46192</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20121-2022</t>
        </is>
      </c>
      <c r="B533" s="1" t="n">
        <v>44698</v>
      </c>
      <c r="C533" s="1" t="n">
        <v>46192</v>
      </c>
      <c r="D533" t="inlineStr">
        <is>
          <t>STOCKHOLMS LÄN</t>
        </is>
      </c>
      <c r="E533" t="inlineStr">
        <is>
          <t>NORRTÄLJE</t>
        </is>
      </c>
      <c r="G533" t="n">
        <v>4.2</v>
      </c>
      <c r="H533" t="n">
        <v>0</v>
      </c>
      <c r="I533" t="n">
        <v>0</v>
      </c>
      <c r="J533" t="n">
        <v>0</v>
      </c>
      <c r="K533" t="n">
        <v>0</v>
      </c>
      <c r="L533" t="n">
        <v>0</v>
      </c>
      <c r="M533" t="n">
        <v>0</v>
      </c>
      <c r="N533" t="n">
        <v>0</v>
      </c>
      <c r="O533" t="n">
        <v>0</v>
      </c>
      <c r="P533" t="n">
        <v>0</v>
      </c>
      <c r="Q533" t="n">
        <v>0</v>
      </c>
      <c r="R533" s="2" t="inlineStr"/>
    </row>
    <row r="534" ht="15" customHeight="1">
      <c r="A534" t="inlineStr">
        <is>
          <t>A 33385-2024</t>
        </is>
      </c>
      <c r="B534" s="1" t="n">
        <v>45519</v>
      </c>
      <c r="C534" s="1" t="n">
        <v>46192</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41172-2023</t>
        </is>
      </c>
      <c r="B535" s="1" t="n">
        <v>45170</v>
      </c>
      <c r="C535" s="1" t="n">
        <v>46192</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25525-2022</t>
        </is>
      </c>
      <c r="B536" s="1" t="n">
        <v>44732</v>
      </c>
      <c r="C536" s="1" t="n">
        <v>46192</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73307-2021</t>
        </is>
      </c>
      <c r="B537" s="1" t="n">
        <v>44549</v>
      </c>
      <c r="C537" s="1" t="n">
        <v>46192</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59914-2025</t>
        </is>
      </c>
      <c r="B538" s="1" t="n">
        <v>45993</v>
      </c>
      <c r="C538" s="1" t="n">
        <v>46192</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50534-2024</t>
        </is>
      </c>
      <c r="B539" s="1" t="n">
        <v>45601</v>
      </c>
      <c r="C539" s="1" t="n">
        <v>46192</v>
      </c>
      <c r="D539" t="inlineStr">
        <is>
          <t>STOCKHOLMS LÄN</t>
        </is>
      </c>
      <c r="E539" t="inlineStr">
        <is>
          <t>NORRTÄLJE</t>
        </is>
      </c>
      <c r="G539" t="n">
        <v>2.6</v>
      </c>
      <c r="H539" t="n">
        <v>0</v>
      </c>
      <c r="I539" t="n">
        <v>0</v>
      </c>
      <c r="J539" t="n">
        <v>0</v>
      </c>
      <c r="K539" t="n">
        <v>0</v>
      </c>
      <c r="L539" t="n">
        <v>0</v>
      </c>
      <c r="M539" t="n">
        <v>0</v>
      </c>
      <c r="N539" t="n">
        <v>0</v>
      </c>
      <c r="O539" t="n">
        <v>0</v>
      </c>
      <c r="P539" t="n">
        <v>0</v>
      </c>
      <c r="Q539" t="n">
        <v>0</v>
      </c>
      <c r="R539" s="2" t="inlineStr"/>
    </row>
    <row r="540" ht="15" customHeight="1">
      <c r="A540" t="inlineStr">
        <is>
          <t>A 59672-2025</t>
        </is>
      </c>
      <c r="B540" s="1" t="n">
        <v>45992</v>
      </c>
      <c r="C540" s="1" t="n">
        <v>46192</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38889-2024</t>
        </is>
      </c>
      <c r="B541" s="1" t="n">
        <v>45547</v>
      </c>
      <c r="C541" s="1" t="n">
        <v>46192</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45451-2024</t>
        </is>
      </c>
      <c r="B542" s="1" t="n">
        <v>45576</v>
      </c>
      <c r="C542" s="1" t="n">
        <v>46192</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59907-2025</t>
        </is>
      </c>
      <c r="B543" s="1" t="n">
        <v>45993</v>
      </c>
      <c r="C543" s="1" t="n">
        <v>46192</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65499-2021</t>
        </is>
      </c>
      <c r="B544" s="1" t="n">
        <v>44516</v>
      </c>
      <c r="C544" s="1" t="n">
        <v>46192</v>
      </c>
      <c r="D544" t="inlineStr">
        <is>
          <t>STOCKHOLMS LÄN</t>
        </is>
      </c>
      <c r="E544" t="inlineStr">
        <is>
          <t>NORRTÄLJE</t>
        </is>
      </c>
      <c r="F544" t="inlineStr">
        <is>
          <t>Kommuner</t>
        </is>
      </c>
      <c r="G544" t="n">
        <v>5.2</v>
      </c>
      <c r="H544" t="n">
        <v>0</v>
      </c>
      <c r="I544" t="n">
        <v>0</v>
      </c>
      <c r="J544" t="n">
        <v>0</v>
      </c>
      <c r="K544" t="n">
        <v>0</v>
      </c>
      <c r="L544" t="n">
        <v>0</v>
      </c>
      <c r="M544" t="n">
        <v>0</v>
      </c>
      <c r="N544" t="n">
        <v>0</v>
      </c>
      <c r="O544" t="n">
        <v>0</v>
      </c>
      <c r="P544" t="n">
        <v>0</v>
      </c>
      <c r="Q544" t="n">
        <v>0</v>
      </c>
      <c r="R544" s="2" t="inlineStr"/>
    </row>
    <row r="545" ht="15" customHeight="1">
      <c r="A545" t="inlineStr">
        <is>
          <t>A 65511-2021</t>
        </is>
      </c>
      <c r="B545" s="1" t="n">
        <v>44516</v>
      </c>
      <c r="C545" s="1" t="n">
        <v>46192</v>
      </c>
      <c r="D545" t="inlineStr">
        <is>
          <t>STOCKHOLMS LÄN</t>
        </is>
      </c>
      <c r="E545" t="inlineStr">
        <is>
          <t>NORRTÄLJE</t>
        </is>
      </c>
      <c r="F545" t="inlineStr">
        <is>
          <t>Kommuner</t>
        </is>
      </c>
      <c r="G545" t="n">
        <v>2.8</v>
      </c>
      <c r="H545" t="n">
        <v>0</v>
      </c>
      <c r="I545" t="n">
        <v>0</v>
      </c>
      <c r="J545" t="n">
        <v>0</v>
      </c>
      <c r="K545" t="n">
        <v>0</v>
      </c>
      <c r="L545" t="n">
        <v>0</v>
      </c>
      <c r="M545" t="n">
        <v>0</v>
      </c>
      <c r="N545" t="n">
        <v>0</v>
      </c>
      <c r="O545" t="n">
        <v>0</v>
      </c>
      <c r="P545" t="n">
        <v>0</v>
      </c>
      <c r="Q545" t="n">
        <v>0</v>
      </c>
      <c r="R545" s="2" t="inlineStr"/>
    </row>
    <row r="546" ht="15" customHeight="1">
      <c r="A546" t="inlineStr">
        <is>
          <t>A 59924-2025</t>
        </is>
      </c>
      <c r="B546" s="1" t="n">
        <v>45993</v>
      </c>
      <c r="C546" s="1" t="n">
        <v>46192</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22833-2024</t>
        </is>
      </c>
      <c r="B547" s="1" t="n">
        <v>45448</v>
      </c>
      <c r="C547" s="1" t="n">
        <v>46192</v>
      </c>
      <c r="D547" t="inlineStr">
        <is>
          <t>STOCKHOLMS LÄN</t>
        </is>
      </c>
      <c r="E547" t="inlineStr">
        <is>
          <t>NORRTÄLJE</t>
        </is>
      </c>
      <c r="G547" t="n">
        <v>0.8</v>
      </c>
      <c r="H547" t="n">
        <v>0</v>
      </c>
      <c r="I547" t="n">
        <v>0</v>
      </c>
      <c r="J547" t="n">
        <v>0</v>
      </c>
      <c r="K547" t="n">
        <v>0</v>
      </c>
      <c r="L547" t="n">
        <v>0</v>
      </c>
      <c r="M547" t="n">
        <v>0</v>
      </c>
      <c r="N547" t="n">
        <v>0</v>
      </c>
      <c r="O547" t="n">
        <v>0</v>
      </c>
      <c r="P547" t="n">
        <v>0</v>
      </c>
      <c r="Q547" t="n">
        <v>0</v>
      </c>
      <c r="R547" s="2" t="inlineStr"/>
    </row>
    <row r="548" ht="15" customHeight="1">
      <c r="A548" t="inlineStr">
        <is>
          <t>A 32514-2022</t>
        </is>
      </c>
      <c r="B548" s="1" t="n">
        <v>44782</v>
      </c>
      <c r="C548" s="1" t="n">
        <v>46192</v>
      </c>
      <c r="D548" t="inlineStr">
        <is>
          <t>STOCKHOLMS LÄN</t>
        </is>
      </c>
      <c r="E548" t="inlineStr">
        <is>
          <t>NORRTÄLJE</t>
        </is>
      </c>
      <c r="G548" t="n">
        <v>5.1</v>
      </c>
      <c r="H548" t="n">
        <v>0</v>
      </c>
      <c r="I548" t="n">
        <v>0</v>
      </c>
      <c r="J548" t="n">
        <v>0</v>
      </c>
      <c r="K548" t="n">
        <v>0</v>
      </c>
      <c r="L548" t="n">
        <v>0</v>
      </c>
      <c r="M548" t="n">
        <v>0</v>
      </c>
      <c r="N548" t="n">
        <v>0</v>
      </c>
      <c r="O548" t="n">
        <v>0</v>
      </c>
      <c r="P548" t="n">
        <v>0</v>
      </c>
      <c r="Q548" t="n">
        <v>0</v>
      </c>
      <c r="R548" s="2" t="inlineStr"/>
    </row>
    <row r="549" ht="15" customHeight="1">
      <c r="A549" t="inlineStr">
        <is>
          <t>A 29362-2022</t>
        </is>
      </c>
      <c r="B549" s="1" t="n">
        <v>44753</v>
      </c>
      <c r="C549" s="1" t="n">
        <v>46192</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60253-2025</t>
        </is>
      </c>
      <c r="B550" s="1" t="n">
        <v>45994</v>
      </c>
      <c r="C550" s="1" t="n">
        <v>46192</v>
      </c>
      <c r="D550" t="inlineStr">
        <is>
          <t>STOCKHOLMS LÄN</t>
        </is>
      </c>
      <c r="E550" t="inlineStr">
        <is>
          <t>NORRTÄLJE</t>
        </is>
      </c>
      <c r="F550" t="inlineStr">
        <is>
          <t>Holmen skog AB</t>
        </is>
      </c>
      <c r="G550" t="n">
        <v>3.6</v>
      </c>
      <c r="H550" t="n">
        <v>0</v>
      </c>
      <c r="I550" t="n">
        <v>0</v>
      </c>
      <c r="J550" t="n">
        <v>0</v>
      </c>
      <c r="K550" t="n">
        <v>0</v>
      </c>
      <c r="L550" t="n">
        <v>0</v>
      </c>
      <c r="M550" t="n">
        <v>0</v>
      </c>
      <c r="N550" t="n">
        <v>0</v>
      </c>
      <c r="O550" t="n">
        <v>0</v>
      </c>
      <c r="P550" t="n">
        <v>0</v>
      </c>
      <c r="Q550" t="n">
        <v>0</v>
      </c>
      <c r="R550" s="2" t="inlineStr"/>
    </row>
    <row r="551" ht="15" customHeight="1">
      <c r="A551" t="inlineStr">
        <is>
          <t>A 60214-2025</t>
        </is>
      </c>
      <c r="B551" s="1" t="n">
        <v>45994</v>
      </c>
      <c r="C551" s="1" t="n">
        <v>46192</v>
      </c>
      <c r="D551" t="inlineStr">
        <is>
          <t>STOCKHOLMS LÄN</t>
        </is>
      </c>
      <c r="E551" t="inlineStr">
        <is>
          <t>NORRTÄLJE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58492-2022</t>
        </is>
      </c>
      <c r="B552" s="1" t="n">
        <v>44902</v>
      </c>
      <c r="C552" s="1" t="n">
        <v>46192</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60223-2025</t>
        </is>
      </c>
      <c r="B553" s="1" t="n">
        <v>45994</v>
      </c>
      <c r="C553" s="1" t="n">
        <v>46192</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26644-2024</t>
        </is>
      </c>
      <c r="B554" s="1" t="n">
        <v>45469</v>
      </c>
      <c r="C554" s="1" t="n">
        <v>46192</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34773-2022</t>
        </is>
      </c>
      <c r="B555" s="1" t="n">
        <v>44795</v>
      </c>
      <c r="C555" s="1" t="n">
        <v>46192</v>
      </c>
      <c r="D555" t="inlineStr">
        <is>
          <t>STOCKHOLMS LÄN</t>
        </is>
      </c>
      <c r="E555" t="inlineStr">
        <is>
          <t>NORRTÄLJE</t>
        </is>
      </c>
      <c r="G555" t="n">
        <v>3.9</v>
      </c>
      <c r="H555" t="n">
        <v>0</v>
      </c>
      <c r="I555" t="n">
        <v>0</v>
      </c>
      <c r="J555" t="n">
        <v>0</v>
      </c>
      <c r="K555" t="n">
        <v>0</v>
      </c>
      <c r="L555" t="n">
        <v>0</v>
      </c>
      <c r="M555" t="n">
        <v>0</v>
      </c>
      <c r="N555" t="n">
        <v>0</v>
      </c>
      <c r="O555" t="n">
        <v>0</v>
      </c>
      <c r="P555" t="n">
        <v>0</v>
      </c>
      <c r="Q555" t="n">
        <v>0</v>
      </c>
      <c r="R555" s="2" t="inlineStr"/>
    </row>
    <row r="556" ht="15" customHeight="1">
      <c r="A556" t="inlineStr">
        <is>
          <t>A 33173-2024</t>
        </is>
      </c>
      <c r="B556" s="1" t="n">
        <v>45518</v>
      </c>
      <c r="C556" s="1" t="n">
        <v>46192</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60649-2025</t>
        </is>
      </c>
      <c r="B557" s="1" t="n">
        <v>45996</v>
      </c>
      <c r="C557" s="1" t="n">
        <v>46192</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2982-2023</t>
        </is>
      </c>
      <c r="B558" s="1" t="n">
        <v>44945</v>
      </c>
      <c r="C558" s="1" t="n">
        <v>46192</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60948-2025</t>
        </is>
      </c>
      <c r="B559" s="1" t="n">
        <v>45999</v>
      </c>
      <c r="C559" s="1" t="n">
        <v>46192</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37136-2023</t>
        </is>
      </c>
      <c r="B560" s="1" t="n">
        <v>45155</v>
      </c>
      <c r="C560" s="1" t="n">
        <v>46192</v>
      </c>
      <c r="D560" t="inlineStr">
        <is>
          <t>STOCKHOLMS LÄN</t>
        </is>
      </c>
      <c r="E560" t="inlineStr">
        <is>
          <t>NORRTÄLJE</t>
        </is>
      </c>
      <c r="G560" t="n">
        <v>2.5</v>
      </c>
      <c r="H560" t="n">
        <v>0</v>
      </c>
      <c r="I560" t="n">
        <v>0</v>
      </c>
      <c r="J560" t="n">
        <v>0</v>
      </c>
      <c r="K560" t="n">
        <v>0</v>
      </c>
      <c r="L560" t="n">
        <v>0</v>
      </c>
      <c r="M560" t="n">
        <v>0</v>
      </c>
      <c r="N560" t="n">
        <v>0</v>
      </c>
      <c r="O560" t="n">
        <v>0</v>
      </c>
      <c r="P560" t="n">
        <v>0</v>
      </c>
      <c r="Q560" t="n">
        <v>0</v>
      </c>
      <c r="R560" s="2" t="inlineStr"/>
    </row>
    <row r="561" ht="15" customHeight="1">
      <c r="A561" t="inlineStr">
        <is>
          <t>A 18787-2022</t>
        </is>
      </c>
      <c r="B561" s="1" t="n">
        <v>44687</v>
      </c>
      <c r="C561" s="1" t="n">
        <v>46192</v>
      </c>
      <c r="D561" t="inlineStr">
        <is>
          <t>STOCKHOLMS LÄN</t>
        </is>
      </c>
      <c r="E561" t="inlineStr">
        <is>
          <t>NORRTÄLJE</t>
        </is>
      </c>
      <c r="G561" t="n">
        <v>2</v>
      </c>
      <c r="H561" t="n">
        <v>0</v>
      </c>
      <c r="I561" t="n">
        <v>0</v>
      </c>
      <c r="J561" t="n">
        <v>0</v>
      </c>
      <c r="K561" t="n">
        <v>0</v>
      </c>
      <c r="L561" t="n">
        <v>0</v>
      </c>
      <c r="M561" t="n">
        <v>0</v>
      </c>
      <c r="N561" t="n">
        <v>0</v>
      </c>
      <c r="O561" t="n">
        <v>0</v>
      </c>
      <c r="P561" t="n">
        <v>0</v>
      </c>
      <c r="Q561" t="n">
        <v>0</v>
      </c>
      <c r="R561" s="2" t="inlineStr"/>
    </row>
    <row r="562" ht="15" customHeight="1">
      <c r="A562" t="inlineStr">
        <is>
          <t>A 61160-2025</t>
        </is>
      </c>
      <c r="B562" s="1" t="n">
        <v>46000</v>
      </c>
      <c r="C562" s="1" t="n">
        <v>46192</v>
      </c>
      <c r="D562" t="inlineStr">
        <is>
          <t>STOCKHOLMS LÄN</t>
        </is>
      </c>
      <c r="E562" t="inlineStr">
        <is>
          <t>NORRTÄLJE</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36269-2022</t>
        </is>
      </c>
      <c r="B563" s="1" t="n">
        <v>44803</v>
      </c>
      <c r="C563" s="1" t="n">
        <v>46192</v>
      </c>
      <c r="D563" t="inlineStr">
        <is>
          <t>STOCKHOLMS LÄN</t>
        </is>
      </c>
      <c r="E563" t="inlineStr">
        <is>
          <t>NORRTÄLJE</t>
        </is>
      </c>
      <c r="G563" t="n">
        <v>2.3</v>
      </c>
      <c r="H563" t="n">
        <v>0</v>
      </c>
      <c r="I563" t="n">
        <v>0</v>
      </c>
      <c r="J563" t="n">
        <v>0</v>
      </c>
      <c r="K563" t="n">
        <v>0</v>
      </c>
      <c r="L563" t="n">
        <v>0</v>
      </c>
      <c r="M563" t="n">
        <v>0</v>
      </c>
      <c r="N563" t="n">
        <v>0</v>
      </c>
      <c r="O563" t="n">
        <v>0</v>
      </c>
      <c r="P563" t="n">
        <v>0</v>
      </c>
      <c r="Q563" t="n">
        <v>0</v>
      </c>
      <c r="R563" s="2" t="inlineStr"/>
    </row>
    <row r="564" ht="15" customHeight="1">
      <c r="A564" t="inlineStr">
        <is>
          <t>A 36308-2022</t>
        </is>
      </c>
      <c r="B564" s="1" t="n">
        <v>44803</v>
      </c>
      <c r="C564" s="1" t="n">
        <v>46192</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6919-2025</t>
        </is>
      </c>
      <c r="B565" s="1" t="n">
        <v>45701</v>
      </c>
      <c r="C565" s="1" t="n">
        <v>46192</v>
      </c>
      <c r="D565" t="inlineStr">
        <is>
          <t>STOCKHOLMS LÄN</t>
        </is>
      </c>
      <c r="E565" t="inlineStr">
        <is>
          <t>NORRTÄLJE</t>
        </is>
      </c>
      <c r="G565" t="n">
        <v>3.5</v>
      </c>
      <c r="H565" t="n">
        <v>0</v>
      </c>
      <c r="I565" t="n">
        <v>0</v>
      </c>
      <c r="J565" t="n">
        <v>0</v>
      </c>
      <c r="K565" t="n">
        <v>0</v>
      </c>
      <c r="L565" t="n">
        <v>0</v>
      </c>
      <c r="M565" t="n">
        <v>0</v>
      </c>
      <c r="N565" t="n">
        <v>0</v>
      </c>
      <c r="O565" t="n">
        <v>0</v>
      </c>
      <c r="P565" t="n">
        <v>0</v>
      </c>
      <c r="Q565" t="n">
        <v>0</v>
      </c>
      <c r="R565" s="2" t="inlineStr"/>
    </row>
    <row r="566" ht="15" customHeight="1">
      <c r="A566" t="inlineStr">
        <is>
          <t>A 32100-2022</t>
        </is>
      </c>
      <c r="B566" s="1" t="n">
        <v>44778</v>
      </c>
      <c r="C566" s="1" t="n">
        <v>46192</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61430-2025</t>
        </is>
      </c>
      <c r="B567" s="1" t="n">
        <v>46001</v>
      </c>
      <c r="C567" s="1" t="n">
        <v>46192</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37444-2021</t>
        </is>
      </c>
      <c r="B568" s="1" t="n">
        <v>44398</v>
      </c>
      <c r="C568" s="1" t="n">
        <v>46192</v>
      </c>
      <c r="D568" t="inlineStr">
        <is>
          <t>STOCKHOLMS LÄN</t>
        </is>
      </c>
      <c r="E568" t="inlineStr">
        <is>
          <t>NORRTÄLJE</t>
        </is>
      </c>
      <c r="F568" t="inlineStr">
        <is>
          <t>Holmen skog AB</t>
        </is>
      </c>
      <c r="G568" t="n">
        <v>3.2</v>
      </c>
      <c r="H568" t="n">
        <v>0</v>
      </c>
      <c r="I568" t="n">
        <v>0</v>
      </c>
      <c r="J568" t="n">
        <v>0</v>
      </c>
      <c r="K568" t="n">
        <v>0</v>
      </c>
      <c r="L568" t="n">
        <v>0</v>
      </c>
      <c r="M568" t="n">
        <v>0</v>
      </c>
      <c r="N568" t="n">
        <v>0</v>
      </c>
      <c r="O568" t="n">
        <v>0</v>
      </c>
      <c r="P568" t="n">
        <v>0</v>
      </c>
      <c r="Q568" t="n">
        <v>0</v>
      </c>
      <c r="R568" s="2" t="inlineStr"/>
    </row>
    <row r="569" ht="15" customHeight="1">
      <c r="A569" t="inlineStr">
        <is>
          <t>A 30886-2022</t>
        </is>
      </c>
      <c r="B569" s="1" t="n">
        <v>44767</v>
      </c>
      <c r="C569" s="1" t="n">
        <v>46192</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9654-2022</t>
        </is>
      </c>
      <c r="B570" s="1" t="n">
        <v>44617</v>
      </c>
      <c r="C570" s="1" t="n">
        <v>46192</v>
      </c>
      <c r="D570" t="inlineStr">
        <is>
          <t>STOCKHOLMS LÄN</t>
        </is>
      </c>
      <c r="E570" t="inlineStr">
        <is>
          <t>NORRTÄLJE</t>
        </is>
      </c>
      <c r="G570" t="n">
        <v>6.4</v>
      </c>
      <c r="H570" t="n">
        <v>0</v>
      </c>
      <c r="I570" t="n">
        <v>0</v>
      </c>
      <c r="J570" t="n">
        <v>0</v>
      </c>
      <c r="K570" t="n">
        <v>0</v>
      </c>
      <c r="L570" t="n">
        <v>0</v>
      </c>
      <c r="M570" t="n">
        <v>0</v>
      </c>
      <c r="N570" t="n">
        <v>0</v>
      </c>
      <c r="O570" t="n">
        <v>0</v>
      </c>
      <c r="P570" t="n">
        <v>0</v>
      </c>
      <c r="Q570" t="n">
        <v>0</v>
      </c>
      <c r="R570" s="2" t="inlineStr"/>
    </row>
    <row r="571" ht="15" customHeight="1">
      <c r="A571" t="inlineStr">
        <is>
          <t>A 4484-2025</t>
        </is>
      </c>
      <c r="B571" s="1" t="n">
        <v>45686</v>
      </c>
      <c r="C571" s="1" t="n">
        <v>46192</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33878-2024</t>
        </is>
      </c>
      <c r="B572" s="1" t="n">
        <v>45522</v>
      </c>
      <c r="C572" s="1" t="n">
        <v>46192</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1453-2025</t>
        </is>
      </c>
      <c r="B573" s="1" t="n">
        <v>45670</v>
      </c>
      <c r="C573" s="1" t="n">
        <v>46192</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9246-2024</t>
        </is>
      </c>
      <c r="B574" s="1" t="n">
        <v>45357</v>
      </c>
      <c r="C574" s="1" t="n">
        <v>46192</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35698-2023</t>
        </is>
      </c>
      <c r="B575" s="1" t="n">
        <v>45147</v>
      </c>
      <c r="C575" s="1" t="n">
        <v>46192</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62398-2022</t>
        </is>
      </c>
      <c r="B576" s="1" t="n">
        <v>44923</v>
      </c>
      <c r="C576" s="1" t="n">
        <v>46192</v>
      </c>
      <c r="D576" t="inlineStr">
        <is>
          <t>STOCKHOLMS LÄN</t>
        </is>
      </c>
      <c r="E576" t="inlineStr">
        <is>
          <t>NORRTÄLJE</t>
        </is>
      </c>
      <c r="G576" t="n">
        <v>4</v>
      </c>
      <c r="H576" t="n">
        <v>0</v>
      </c>
      <c r="I576" t="n">
        <v>0</v>
      </c>
      <c r="J576" t="n">
        <v>0</v>
      </c>
      <c r="K576" t="n">
        <v>0</v>
      </c>
      <c r="L576" t="n">
        <v>0</v>
      </c>
      <c r="M576" t="n">
        <v>0</v>
      </c>
      <c r="N576" t="n">
        <v>0</v>
      </c>
      <c r="O576" t="n">
        <v>0</v>
      </c>
      <c r="P576" t="n">
        <v>0</v>
      </c>
      <c r="Q576" t="n">
        <v>0</v>
      </c>
      <c r="R576" s="2" t="inlineStr"/>
    </row>
    <row r="577" ht="15" customHeight="1">
      <c r="A577" t="inlineStr">
        <is>
          <t>A 61289-2025</t>
        </is>
      </c>
      <c r="B577" s="1" t="n">
        <v>46000</v>
      </c>
      <c r="C577" s="1" t="n">
        <v>46192</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61769-2025</t>
        </is>
      </c>
      <c r="B578" s="1" t="n">
        <v>46002</v>
      </c>
      <c r="C578" s="1" t="n">
        <v>46192</v>
      </c>
      <c r="D578" t="inlineStr">
        <is>
          <t>STOCKHOLMS LÄN</t>
        </is>
      </c>
      <c r="E578" t="inlineStr">
        <is>
          <t>NORRTÄLJE</t>
        </is>
      </c>
      <c r="G578" t="n">
        <v>2.9</v>
      </c>
      <c r="H578" t="n">
        <v>0</v>
      </c>
      <c r="I578" t="n">
        <v>0</v>
      </c>
      <c r="J578" t="n">
        <v>0</v>
      </c>
      <c r="K578" t="n">
        <v>0</v>
      </c>
      <c r="L578" t="n">
        <v>0</v>
      </c>
      <c r="M578" t="n">
        <v>0</v>
      </c>
      <c r="N578" t="n">
        <v>0</v>
      </c>
      <c r="O578" t="n">
        <v>0</v>
      </c>
      <c r="P578" t="n">
        <v>0</v>
      </c>
      <c r="Q578" t="n">
        <v>0</v>
      </c>
      <c r="R578" s="2" t="inlineStr"/>
    </row>
    <row r="579" ht="15" customHeight="1">
      <c r="A579" t="inlineStr">
        <is>
          <t>A 29003-2023</t>
        </is>
      </c>
      <c r="B579" s="1" t="n">
        <v>45104</v>
      </c>
      <c r="C579" s="1" t="n">
        <v>46192</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49700-2023</t>
        </is>
      </c>
      <c r="B580" s="1" t="n">
        <v>45212</v>
      </c>
      <c r="C580" s="1" t="n">
        <v>46192</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32071-2023</t>
        </is>
      </c>
      <c r="B581" s="1" t="n">
        <v>45119</v>
      </c>
      <c r="C581" s="1" t="n">
        <v>46192</v>
      </c>
      <c r="D581" t="inlineStr">
        <is>
          <t>STOCKHOLMS LÄN</t>
        </is>
      </c>
      <c r="E581" t="inlineStr">
        <is>
          <t>NORRTÄLJE</t>
        </is>
      </c>
      <c r="G581" t="n">
        <v>6.5</v>
      </c>
      <c r="H581" t="n">
        <v>0</v>
      </c>
      <c r="I581" t="n">
        <v>0</v>
      </c>
      <c r="J581" t="n">
        <v>0</v>
      </c>
      <c r="K581" t="n">
        <v>0</v>
      </c>
      <c r="L581" t="n">
        <v>0</v>
      </c>
      <c r="M581" t="n">
        <v>0</v>
      </c>
      <c r="N581" t="n">
        <v>0</v>
      </c>
      <c r="O581" t="n">
        <v>0</v>
      </c>
      <c r="P581" t="n">
        <v>0</v>
      </c>
      <c r="Q581" t="n">
        <v>0</v>
      </c>
      <c r="R581" s="2" t="inlineStr"/>
    </row>
    <row r="582" ht="15" customHeight="1">
      <c r="A582" t="inlineStr">
        <is>
          <t>A 1425-2025</t>
        </is>
      </c>
      <c r="B582" s="1" t="n">
        <v>45668</v>
      </c>
      <c r="C582" s="1" t="n">
        <v>46192</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17775-2022</t>
        </is>
      </c>
      <c r="B583" s="1" t="n">
        <v>44682</v>
      </c>
      <c r="C583" s="1" t="n">
        <v>46192</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33295-2023</t>
        </is>
      </c>
      <c r="B584" s="1" t="n">
        <v>45127</v>
      </c>
      <c r="C584" s="1" t="n">
        <v>46192</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16980-2023</t>
        </is>
      </c>
      <c r="B585" s="1" t="n">
        <v>45033</v>
      </c>
      <c r="C585" s="1" t="n">
        <v>46192</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61764-2025</t>
        </is>
      </c>
      <c r="B586" s="1" t="n">
        <v>46002</v>
      </c>
      <c r="C586" s="1" t="n">
        <v>46192</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32595-2023</t>
        </is>
      </c>
      <c r="B587" s="1" t="n">
        <v>45121</v>
      </c>
      <c r="C587" s="1" t="n">
        <v>46192</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38720-2022</t>
        </is>
      </c>
      <c r="B588" s="1" t="n">
        <v>44815</v>
      </c>
      <c r="C588" s="1" t="n">
        <v>46192</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10215-2023</t>
        </is>
      </c>
      <c r="B589" s="1" t="n">
        <v>44986</v>
      </c>
      <c r="C589" s="1" t="n">
        <v>46192</v>
      </c>
      <c r="D589" t="inlineStr">
        <is>
          <t>STOCKHOLMS LÄN</t>
        </is>
      </c>
      <c r="E589" t="inlineStr">
        <is>
          <t>NORRTÄLJE</t>
        </is>
      </c>
      <c r="G589" t="n">
        <v>6.5</v>
      </c>
      <c r="H589" t="n">
        <v>0</v>
      </c>
      <c r="I589" t="n">
        <v>0</v>
      </c>
      <c r="J589" t="n">
        <v>0</v>
      </c>
      <c r="K589" t="n">
        <v>0</v>
      </c>
      <c r="L589" t="n">
        <v>0</v>
      </c>
      <c r="M589" t="n">
        <v>0</v>
      </c>
      <c r="N589" t="n">
        <v>0</v>
      </c>
      <c r="O589" t="n">
        <v>0</v>
      </c>
      <c r="P589" t="n">
        <v>0</v>
      </c>
      <c r="Q589" t="n">
        <v>0</v>
      </c>
      <c r="R589" s="2" t="inlineStr"/>
    </row>
    <row r="590" ht="15" customHeight="1">
      <c r="A590" t="inlineStr">
        <is>
          <t>A 25609-2023</t>
        </is>
      </c>
      <c r="B590" s="1" t="n">
        <v>45089</v>
      </c>
      <c r="C590" s="1" t="n">
        <v>46192</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37550-2022</t>
        </is>
      </c>
      <c r="B591" s="1" t="n">
        <v>44809</v>
      </c>
      <c r="C591" s="1" t="n">
        <v>46192</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48161-2022</t>
        </is>
      </c>
      <c r="B592" s="1" t="n">
        <v>44858</v>
      </c>
      <c r="C592" s="1" t="n">
        <v>46192</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48798-2021</t>
        </is>
      </c>
      <c r="B593" s="1" t="n">
        <v>44452</v>
      </c>
      <c r="C593" s="1" t="n">
        <v>46192</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54776-2023</t>
        </is>
      </c>
      <c r="B594" s="1" t="n">
        <v>45236</v>
      </c>
      <c r="C594" s="1" t="n">
        <v>46192</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2287-2024</t>
        </is>
      </c>
      <c r="B595" s="1" t="n">
        <v>45310</v>
      </c>
      <c r="C595" s="1" t="n">
        <v>46192</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50469-2022</t>
        </is>
      </c>
      <c r="B596" s="1" t="n">
        <v>44866</v>
      </c>
      <c r="C596" s="1" t="n">
        <v>46192</v>
      </c>
      <c r="D596" t="inlineStr">
        <is>
          <t>STOCKHOLMS LÄN</t>
        </is>
      </c>
      <c r="E596" t="inlineStr">
        <is>
          <t>NORRTÄLJE</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51116-2022</t>
        </is>
      </c>
      <c r="B597" s="1" t="n">
        <v>44868</v>
      </c>
      <c r="C597" s="1" t="n">
        <v>46192</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62708-2025</t>
        </is>
      </c>
      <c r="B598" s="1" t="n">
        <v>46008</v>
      </c>
      <c r="C598" s="1" t="n">
        <v>46192</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34478-2025</t>
        </is>
      </c>
      <c r="B599" s="1" t="n">
        <v>45847</v>
      </c>
      <c r="C599" s="1" t="n">
        <v>46192</v>
      </c>
      <c r="D599" t="inlineStr">
        <is>
          <t>STOCKHOLMS LÄN</t>
        </is>
      </c>
      <c r="E599" t="inlineStr">
        <is>
          <t>NORRTÄLJE</t>
        </is>
      </c>
      <c r="F599" t="inlineStr">
        <is>
          <t>Övriga Aktiebolag</t>
        </is>
      </c>
      <c r="G599" t="n">
        <v>10.8</v>
      </c>
      <c r="H599" t="n">
        <v>0</v>
      </c>
      <c r="I599" t="n">
        <v>0</v>
      </c>
      <c r="J599" t="n">
        <v>0</v>
      </c>
      <c r="K599" t="n">
        <v>0</v>
      </c>
      <c r="L599" t="n">
        <v>0</v>
      </c>
      <c r="M599" t="n">
        <v>0</v>
      </c>
      <c r="N599" t="n">
        <v>0</v>
      </c>
      <c r="O599" t="n">
        <v>0</v>
      </c>
      <c r="P599" t="n">
        <v>0</v>
      </c>
      <c r="Q599" t="n">
        <v>0</v>
      </c>
      <c r="R599" s="2" t="inlineStr"/>
    </row>
    <row r="600" ht="15" customHeight="1">
      <c r="A600" t="inlineStr">
        <is>
          <t>A 62681-2025</t>
        </is>
      </c>
      <c r="B600" s="1" t="n">
        <v>46008</v>
      </c>
      <c r="C600" s="1" t="n">
        <v>46192</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62922-2025</t>
        </is>
      </c>
      <c r="B601" s="1" t="n">
        <v>46009</v>
      </c>
      <c r="C601" s="1" t="n">
        <v>46192</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8135-2025</t>
        </is>
      </c>
      <c r="B602" s="1" t="n">
        <v>45707</v>
      </c>
      <c r="C602" s="1" t="n">
        <v>46192</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3383-2023</t>
        </is>
      </c>
      <c r="B603" s="1" t="n">
        <v>44949</v>
      </c>
      <c r="C603" s="1" t="n">
        <v>46192</v>
      </c>
      <c r="D603" t="inlineStr">
        <is>
          <t>STOCKHOLMS LÄN</t>
        </is>
      </c>
      <c r="E603" t="inlineStr">
        <is>
          <t>NORRTÄLJE</t>
        </is>
      </c>
      <c r="G603" t="n">
        <v>14.6</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46192</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5839-2023</t>
        </is>
      </c>
      <c r="B605" s="1" t="n">
        <v>44963</v>
      </c>
      <c r="C605" s="1" t="n">
        <v>46192</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62689-2025</t>
        </is>
      </c>
      <c r="B606" s="1" t="n">
        <v>46008</v>
      </c>
      <c r="C606" s="1" t="n">
        <v>46192</v>
      </c>
      <c r="D606" t="inlineStr">
        <is>
          <t>STOCKHOLMS LÄN</t>
        </is>
      </c>
      <c r="E606" t="inlineStr">
        <is>
          <t>NORRTÄLJE</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21732-2023</t>
        </is>
      </c>
      <c r="B607" s="1" t="n">
        <v>45063</v>
      </c>
      <c r="C607" s="1" t="n">
        <v>46192</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23307-2024</t>
        </is>
      </c>
      <c r="B608" s="1" t="n">
        <v>45453</v>
      </c>
      <c r="C608" s="1" t="n">
        <v>46192</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38985-2022</t>
        </is>
      </c>
      <c r="B609" s="1" t="n">
        <v>44816</v>
      </c>
      <c r="C609" s="1" t="n">
        <v>46192</v>
      </c>
      <c r="D609" t="inlineStr">
        <is>
          <t>STOCKHOLMS LÄN</t>
        </is>
      </c>
      <c r="E609" t="inlineStr">
        <is>
          <t>NORRTÄLJE</t>
        </is>
      </c>
      <c r="G609" t="n">
        <v>10.1</v>
      </c>
      <c r="H609" t="n">
        <v>0</v>
      </c>
      <c r="I609" t="n">
        <v>0</v>
      </c>
      <c r="J609" t="n">
        <v>0</v>
      </c>
      <c r="K609" t="n">
        <v>0</v>
      </c>
      <c r="L609" t="n">
        <v>0</v>
      </c>
      <c r="M609" t="n">
        <v>0</v>
      </c>
      <c r="N609" t="n">
        <v>0</v>
      </c>
      <c r="O609" t="n">
        <v>0</v>
      </c>
      <c r="P609" t="n">
        <v>0</v>
      </c>
      <c r="Q609" t="n">
        <v>0</v>
      </c>
      <c r="R609" s="2" t="inlineStr"/>
    </row>
    <row r="610" ht="15" customHeight="1">
      <c r="A610" t="inlineStr">
        <is>
          <t>A 5665-2025</t>
        </is>
      </c>
      <c r="B610" s="1" t="n">
        <v>45693</v>
      </c>
      <c r="C610" s="1" t="n">
        <v>46192</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46192</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56428-2023</t>
        </is>
      </c>
      <c r="B612" s="1" t="n">
        <v>45243</v>
      </c>
      <c r="C612" s="1" t="n">
        <v>46192</v>
      </c>
      <c r="D612" t="inlineStr">
        <is>
          <t>STOCKHOLMS LÄN</t>
        </is>
      </c>
      <c r="E612" t="inlineStr">
        <is>
          <t>NORRTÄLJE</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17556-2025</t>
        </is>
      </c>
      <c r="B613" s="1" t="n">
        <v>45757</v>
      </c>
      <c r="C613" s="1" t="n">
        <v>46192</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40761-2024</t>
        </is>
      </c>
      <c r="B614" s="1" t="n">
        <v>45558</v>
      </c>
      <c r="C614" s="1" t="n">
        <v>46192</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42094-2023</t>
        </is>
      </c>
      <c r="B615" s="1" t="n">
        <v>45177</v>
      </c>
      <c r="C615" s="1" t="n">
        <v>46192</v>
      </c>
      <c r="D615" t="inlineStr">
        <is>
          <t>STOCKHOLMS LÄN</t>
        </is>
      </c>
      <c r="E615" t="inlineStr">
        <is>
          <t>NORRTÄLJE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4553-2023</t>
        </is>
      </c>
      <c r="B616" s="1" t="n">
        <v>44956</v>
      </c>
      <c r="C616" s="1" t="n">
        <v>46192</v>
      </c>
      <c r="D616" t="inlineStr">
        <is>
          <t>STOCKHOLMS LÄN</t>
        </is>
      </c>
      <c r="E616" t="inlineStr">
        <is>
          <t>NORRTÄLJE</t>
        </is>
      </c>
      <c r="G616" t="n">
        <v>7.5</v>
      </c>
      <c r="H616" t="n">
        <v>0</v>
      </c>
      <c r="I616" t="n">
        <v>0</v>
      </c>
      <c r="J616" t="n">
        <v>0</v>
      </c>
      <c r="K616" t="n">
        <v>0</v>
      </c>
      <c r="L616" t="n">
        <v>0</v>
      </c>
      <c r="M616" t="n">
        <v>0</v>
      </c>
      <c r="N616" t="n">
        <v>0</v>
      </c>
      <c r="O616" t="n">
        <v>0</v>
      </c>
      <c r="P616" t="n">
        <v>0</v>
      </c>
      <c r="Q616" t="n">
        <v>0</v>
      </c>
      <c r="R616" s="2" t="inlineStr"/>
    </row>
    <row r="617" ht="15" customHeight="1">
      <c r="A617" t="inlineStr">
        <is>
          <t>A 4593-2023</t>
        </is>
      </c>
      <c r="B617" s="1" t="n">
        <v>44956</v>
      </c>
      <c r="C617" s="1" t="n">
        <v>46192</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8370-2025</t>
        </is>
      </c>
      <c r="B618" s="1" t="n">
        <v>45708</v>
      </c>
      <c r="C618" s="1" t="n">
        <v>46192</v>
      </c>
      <c r="D618" t="inlineStr">
        <is>
          <t>STOCKHOLMS LÄN</t>
        </is>
      </c>
      <c r="E618" t="inlineStr">
        <is>
          <t>NORRTÄLJE</t>
        </is>
      </c>
      <c r="F618" t="inlineStr">
        <is>
          <t>Övriga Aktiebolag</t>
        </is>
      </c>
      <c r="G618" t="n">
        <v>5.6</v>
      </c>
      <c r="H618" t="n">
        <v>0</v>
      </c>
      <c r="I618" t="n">
        <v>0</v>
      </c>
      <c r="J618" t="n">
        <v>0</v>
      </c>
      <c r="K618" t="n">
        <v>0</v>
      </c>
      <c r="L618" t="n">
        <v>0</v>
      </c>
      <c r="M618" t="n">
        <v>0</v>
      </c>
      <c r="N618" t="n">
        <v>0</v>
      </c>
      <c r="O618" t="n">
        <v>0</v>
      </c>
      <c r="P618" t="n">
        <v>0</v>
      </c>
      <c r="Q618" t="n">
        <v>0</v>
      </c>
      <c r="R618" s="2" t="inlineStr"/>
    </row>
    <row r="619" ht="15" customHeight="1">
      <c r="A619" t="inlineStr">
        <is>
          <t>A 3299-2022</t>
        </is>
      </c>
      <c r="B619" s="1" t="n">
        <v>44584</v>
      </c>
      <c r="C619" s="1" t="n">
        <v>46192</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18092-2022</t>
        </is>
      </c>
      <c r="B620" s="1" t="n">
        <v>44684</v>
      </c>
      <c r="C620" s="1" t="n">
        <v>46192</v>
      </c>
      <c r="D620" t="inlineStr">
        <is>
          <t>STOCKHOLMS LÄN</t>
        </is>
      </c>
      <c r="E620" t="inlineStr">
        <is>
          <t>NORRTÄLJE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59310-2023</t>
        </is>
      </c>
      <c r="B621" s="1" t="n">
        <v>45253</v>
      </c>
      <c r="C621" s="1" t="n">
        <v>46192</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718-2026</t>
        </is>
      </c>
      <c r="B622" s="1" t="n">
        <v>46029</v>
      </c>
      <c r="C622" s="1" t="n">
        <v>46192</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9329-2023</t>
        </is>
      </c>
      <c r="B623" s="1" t="n">
        <v>44980</v>
      </c>
      <c r="C623" s="1" t="n">
        <v>46192</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694-2026</t>
        </is>
      </c>
      <c r="B624" s="1" t="n">
        <v>46029</v>
      </c>
      <c r="C624" s="1" t="n">
        <v>46192</v>
      </c>
      <c r="D624" t="inlineStr">
        <is>
          <t>STOCKHOLMS LÄN</t>
        </is>
      </c>
      <c r="E624" t="inlineStr">
        <is>
          <t>NORRTÄLJE</t>
        </is>
      </c>
      <c r="G624" t="n">
        <v>9.6</v>
      </c>
      <c r="H624" t="n">
        <v>0</v>
      </c>
      <c r="I624" t="n">
        <v>0</v>
      </c>
      <c r="J624" t="n">
        <v>0</v>
      </c>
      <c r="K624" t="n">
        <v>0</v>
      </c>
      <c r="L624" t="n">
        <v>0</v>
      </c>
      <c r="M624" t="n">
        <v>0</v>
      </c>
      <c r="N624" t="n">
        <v>0</v>
      </c>
      <c r="O624" t="n">
        <v>0</v>
      </c>
      <c r="P624" t="n">
        <v>0</v>
      </c>
      <c r="Q624" t="n">
        <v>0</v>
      </c>
      <c r="R624" s="2" t="inlineStr"/>
    </row>
    <row r="625" ht="15" customHeight="1">
      <c r="A625" t="inlineStr">
        <is>
          <t>A 693-2026</t>
        </is>
      </c>
      <c r="B625" s="1" t="n">
        <v>46029</v>
      </c>
      <c r="C625" s="1" t="n">
        <v>46192</v>
      </c>
      <c r="D625" t="inlineStr">
        <is>
          <t>STOCKHOLMS LÄN</t>
        </is>
      </c>
      <c r="E625" t="inlineStr">
        <is>
          <t>NORRTÄLJE</t>
        </is>
      </c>
      <c r="G625" t="n">
        <v>9.6</v>
      </c>
      <c r="H625" t="n">
        <v>0</v>
      </c>
      <c r="I625" t="n">
        <v>0</v>
      </c>
      <c r="J625" t="n">
        <v>0</v>
      </c>
      <c r="K625" t="n">
        <v>0</v>
      </c>
      <c r="L625" t="n">
        <v>0</v>
      </c>
      <c r="M625" t="n">
        <v>0</v>
      </c>
      <c r="N625" t="n">
        <v>0</v>
      </c>
      <c r="O625" t="n">
        <v>0</v>
      </c>
      <c r="P625" t="n">
        <v>0</v>
      </c>
      <c r="Q625" t="n">
        <v>0</v>
      </c>
      <c r="R625" s="2" t="inlineStr"/>
    </row>
    <row r="626" ht="15" customHeight="1">
      <c r="A626" t="inlineStr">
        <is>
          <t>A 41335-2023</t>
        </is>
      </c>
      <c r="B626" s="1" t="n">
        <v>45174</v>
      </c>
      <c r="C626" s="1" t="n">
        <v>46192</v>
      </c>
      <c r="D626" t="inlineStr">
        <is>
          <t>STOCKHOLMS LÄN</t>
        </is>
      </c>
      <c r="E626" t="inlineStr">
        <is>
          <t>NORRTÄLJE</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475-2026</t>
        </is>
      </c>
      <c r="B627" s="1" t="n">
        <v>46029</v>
      </c>
      <c r="C627" s="1" t="n">
        <v>46192</v>
      </c>
      <c r="D627" t="inlineStr">
        <is>
          <t>STOCKHOLMS LÄN</t>
        </is>
      </c>
      <c r="E627" t="inlineStr">
        <is>
          <t>NORRTÄLJE</t>
        </is>
      </c>
      <c r="G627" t="n">
        <v>4.6</v>
      </c>
      <c r="H627" t="n">
        <v>0</v>
      </c>
      <c r="I627" t="n">
        <v>0</v>
      </c>
      <c r="J627" t="n">
        <v>0</v>
      </c>
      <c r="K627" t="n">
        <v>0</v>
      </c>
      <c r="L627" t="n">
        <v>0</v>
      </c>
      <c r="M627" t="n">
        <v>0</v>
      </c>
      <c r="N627" t="n">
        <v>0</v>
      </c>
      <c r="O627" t="n">
        <v>0</v>
      </c>
      <c r="P627" t="n">
        <v>0</v>
      </c>
      <c r="Q627" t="n">
        <v>0</v>
      </c>
      <c r="R627" s="2" t="inlineStr"/>
    </row>
    <row r="628" ht="15" customHeight="1">
      <c r="A628" t="inlineStr">
        <is>
          <t>A 33040-2021</t>
        </is>
      </c>
      <c r="B628" s="1" t="n">
        <v>44376</v>
      </c>
      <c r="C628" s="1" t="n">
        <v>46192</v>
      </c>
      <c r="D628" t="inlineStr">
        <is>
          <t>STOCKHOLMS LÄN</t>
        </is>
      </c>
      <c r="E628" t="inlineStr">
        <is>
          <t>NORRTÄLJE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33053-2021</t>
        </is>
      </c>
      <c r="B629" s="1" t="n">
        <v>44376</v>
      </c>
      <c r="C629" s="1" t="n">
        <v>46192</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717-2026</t>
        </is>
      </c>
      <c r="B630" s="1" t="n">
        <v>46029</v>
      </c>
      <c r="C630" s="1" t="n">
        <v>46192</v>
      </c>
      <c r="D630" t="inlineStr">
        <is>
          <t>STOCKHOLMS LÄN</t>
        </is>
      </c>
      <c r="E630" t="inlineStr">
        <is>
          <t>NORRTÄLJE</t>
        </is>
      </c>
      <c r="G630" t="n">
        <v>2.4</v>
      </c>
      <c r="H630" t="n">
        <v>0</v>
      </c>
      <c r="I630" t="n">
        <v>0</v>
      </c>
      <c r="J630" t="n">
        <v>0</v>
      </c>
      <c r="K630" t="n">
        <v>0</v>
      </c>
      <c r="L630" t="n">
        <v>0</v>
      </c>
      <c r="M630" t="n">
        <v>0</v>
      </c>
      <c r="N630" t="n">
        <v>0</v>
      </c>
      <c r="O630" t="n">
        <v>0</v>
      </c>
      <c r="P630" t="n">
        <v>0</v>
      </c>
      <c r="Q630" t="n">
        <v>0</v>
      </c>
      <c r="R630" s="2" t="inlineStr"/>
    </row>
    <row r="631" ht="15" customHeight="1">
      <c r="A631" t="inlineStr">
        <is>
          <t>A 25094-2023</t>
        </is>
      </c>
      <c r="B631" s="1" t="n">
        <v>45086</v>
      </c>
      <c r="C631" s="1" t="n">
        <v>46192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812-2026</t>
        </is>
      </c>
      <c r="B632" s="1" t="n">
        <v>46030</v>
      </c>
      <c r="C632" s="1" t="n">
        <v>46192</v>
      </c>
      <c r="D632" t="inlineStr">
        <is>
          <t>STOCKHOLMS LÄN</t>
        </is>
      </c>
      <c r="E632" t="inlineStr">
        <is>
          <t>NORRTÄLJE</t>
        </is>
      </c>
      <c r="G632" t="n">
        <v>2.4</v>
      </c>
      <c r="H632" t="n">
        <v>0</v>
      </c>
      <c r="I632" t="n">
        <v>0</v>
      </c>
      <c r="J632" t="n">
        <v>0</v>
      </c>
      <c r="K632" t="n">
        <v>0</v>
      </c>
      <c r="L632" t="n">
        <v>0</v>
      </c>
      <c r="M632" t="n">
        <v>0</v>
      </c>
      <c r="N632" t="n">
        <v>0</v>
      </c>
      <c r="O632" t="n">
        <v>0</v>
      </c>
      <c r="P632" t="n">
        <v>0</v>
      </c>
      <c r="Q632" t="n">
        <v>0</v>
      </c>
      <c r="R632" s="2" t="inlineStr"/>
    </row>
    <row r="633" ht="15" customHeight="1">
      <c r="A633" t="inlineStr">
        <is>
          <t>A 47694-2023</t>
        </is>
      </c>
      <c r="B633" s="1" t="n">
        <v>45203</v>
      </c>
      <c r="C633" s="1" t="n">
        <v>46192</v>
      </c>
      <c r="D633" t="inlineStr">
        <is>
          <t>STOCKHOLMS LÄN</t>
        </is>
      </c>
      <c r="E633" t="inlineStr">
        <is>
          <t>NORRTÄLJE</t>
        </is>
      </c>
      <c r="G633" t="n">
        <v>5.2</v>
      </c>
      <c r="H633" t="n">
        <v>0</v>
      </c>
      <c r="I633" t="n">
        <v>0</v>
      </c>
      <c r="J633" t="n">
        <v>0</v>
      </c>
      <c r="K633" t="n">
        <v>0</v>
      </c>
      <c r="L633" t="n">
        <v>0</v>
      </c>
      <c r="M633" t="n">
        <v>0</v>
      </c>
      <c r="N633" t="n">
        <v>0</v>
      </c>
      <c r="O633" t="n">
        <v>0</v>
      </c>
      <c r="P633" t="n">
        <v>0</v>
      </c>
      <c r="Q633" t="n">
        <v>0</v>
      </c>
      <c r="R633" s="2" t="inlineStr"/>
    </row>
    <row r="634" ht="15" customHeight="1">
      <c r="A634" t="inlineStr">
        <is>
          <t>A 35532-2024</t>
        </is>
      </c>
      <c r="B634" s="1" t="n">
        <v>45531</v>
      </c>
      <c r="C634" s="1" t="n">
        <v>46192</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54259-2023</t>
        </is>
      </c>
      <c r="B635" s="1" t="n">
        <v>45232</v>
      </c>
      <c r="C635" s="1" t="n">
        <v>46192</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62644-2023</t>
        </is>
      </c>
      <c r="B636" s="1" t="n">
        <v>45271</v>
      </c>
      <c r="C636" s="1" t="n">
        <v>46192</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1755-2026</t>
        </is>
      </c>
      <c r="B637" s="1" t="n">
        <v>46034</v>
      </c>
      <c r="C637" s="1" t="n">
        <v>46192</v>
      </c>
      <c r="D637" t="inlineStr">
        <is>
          <t>STOCKHOLMS LÄN</t>
        </is>
      </c>
      <c r="E637" t="inlineStr">
        <is>
          <t>NORRTÄLJE</t>
        </is>
      </c>
      <c r="F637" t="inlineStr">
        <is>
          <t>Holmen skog AB</t>
        </is>
      </c>
      <c r="G637" t="n">
        <v>3.5</v>
      </c>
      <c r="H637" t="n">
        <v>0</v>
      </c>
      <c r="I637" t="n">
        <v>0</v>
      </c>
      <c r="J637" t="n">
        <v>0</v>
      </c>
      <c r="K637" t="n">
        <v>0</v>
      </c>
      <c r="L637" t="n">
        <v>0</v>
      </c>
      <c r="M637" t="n">
        <v>0</v>
      </c>
      <c r="N637" t="n">
        <v>0</v>
      </c>
      <c r="O637" t="n">
        <v>0</v>
      </c>
      <c r="P637" t="n">
        <v>0</v>
      </c>
      <c r="Q637" t="n">
        <v>0</v>
      </c>
      <c r="R637" s="2" t="inlineStr"/>
    </row>
    <row r="638" ht="15" customHeight="1">
      <c r="A638" t="inlineStr">
        <is>
          <t>A 1789-2026</t>
        </is>
      </c>
      <c r="B638" s="1" t="n">
        <v>46034</v>
      </c>
      <c r="C638" s="1" t="n">
        <v>46192</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57353-2024</t>
        </is>
      </c>
      <c r="B639" s="1" t="n">
        <v>45629</v>
      </c>
      <c r="C639" s="1" t="n">
        <v>46192</v>
      </c>
      <c r="D639" t="inlineStr">
        <is>
          <t>STOCKHOLMS LÄN</t>
        </is>
      </c>
      <c r="E639" t="inlineStr">
        <is>
          <t>NORRTÄLJE</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48587-2023</t>
        </is>
      </c>
      <c r="B640" s="1" t="n">
        <v>45208</v>
      </c>
      <c r="C640" s="1" t="n">
        <v>46192</v>
      </c>
      <c r="D640" t="inlineStr">
        <is>
          <t>STOCKHOLMS LÄN</t>
        </is>
      </c>
      <c r="E640" t="inlineStr">
        <is>
          <t>NORRTÄLJE</t>
        </is>
      </c>
      <c r="G640" t="n">
        <v>7</v>
      </c>
      <c r="H640" t="n">
        <v>0</v>
      </c>
      <c r="I640" t="n">
        <v>0</v>
      </c>
      <c r="J640" t="n">
        <v>0</v>
      </c>
      <c r="K640" t="n">
        <v>0</v>
      </c>
      <c r="L640" t="n">
        <v>0</v>
      </c>
      <c r="M640" t="n">
        <v>0</v>
      </c>
      <c r="N640" t="n">
        <v>0</v>
      </c>
      <c r="O640" t="n">
        <v>0</v>
      </c>
      <c r="P640" t="n">
        <v>0</v>
      </c>
      <c r="Q640" t="n">
        <v>0</v>
      </c>
      <c r="R640" s="2" t="inlineStr"/>
    </row>
    <row r="641" ht="15" customHeight="1">
      <c r="A641" t="inlineStr">
        <is>
          <t>A 2549-2022</t>
        </is>
      </c>
      <c r="B641" s="1" t="n">
        <v>44580</v>
      </c>
      <c r="C641" s="1" t="n">
        <v>46192</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2088-2026</t>
        </is>
      </c>
      <c r="B642" s="1" t="n">
        <v>46036</v>
      </c>
      <c r="C642" s="1" t="n">
        <v>46192</v>
      </c>
      <c r="D642" t="inlineStr">
        <is>
          <t>STOCKHOLMS LÄN</t>
        </is>
      </c>
      <c r="E642" t="inlineStr">
        <is>
          <t>NORRTÄLJE</t>
        </is>
      </c>
      <c r="G642" t="n">
        <v>7</v>
      </c>
      <c r="H642" t="n">
        <v>0</v>
      </c>
      <c r="I642" t="n">
        <v>0</v>
      </c>
      <c r="J642" t="n">
        <v>0</v>
      </c>
      <c r="K642" t="n">
        <v>0</v>
      </c>
      <c r="L642" t="n">
        <v>0</v>
      </c>
      <c r="M642" t="n">
        <v>0</v>
      </c>
      <c r="N642" t="n">
        <v>0</v>
      </c>
      <c r="O642" t="n">
        <v>0</v>
      </c>
      <c r="P642" t="n">
        <v>0</v>
      </c>
      <c r="Q642" t="n">
        <v>0</v>
      </c>
      <c r="R642" s="2" t="inlineStr"/>
    </row>
    <row r="643" ht="15" customHeight="1">
      <c r="A643" t="inlineStr">
        <is>
          <t>A 47758-2023</t>
        </is>
      </c>
      <c r="B643" s="1" t="n">
        <v>45203</v>
      </c>
      <c r="C643" s="1" t="n">
        <v>46192</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23265-2023</t>
        </is>
      </c>
      <c r="B644" s="1" t="n">
        <v>45075</v>
      </c>
      <c r="C644" s="1" t="n">
        <v>46192</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26117-2024</t>
        </is>
      </c>
      <c r="B645" s="1" t="n">
        <v>45468</v>
      </c>
      <c r="C645" s="1" t="n">
        <v>46192</v>
      </c>
      <c r="D645" t="inlineStr">
        <is>
          <t>STOCKHOLMS LÄN</t>
        </is>
      </c>
      <c r="E645" t="inlineStr">
        <is>
          <t>NORRTÄLJE</t>
        </is>
      </c>
      <c r="G645" t="n">
        <v>2.4</v>
      </c>
      <c r="H645" t="n">
        <v>0</v>
      </c>
      <c r="I645" t="n">
        <v>0</v>
      </c>
      <c r="J645" t="n">
        <v>0</v>
      </c>
      <c r="K645" t="n">
        <v>0</v>
      </c>
      <c r="L645" t="n">
        <v>0</v>
      </c>
      <c r="M645" t="n">
        <v>0</v>
      </c>
      <c r="N645" t="n">
        <v>0</v>
      </c>
      <c r="O645" t="n">
        <v>0</v>
      </c>
      <c r="P645" t="n">
        <v>0</v>
      </c>
      <c r="Q645" t="n">
        <v>0</v>
      </c>
      <c r="R645" s="2" t="inlineStr"/>
    </row>
    <row r="646" ht="15" customHeight="1">
      <c r="A646" t="inlineStr">
        <is>
          <t>A 2116-2026</t>
        </is>
      </c>
      <c r="B646" s="1" t="n">
        <v>46036</v>
      </c>
      <c r="C646" s="1" t="n">
        <v>46192</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51061-2023</t>
        </is>
      </c>
      <c r="B647" s="1" t="n">
        <v>45218</v>
      </c>
      <c r="C647" s="1" t="n">
        <v>46192</v>
      </c>
      <c r="D647" t="inlineStr">
        <is>
          <t>STOCKHOLMS LÄN</t>
        </is>
      </c>
      <c r="E647" t="inlineStr">
        <is>
          <t>NORRTÄLJE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22697-2022</t>
        </is>
      </c>
      <c r="B648" s="1" t="n">
        <v>44714</v>
      </c>
      <c r="C648" s="1" t="n">
        <v>46192</v>
      </c>
      <c r="D648" t="inlineStr">
        <is>
          <t>STOCKHOLMS LÄN</t>
        </is>
      </c>
      <c r="E648" t="inlineStr">
        <is>
          <t>NORRTÄLJE</t>
        </is>
      </c>
      <c r="G648" t="n">
        <v>5.6</v>
      </c>
      <c r="H648" t="n">
        <v>0</v>
      </c>
      <c r="I648" t="n">
        <v>0</v>
      </c>
      <c r="J648" t="n">
        <v>0</v>
      </c>
      <c r="K648" t="n">
        <v>0</v>
      </c>
      <c r="L648" t="n">
        <v>0</v>
      </c>
      <c r="M648" t="n">
        <v>0</v>
      </c>
      <c r="N648" t="n">
        <v>0</v>
      </c>
      <c r="O648" t="n">
        <v>0</v>
      </c>
      <c r="P648" t="n">
        <v>0</v>
      </c>
      <c r="Q648" t="n">
        <v>0</v>
      </c>
      <c r="R648" s="2" t="inlineStr"/>
    </row>
    <row r="649" ht="15" customHeight="1">
      <c r="A649" t="inlineStr">
        <is>
          <t>A 45549-2022</t>
        </is>
      </c>
      <c r="B649" s="1" t="n">
        <v>44845</v>
      </c>
      <c r="C649" s="1" t="n">
        <v>46192</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54396-2021</t>
        </is>
      </c>
      <c r="B650" s="1" t="n">
        <v>44472</v>
      </c>
      <c r="C650" s="1" t="n">
        <v>46192</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24727-2023</t>
        </is>
      </c>
      <c r="B651" s="1" t="n">
        <v>45084</v>
      </c>
      <c r="C651" s="1" t="n">
        <v>46192</v>
      </c>
      <c r="D651" t="inlineStr">
        <is>
          <t>STOCKHOLMS LÄN</t>
        </is>
      </c>
      <c r="E651" t="inlineStr">
        <is>
          <t>NORRTÄLJE</t>
        </is>
      </c>
      <c r="F651" t="inlineStr">
        <is>
          <t>Holmen skog AB</t>
        </is>
      </c>
      <c r="G651" t="n">
        <v>2.2</v>
      </c>
      <c r="H651" t="n">
        <v>0</v>
      </c>
      <c r="I651" t="n">
        <v>0</v>
      </c>
      <c r="J651" t="n">
        <v>0</v>
      </c>
      <c r="K651" t="n">
        <v>0</v>
      </c>
      <c r="L651" t="n">
        <v>0</v>
      </c>
      <c r="M651" t="n">
        <v>0</v>
      </c>
      <c r="N651" t="n">
        <v>0</v>
      </c>
      <c r="O651" t="n">
        <v>0</v>
      </c>
      <c r="P651" t="n">
        <v>0</v>
      </c>
      <c r="Q651" t="n">
        <v>0</v>
      </c>
      <c r="R651" s="2" t="inlineStr"/>
    </row>
    <row r="652" ht="15" customHeight="1">
      <c r="A652" t="inlineStr">
        <is>
          <t>A 48722-2023</t>
        </is>
      </c>
      <c r="B652" s="1" t="n">
        <v>45208</v>
      </c>
      <c r="C652" s="1" t="n">
        <v>46192</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35235-2024</t>
        </is>
      </c>
      <c r="B653" s="1" t="n">
        <v>45530</v>
      </c>
      <c r="C653" s="1" t="n">
        <v>46192</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1847-2023</t>
        </is>
      </c>
      <c r="B654" s="1" t="n">
        <v>44938</v>
      </c>
      <c r="C654" s="1" t="n">
        <v>46192</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1448-2023</t>
        </is>
      </c>
      <c r="B655" s="1" t="n">
        <v>44937</v>
      </c>
      <c r="C655" s="1" t="n">
        <v>46192</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3549-2026</t>
        </is>
      </c>
      <c r="B656" s="1" t="n">
        <v>46042</v>
      </c>
      <c r="C656" s="1" t="n">
        <v>46192</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8736-2024</t>
        </is>
      </c>
      <c r="B657" s="1" t="n">
        <v>45356</v>
      </c>
      <c r="C657" s="1" t="n">
        <v>46192</v>
      </c>
      <c r="D657" t="inlineStr">
        <is>
          <t>STOCKHOLMS LÄN</t>
        </is>
      </c>
      <c r="E657" t="inlineStr">
        <is>
          <t>NORRTÄLJE</t>
        </is>
      </c>
      <c r="G657" t="n">
        <v>8.9</v>
      </c>
      <c r="H657" t="n">
        <v>0</v>
      </c>
      <c r="I657" t="n">
        <v>0</v>
      </c>
      <c r="J657" t="n">
        <v>0</v>
      </c>
      <c r="K657" t="n">
        <v>0</v>
      </c>
      <c r="L657" t="n">
        <v>0</v>
      </c>
      <c r="M657" t="n">
        <v>0</v>
      </c>
      <c r="N657" t="n">
        <v>0</v>
      </c>
      <c r="O657" t="n">
        <v>0</v>
      </c>
      <c r="P657" t="n">
        <v>0</v>
      </c>
      <c r="Q657" t="n">
        <v>0</v>
      </c>
      <c r="R657" s="2" t="inlineStr"/>
    </row>
    <row r="658" ht="15" customHeight="1">
      <c r="A658" t="inlineStr">
        <is>
          <t>A 33149-2022</t>
        </is>
      </c>
      <c r="B658" s="1" t="n">
        <v>44785</v>
      </c>
      <c r="C658" s="1" t="n">
        <v>46192</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37010-2022</t>
        </is>
      </c>
      <c r="B659" s="1" t="n">
        <v>44806</v>
      </c>
      <c r="C659" s="1" t="n">
        <v>46192</v>
      </c>
      <c r="D659" t="inlineStr">
        <is>
          <t>STOCKHOLMS LÄN</t>
        </is>
      </c>
      <c r="E659" t="inlineStr">
        <is>
          <t>NORRTÄLJE</t>
        </is>
      </c>
      <c r="G659" t="n">
        <v>2.7</v>
      </c>
      <c r="H659" t="n">
        <v>0</v>
      </c>
      <c r="I659" t="n">
        <v>0</v>
      </c>
      <c r="J659" t="n">
        <v>0</v>
      </c>
      <c r="K659" t="n">
        <v>0</v>
      </c>
      <c r="L659" t="n">
        <v>0</v>
      </c>
      <c r="M659" t="n">
        <v>0</v>
      </c>
      <c r="N659" t="n">
        <v>0</v>
      </c>
      <c r="O659" t="n">
        <v>0</v>
      </c>
      <c r="P659" t="n">
        <v>0</v>
      </c>
      <c r="Q659" t="n">
        <v>0</v>
      </c>
      <c r="R659" s="2" t="inlineStr"/>
    </row>
    <row r="660" ht="15" customHeight="1">
      <c r="A660" t="inlineStr">
        <is>
          <t>A 951-2023</t>
        </is>
      </c>
      <c r="B660" s="1" t="n">
        <v>44934</v>
      </c>
      <c r="C660" s="1" t="n">
        <v>46192</v>
      </c>
      <c r="D660" t="inlineStr">
        <is>
          <t>STOCKHOLMS LÄN</t>
        </is>
      </c>
      <c r="E660" t="inlineStr">
        <is>
          <t>NORRTÄLJE</t>
        </is>
      </c>
      <c r="G660" t="n">
        <v>3.7</v>
      </c>
      <c r="H660" t="n">
        <v>0</v>
      </c>
      <c r="I660" t="n">
        <v>0</v>
      </c>
      <c r="J660" t="n">
        <v>0</v>
      </c>
      <c r="K660" t="n">
        <v>0</v>
      </c>
      <c r="L660" t="n">
        <v>0</v>
      </c>
      <c r="M660" t="n">
        <v>0</v>
      </c>
      <c r="N660" t="n">
        <v>0</v>
      </c>
      <c r="O660" t="n">
        <v>0</v>
      </c>
      <c r="P660" t="n">
        <v>0</v>
      </c>
      <c r="Q660" t="n">
        <v>0</v>
      </c>
      <c r="R660" s="2" t="inlineStr"/>
    </row>
    <row r="661" ht="15" customHeight="1">
      <c r="A661" t="inlineStr">
        <is>
          <t>A 6537-2024</t>
        </is>
      </c>
      <c r="B661" s="1" t="n">
        <v>45341</v>
      </c>
      <c r="C661" s="1" t="n">
        <v>46192</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40175-2024</t>
        </is>
      </c>
      <c r="B662" s="1" t="n">
        <v>45554</v>
      </c>
      <c r="C662" s="1" t="n">
        <v>46192</v>
      </c>
      <c r="D662" t="inlineStr">
        <is>
          <t>STOCKHOLMS LÄN</t>
        </is>
      </c>
      <c r="E662" t="inlineStr">
        <is>
          <t>NORRTÄLJE</t>
        </is>
      </c>
      <c r="G662" t="n">
        <v>7.7</v>
      </c>
      <c r="H662" t="n">
        <v>0</v>
      </c>
      <c r="I662" t="n">
        <v>0</v>
      </c>
      <c r="J662" t="n">
        <v>0</v>
      </c>
      <c r="K662" t="n">
        <v>0</v>
      </c>
      <c r="L662" t="n">
        <v>0</v>
      </c>
      <c r="M662" t="n">
        <v>0</v>
      </c>
      <c r="N662" t="n">
        <v>0</v>
      </c>
      <c r="O662" t="n">
        <v>0</v>
      </c>
      <c r="P662" t="n">
        <v>0</v>
      </c>
      <c r="Q662" t="n">
        <v>0</v>
      </c>
      <c r="R662" s="2" t="inlineStr"/>
    </row>
    <row r="663" ht="15" customHeight="1">
      <c r="A663" t="inlineStr">
        <is>
          <t>A 35708-2022</t>
        </is>
      </c>
      <c r="B663" s="1" t="n">
        <v>44799</v>
      </c>
      <c r="C663" s="1" t="n">
        <v>46192</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4230-2026</t>
        </is>
      </c>
      <c r="B664" s="1" t="n">
        <v>46044</v>
      </c>
      <c r="C664" s="1" t="n">
        <v>46192</v>
      </c>
      <c r="D664" t="inlineStr">
        <is>
          <t>STOCKHOLMS LÄN</t>
        </is>
      </c>
      <c r="E664" t="inlineStr">
        <is>
          <t>NORRTÄLJE</t>
        </is>
      </c>
      <c r="G664" t="n">
        <v>10.8</v>
      </c>
      <c r="H664" t="n">
        <v>0</v>
      </c>
      <c r="I664" t="n">
        <v>0</v>
      </c>
      <c r="J664" t="n">
        <v>0</v>
      </c>
      <c r="K664" t="n">
        <v>0</v>
      </c>
      <c r="L664" t="n">
        <v>0</v>
      </c>
      <c r="M664" t="n">
        <v>0</v>
      </c>
      <c r="N664" t="n">
        <v>0</v>
      </c>
      <c r="O664" t="n">
        <v>0</v>
      </c>
      <c r="P664" t="n">
        <v>0</v>
      </c>
      <c r="Q664" t="n">
        <v>0</v>
      </c>
      <c r="R664" s="2" t="inlineStr"/>
    </row>
    <row r="665" ht="15" customHeight="1">
      <c r="A665" t="inlineStr">
        <is>
          <t>A 4232-2026</t>
        </is>
      </c>
      <c r="B665" s="1" t="n">
        <v>46044</v>
      </c>
      <c r="C665" s="1" t="n">
        <v>46192</v>
      </c>
      <c r="D665" t="inlineStr">
        <is>
          <t>STOCKHOLMS LÄN</t>
        </is>
      </c>
      <c r="E665" t="inlineStr">
        <is>
          <t>NORRTÄLJE</t>
        </is>
      </c>
      <c r="G665" t="n">
        <v>3.8</v>
      </c>
      <c r="H665" t="n">
        <v>0</v>
      </c>
      <c r="I665" t="n">
        <v>0</v>
      </c>
      <c r="J665" t="n">
        <v>0</v>
      </c>
      <c r="K665" t="n">
        <v>0</v>
      </c>
      <c r="L665" t="n">
        <v>0</v>
      </c>
      <c r="M665" t="n">
        <v>0</v>
      </c>
      <c r="N665" t="n">
        <v>0</v>
      </c>
      <c r="O665" t="n">
        <v>0</v>
      </c>
      <c r="P665" t="n">
        <v>0</v>
      </c>
      <c r="Q665" t="n">
        <v>0</v>
      </c>
      <c r="R665" s="2" t="inlineStr"/>
    </row>
    <row r="666" ht="15" customHeight="1">
      <c r="A666" t="inlineStr">
        <is>
          <t>A 3933-2026</t>
        </is>
      </c>
      <c r="B666" s="1" t="n">
        <v>46043</v>
      </c>
      <c r="C666" s="1" t="n">
        <v>46192</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23056-2023</t>
        </is>
      </c>
      <c r="B667" s="1" t="n">
        <v>45075</v>
      </c>
      <c r="C667" s="1" t="n">
        <v>46192</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21731-2023</t>
        </is>
      </c>
      <c r="B668" s="1" t="n">
        <v>45063</v>
      </c>
      <c r="C668" s="1" t="n">
        <v>46192</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47431-2023</t>
        </is>
      </c>
      <c r="B669" s="1" t="n">
        <v>45202</v>
      </c>
      <c r="C669" s="1" t="n">
        <v>46192</v>
      </c>
      <c r="D669" t="inlineStr">
        <is>
          <t>STOCKHOLMS LÄN</t>
        </is>
      </c>
      <c r="E669" t="inlineStr">
        <is>
          <t>NORRTÄLJE</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23266-2023</t>
        </is>
      </c>
      <c r="B670" s="1" t="n">
        <v>45075</v>
      </c>
      <c r="C670" s="1" t="n">
        <v>46192</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59499-2023</t>
        </is>
      </c>
      <c r="B671" s="1" t="n">
        <v>45254</v>
      </c>
      <c r="C671" s="1" t="n">
        <v>46192</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59468-2023</t>
        </is>
      </c>
      <c r="B672" s="1" t="n">
        <v>45254</v>
      </c>
      <c r="C672" s="1" t="n">
        <v>46192</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4549-2026</t>
        </is>
      </c>
      <c r="B673" s="1" t="n">
        <v>46047</v>
      </c>
      <c r="C673" s="1" t="n">
        <v>46192</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12532-2025</t>
        </is>
      </c>
      <c r="B674" s="1" t="n">
        <v>45730</v>
      </c>
      <c r="C674" s="1" t="n">
        <v>46192</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5732-2023</t>
        </is>
      </c>
      <c r="B675" s="1" t="n">
        <v>44962</v>
      </c>
      <c r="C675" s="1" t="n">
        <v>46192</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58260-2023</t>
        </is>
      </c>
      <c r="B676" s="1" t="n">
        <v>45245</v>
      </c>
      <c r="C676" s="1" t="n">
        <v>46192</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58261-2023</t>
        </is>
      </c>
      <c r="B677" s="1" t="n">
        <v>45245</v>
      </c>
      <c r="C677" s="1" t="n">
        <v>46192</v>
      </c>
      <c r="D677" t="inlineStr">
        <is>
          <t>STOCKHOLMS LÄN</t>
        </is>
      </c>
      <c r="E677" t="inlineStr">
        <is>
          <t>NORRTÄLJE</t>
        </is>
      </c>
      <c r="G677" t="n">
        <v>53.5</v>
      </c>
      <c r="H677" t="n">
        <v>0</v>
      </c>
      <c r="I677" t="n">
        <v>0</v>
      </c>
      <c r="J677" t="n">
        <v>0</v>
      </c>
      <c r="K677" t="n">
        <v>0</v>
      </c>
      <c r="L677" t="n">
        <v>0</v>
      </c>
      <c r="M677" t="n">
        <v>0</v>
      </c>
      <c r="N677" t="n">
        <v>0</v>
      </c>
      <c r="O677" t="n">
        <v>0</v>
      </c>
      <c r="P677" t="n">
        <v>0</v>
      </c>
      <c r="Q677" t="n">
        <v>0</v>
      </c>
      <c r="R677" s="2" t="inlineStr"/>
    </row>
    <row r="678" ht="15" customHeight="1">
      <c r="A678" t="inlineStr">
        <is>
          <t>A 10653-2022</t>
        </is>
      </c>
      <c r="B678" s="1" t="n">
        <v>44624</v>
      </c>
      <c r="C678" s="1" t="n">
        <v>46192</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21729-2024</t>
        </is>
      </c>
      <c r="B679" s="1" t="n">
        <v>45442</v>
      </c>
      <c r="C679" s="1" t="n">
        <v>46192</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4886-2026</t>
        </is>
      </c>
      <c r="B680" s="1" t="n">
        <v>46048</v>
      </c>
      <c r="C680" s="1" t="n">
        <v>46192</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5226-2026</t>
        </is>
      </c>
      <c r="B681" s="1" t="n">
        <v>46049</v>
      </c>
      <c r="C681" s="1" t="n">
        <v>46192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29266-2022</t>
        </is>
      </c>
      <c r="B682" s="1" t="n">
        <v>44750</v>
      </c>
      <c r="C682" s="1" t="n">
        <v>46192</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29278-2022</t>
        </is>
      </c>
      <c r="B683" s="1" t="n">
        <v>44750</v>
      </c>
      <c r="C683" s="1" t="n">
        <v>46192</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5224-2026</t>
        </is>
      </c>
      <c r="B684" s="1" t="n">
        <v>46049</v>
      </c>
      <c r="C684" s="1" t="n">
        <v>46192</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5227-2026</t>
        </is>
      </c>
      <c r="B685" s="1" t="n">
        <v>46049</v>
      </c>
      <c r="C685" s="1" t="n">
        <v>46192</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5241-2026</t>
        </is>
      </c>
      <c r="B686" s="1" t="n">
        <v>46049</v>
      </c>
      <c r="C686" s="1" t="n">
        <v>46192</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39610-2025</t>
        </is>
      </c>
      <c r="B687" s="1" t="n">
        <v>45890</v>
      </c>
      <c r="C687" s="1" t="n">
        <v>46192</v>
      </c>
      <c r="D687" t="inlineStr">
        <is>
          <t>STOCKHOLMS LÄN</t>
        </is>
      </c>
      <c r="E687" t="inlineStr">
        <is>
          <t>NORRTÄLJE</t>
        </is>
      </c>
      <c r="G687" t="n">
        <v>28.6</v>
      </c>
      <c r="H687" t="n">
        <v>0</v>
      </c>
      <c r="I687" t="n">
        <v>0</v>
      </c>
      <c r="J687" t="n">
        <v>0</v>
      </c>
      <c r="K687" t="n">
        <v>0</v>
      </c>
      <c r="L687" t="n">
        <v>0</v>
      </c>
      <c r="M687" t="n">
        <v>0</v>
      </c>
      <c r="N687" t="n">
        <v>0</v>
      </c>
      <c r="O687" t="n">
        <v>0</v>
      </c>
      <c r="P687" t="n">
        <v>0</v>
      </c>
      <c r="Q687" t="n">
        <v>0</v>
      </c>
      <c r="R687" s="2" t="inlineStr"/>
    </row>
    <row r="688" ht="15" customHeight="1">
      <c r="A688" t="inlineStr">
        <is>
          <t>A 59712-2024</t>
        </is>
      </c>
      <c r="B688" s="1" t="n">
        <v>45639</v>
      </c>
      <c r="C688" s="1" t="n">
        <v>46192</v>
      </c>
      <c r="D688" t="inlineStr">
        <is>
          <t>STOCKHOLMS LÄN</t>
        </is>
      </c>
      <c r="E688" t="inlineStr">
        <is>
          <t>NORRTÄLJE</t>
        </is>
      </c>
      <c r="G688" t="n">
        <v>4.4</v>
      </c>
      <c r="H688" t="n">
        <v>0</v>
      </c>
      <c r="I688" t="n">
        <v>0</v>
      </c>
      <c r="J688" t="n">
        <v>0</v>
      </c>
      <c r="K688" t="n">
        <v>0</v>
      </c>
      <c r="L688" t="n">
        <v>0</v>
      </c>
      <c r="M688" t="n">
        <v>0</v>
      </c>
      <c r="N688" t="n">
        <v>0</v>
      </c>
      <c r="O688" t="n">
        <v>0</v>
      </c>
      <c r="P688" t="n">
        <v>0</v>
      </c>
      <c r="Q688" t="n">
        <v>0</v>
      </c>
      <c r="R688" s="2" t="inlineStr"/>
    </row>
    <row r="689" ht="15" customHeight="1">
      <c r="A689" t="inlineStr">
        <is>
          <t>A 5934-2026</t>
        </is>
      </c>
      <c r="B689" s="1" t="n">
        <v>46052</v>
      </c>
      <c r="C689" s="1" t="n">
        <v>46192</v>
      </c>
      <c r="D689" t="inlineStr">
        <is>
          <t>STOCKHOLMS LÄN</t>
        </is>
      </c>
      <c r="E689" t="inlineStr">
        <is>
          <t>NORRTÄLJE</t>
        </is>
      </c>
      <c r="F689" t="inlineStr">
        <is>
          <t>Holmen skog AB</t>
        </is>
      </c>
      <c r="G689" t="n">
        <v>5.5</v>
      </c>
      <c r="H689" t="n">
        <v>0</v>
      </c>
      <c r="I689" t="n">
        <v>0</v>
      </c>
      <c r="J689" t="n">
        <v>0</v>
      </c>
      <c r="K689" t="n">
        <v>0</v>
      </c>
      <c r="L689" t="n">
        <v>0</v>
      </c>
      <c r="M689" t="n">
        <v>0</v>
      </c>
      <c r="N689" t="n">
        <v>0</v>
      </c>
      <c r="O689" t="n">
        <v>0</v>
      </c>
      <c r="P689" t="n">
        <v>0</v>
      </c>
      <c r="Q689" t="n">
        <v>0</v>
      </c>
      <c r="R689" s="2" t="inlineStr"/>
    </row>
    <row r="690" ht="15" customHeight="1">
      <c r="A690" t="inlineStr">
        <is>
          <t>A 23060-2023</t>
        </is>
      </c>
      <c r="B690" s="1" t="n">
        <v>45075</v>
      </c>
      <c r="C690" s="1" t="n">
        <v>46192</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35127-2023</t>
        </is>
      </c>
      <c r="B691" s="1" t="n">
        <v>45145</v>
      </c>
      <c r="C691" s="1" t="n">
        <v>46192</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6401-2024</t>
        </is>
      </c>
      <c r="B692" s="1" t="n">
        <v>45338</v>
      </c>
      <c r="C692" s="1" t="n">
        <v>46192</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45255-2022</t>
        </is>
      </c>
      <c r="B693" s="1" t="n">
        <v>44840</v>
      </c>
      <c r="C693" s="1" t="n">
        <v>46192</v>
      </c>
      <c r="D693" t="inlineStr">
        <is>
          <t>STOCKHOLMS LÄN</t>
        </is>
      </c>
      <c r="E693" t="inlineStr">
        <is>
          <t>NORRTÄLJE</t>
        </is>
      </c>
      <c r="G693" t="n">
        <v>4.1</v>
      </c>
      <c r="H693" t="n">
        <v>0</v>
      </c>
      <c r="I693" t="n">
        <v>0</v>
      </c>
      <c r="J693" t="n">
        <v>0</v>
      </c>
      <c r="K693" t="n">
        <v>0</v>
      </c>
      <c r="L693" t="n">
        <v>0</v>
      </c>
      <c r="M693" t="n">
        <v>0</v>
      </c>
      <c r="N693" t="n">
        <v>0</v>
      </c>
      <c r="O693" t="n">
        <v>0</v>
      </c>
      <c r="P693" t="n">
        <v>0</v>
      </c>
      <c r="Q693" t="n">
        <v>0</v>
      </c>
      <c r="R693" s="2" t="inlineStr"/>
    </row>
    <row r="694" ht="15" customHeight="1">
      <c r="A694" t="inlineStr">
        <is>
          <t>A 59504-2023</t>
        </is>
      </c>
      <c r="B694" s="1" t="n">
        <v>45254</v>
      </c>
      <c r="C694" s="1" t="n">
        <v>46192</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59893-2022</t>
        </is>
      </c>
      <c r="B695" s="1" t="n">
        <v>44908</v>
      </c>
      <c r="C695" s="1" t="n">
        <v>46192</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39905-2023</t>
        </is>
      </c>
      <c r="B696" s="1" t="n">
        <v>45168</v>
      </c>
      <c r="C696" s="1" t="n">
        <v>46192</v>
      </c>
      <c r="D696" t="inlineStr">
        <is>
          <t>STOCKHOLMS LÄN</t>
        </is>
      </c>
      <c r="E696" t="inlineStr">
        <is>
          <t>NORRTÄLJE</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6724-2026</t>
        </is>
      </c>
      <c r="B697" s="1" t="n">
        <v>46056</v>
      </c>
      <c r="C697" s="1" t="n">
        <v>46192</v>
      </c>
      <c r="D697" t="inlineStr">
        <is>
          <t>STOCKHOLMS LÄN</t>
        </is>
      </c>
      <c r="E697" t="inlineStr">
        <is>
          <t>NORRTÄLJE</t>
        </is>
      </c>
      <c r="F697" t="inlineStr">
        <is>
          <t>Holmen skog AB</t>
        </is>
      </c>
      <c r="G697" t="n">
        <v>16.2</v>
      </c>
      <c r="H697" t="n">
        <v>0</v>
      </c>
      <c r="I697" t="n">
        <v>0</v>
      </c>
      <c r="J697" t="n">
        <v>0</v>
      </c>
      <c r="K697" t="n">
        <v>0</v>
      </c>
      <c r="L697" t="n">
        <v>0</v>
      </c>
      <c r="M697" t="n">
        <v>0</v>
      </c>
      <c r="N697" t="n">
        <v>0</v>
      </c>
      <c r="O697" t="n">
        <v>0</v>
      </c>
      <c r="P697" t="n">
        <v>0</v>
      </c>
      <c r="Q697" t="n">
        <v>0</v>
      </c>
      <c r="R697" s="2" t="inlineStr"/>
    </row>
    <row r="698" ht="15" customHeight="1">
      <c r="A698" t="inlineStr">
        <is>
          <t>A 60529-2023</t>
        </is>
      </c>
      <c r="B698" s="1" t="n">
        <v>45259</v>
      </c>
      <c r="C698" s="1" t="n">
        <v>46192</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6828-2026</t>
        </is>
      </c>
      <c r="B699" s="1" t="n">
        <v>46057</v>
      </c>
      <c r="C699" s="1" t="n">
        <v>46192</v>
      </c>
      <c r="D699" t="inlineStr">
        <is>
          <t>STOCKHOLMS LÄN</t>
        </is>
      </c>
      <c r="E699" t="inlineStr">
        <is>
          <t>NORRTÄLJE</t>
        </is>
      </c>
      <c r="F699" t="inlineStr">
        <is>
          <t>Holmen skog AB</t>
        </is>
      </c>
      <c r="G699" t="n">
        <v>2.8</v>
      </c>
      <c r="H699" t="n">
        <v>0</v>
      </c>
      <c r="I699" t="n">
        <v>0</v>
      </c>
      <c r="J699" t="n">
        <v>0</v>
      </c>
      <c r="K699" t="n">
        <v>0</v>
      </c>
      <c r="L699" t="n">
        <v>0</v>
      </c>
      <c r="M699" t="n">
        <v>0</v>
      </c>
      <c r="N699" t="n">
        <v>0</v>
      </c>
      <c r="O699" t="n">
        <v>0</v>
      </c>
      <c r="P699" t="n">
        <v>0</v>
      </c>
      <c r="Q699" t="n">
        <v>0</v>
      </c>
      <c r="R699" s="2" t="inlineStr"/>
    </row>
    <row r="700" ht="15" customHeight="1">
      <c r="A700" t="inlineStr">
        <is>
          <t>A 6838-2026</t>
        </is>
      </c>
      <c r="B700" s="1" t="n">
        <v>46057</v>
      </c>
      <c r="C700" s="1" t="n">
        <v>46192</v>
      </c>
      <c r="D700" t="inlineStr">
        <is>
          <t>STOCKHOLMS LÄN</t>
        </is>
      </c>
      <c r="E700" t="inlineStr">
        <is>
          <t>NORRTÄLJE</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6874-2026</t>
        </is>
      </c>
      <c r="B701" s="1" t="n">
        <v>46057</v>
      </c>
      <c r="C701" s="1" t="n">
        <v>46192</v>
      </c>
      <c r="D701" t="inlineStr">
        <is>
          <t>STOCKHOLMS LÄN</t>
        </is>
      </c>
      <c r="E701" t="inlineStr">
        <is>
          <t>NORRTÄLJE</t>
        </is>
      </c>
      <c r="F701" t="inlineStr">
        <is>
          <t>Holmen skog AB</t>
        </is>
      </c>
      <c r="G701" t="n">
        <v>1.4</v>
      </c>
      <c r="H701" t="n">
        <v>0</v>
      </c>
      <c r="I701" t="n">
        <v>0</v>
      </c>
      <c r="J701" t="n">
        <v>0</v>
      </c>
      <c r="K701" t="n">
        <v>0</v>
      </c>
      <c r="L701" t="n">
        <v>0</v>
      </c>
      <c r="M701" t="n">
        <v>0</v>
      </c>
      <c r="N701" t="n">
        <v>0</v>
      </c>
      <c r="O701" t="n">
        <v>0</v>
      </c>
      <c r="P701" t="n">
        <v>0</v>
      </c>
      <c r="Q701" t="n">
        <v>0</v>
      </c>
      <c r="R701" s="2" t="inlineStr"/>
    </row>
    <row r="702" ht="15" customHeight="1">
      <c r="A702" t="inlineStr">
        <is>
          <t>A 19706-2023</t>
        </is>
      </c>
      <c r="B702" s="1" t="n">
        <v>45051</v>
      </c>
      <c r="C702" s="1" t="n">
        <v>46192</v>
      </c>
      <c r="D702" t="inlineStr">
        <is>
          <t>STOCKHOLMS LÄN</t>
        </is>
      </c>
      <c r="E702" t="inlineStr">
        <is>
          <t>NORRTÄLJE</t>
        </is>
      </c>
      <c r="G702" t="n">
        <v>0.2</v>
      </c>
      <c r="H702" t="n">
        <v>0</v>
      </c>
      <c r="I702" t="n">
        <v>0</v>
      </c>
      <c r="J702" t="n">
        <v>0</v>
      </c>
      <c r="K702" t="n">
        <v>0</v>
      </c>
      <c r="L702" t="n">
        <v>0</v>
      </c>
      <c r="M702" t="n">
        <v>0</v>
      </c>
      <c r="N702" t="n">
        <v>0</v>
      </c>
      <c r="O702" t="n">
        <v>0</v>
      </c>
      <c r="P702" t="n">
        <v>0</v>
      </c>
      <c r="Q702" t="n">
        <v>0</v>
      </c>
      <c r="R702" s="2" t="inlineStr"/>
    </row>
    <row r="703" ht="15" customHeight="1">
      <c r="A703" t="inlineStr">
        <is>
          <t>A 20370-2025</t>
        </is>
      </c>
      <c r="B703" s="1" t="n">
        <v>45775</v>
      </c>
      <c r="C703" s="1" t="n">
        <v>46192</v>
      </c>
      <c r="D703" t="inlineStr">
        <is>
          <t>STOCKHOLMS LÄN</t>
        </is>
      </c>
      <c r="E703" t="inlineStr">
        <is>
          <t>NORRTÄLJE</t>
        </is>
      </c>
      <c r="G703" t="n">
        <v>2.9</v>
      </c>
      <c r="H703" t="n">
        <v>0</v>
      </c>
      <c r="I703" t="n">
        <v>0</v>
      </c>
      <c r="J703" t="n">
        <v>0</v>
      </c>
      <c r="K703" t="n">
        <v>0</v>
      </c>
      <c r="L703" t="n">
        <v>0</v>
      </c>
      <c r="M703" t="n">
        <v>0</v>
      </c>
      <c r="N703" t="n">
        <v>0</v>
      </c>
      <c r="O703" t="n">
        <v>0</v>
      </c>
      <c r="P703" t="n">
        <v>0</v>
      </c>
      <c r="Q703" t="n">
        <v>0</v>
      </c>
      <c r="R703" s="2" t="inlineStr"/>
    </row>
    <row r="704" ht="15" customHeight="1">
      <c r="A704" t="inlineStr">
        <is>
          <t>A 19580-2022</t>
        </is>
      </c>
      <c r="B704" s="1" t="n">
        <v>44693</v>
      </c>
      <c r="C704" s="1" t="n">
        <v>46192</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7308-2026</t>
        </is>
      </c>
      <c r="B705" s="1" t="n">
        <v>46058</v>
      </c>
      <c r="C705" s="1" t="n">
        <v>46192</v>
      </c>
      <c r="D705" t="inlineStr">
        <is>
          <t>STOCKHOLMS LÄN</t>
        </is>
      </c>
      <c r="E705" t="inlineStr">
        <is>
          <t>NORRTÄLJE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7532-2026</t>
        </is>
      </c>
      <c r="B706" s="1" t="n">
        <v>46059</v>
      </c>
      <c r="C706" s="1" t="n">
        <v>46192</v>
      </c>
      <c r="D706" t="inlineStr">
        <is>
          <t>STOCKHOLMS LÄN</t>
        </is>
      </c>
      <c r="E706" t="inlineStr">
        <is>
          <t>NORRTÄLJE</t>
        </is>
      </c>
      <c r="G706" t="n">
        <v>5.2</v>
      </c>
      <c r="H706" t="n">
        <v>0</v>
      </c>
      <c r="I706" t="n">
        <v>0</v>
      </c>
      <c r="J706" t="n">
        <v>0</v>
      </c>
      <c r="K706" t="n">
        <v>0</v>
      </c>
      <c r="L706" t="n">
        <v>0</v>
      </c>
      <c r="M706" t="n">
        <v>0</v>
      </c>
      <c r="N706" t="n">
        <v>0</v>
      </c>
      <c r="O706" t="n">
        <v>0</v>
      </c>
      <c r="P706" t="n">
        <v>0</v>
      </c>
      <c r="Q706" t="n">
        <v>0</v>
      </c>
      <c r="R706" s="2" t="inlineStr"/>
    </row>
    <row r="707" ht="15" customHeight="1">
      <c r="A707" t="inlineStr">
        <is>
          <t>A 16835-2022</t>
        </is>
      </c>
      <c r="B707" s="1" t="n">
        <v>44673</v>
      </c>
      <c r="C707" s="1" t="n">
        <v>46192</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58404-2023</t>
        </is>
      </c>
      <c r="B708" s="1" t="n">
        <v>45245</v>
      </c>
      <c r="C708" s="1" t="n">
        <v>46192</v>
      </c>
      <c r="D708" t="inlineStr">
        <is>
          <t>STOCKHOLMS LÄN</t>
        </is>
      </c>
      <c r="E708" t="inlineStr">
        <is>
          <t>NORRTÄLJE</t>
        </is>
      </c>
      <c r="G708" t="n">
        <v>53.5</v>
      </c>
      <c r="H708" t="n">
        <v>0</v>
      </c>
      <c r="I708" t="n">
        <v>0</v>
      </c>
      <c r="J708" t="n">
        <v>0</v>
      </c>
      <c r="K708" t="n">
        <v>0</v>
      </c>
      <c r="L708" t="n">
        <v>0</v>
      </c>
      <c r="M708" t="n">
        <v>0</v>
      </c>
      <c r="N708" t="n">
        <v>0</v>
      </c>
      <c r="O708" t="n">
        <v>0</v>
      </c>
      <c r="P708" t="n">
        <v>0</v>
      </c>
      <c r="Q708" t="n">
        <v>0</v>
      </c>
      <c r="R708" s="2" t="inlineStr"/>
    </row>
    <row r="709" ht="15" customHeight="1">
      <c r="A709" t="inlineStr">
        <is>
          <t>A 8055-2026</t>
        </is>
      </c>
      <c r="B709" s="1" t="n">
        <v>46063</v>
      </c>
      <c r="C709" s="1" t="n">
        <v>46192</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31057-2022</t>
        </is>
      </c>
      <c r="B710" s="1" t="n">
        <v>44769</v>
      </c>
      <c r="C710" s="1" t="n">
        <v>46192</v>
      </c>
      <c r="D710" t="inlineStr">
        <is>
          <t>STOCKHOLMS LÄN</t>
        </is>
      </c>
      <c r="E710" t="inlineStr">
        <is>
          <t>NORRTÄLJE</t>
        </is>
      </c>
      <c r="G710" t="n">
        <v>6.5</v>
      </c>
      <c r="H710" t="n">
        <v>0</v>
      </c>
      <c r="I710" t="n">
        <v>0</v>
      </c>
      <c r="J710" t="n">
        <v>0</v>
      </c>
      <c r="K710" t="n">
        <v>0</v>
      </c>
      <c r="L710" t="n">
        <v>0</v>
      </c>
      <c r="M710" t="n">
        <v>0</v>
      </c>
      <c r="N710" t="n">
        <v>0</v>
      </c>
      <c r="O710" t="n">
        <v>0</v>
      </c>
      <c r="P710" t="n">
        <v>0</v>
      </c>
      <c r="Q710" t="n">
        <v>0</v>
      </c>
      <c r="R710" s="2" t="inlineStr"/>
    </row>
    <row r="711" ht="15" customHeight="1">
      <c r="A711" t="inlineStr">
        <is>
          <t>A 7793-2026</t>
        </is>
      </c>
      <c r="B711" s="1" t="n">
        <v>46062</v>
      </c>
      <c r="C711" s="1" t="n">
        <v>46192</v>
      </c>
      <c r="D711" t="inlineStr">
        <is>
          <t>STOCKHOLMS LÄN</t>
        </is>
      </c>
      <c r="E711" t="inlineStr">
        <is>
          <t>NORRTÄLJE</t>
        </is>
      </c>
      <c r="F711" t="inlineStr">
        <is>
          <t>Holmen skog AB</t>
        </is>
      </c>
      <c r="G711" t="n">
        <v>3.8</v>
      </c>
      <c r="H711" t="n">
        <v>0</v>
      </c>
      <c r="I711" t="n">
        <v>0</v>
      </c>
      <c r="J711" t="n">
        <v>0</v>
      </c>
      <c r="K711" t="n">
        <v>0</v>
      </c>
      <c r="L711" t="n">
        <v>0</v>
      </c>
      <c r="M711" t="n">
        <v>0</v>
      </c>
      <c r="N711" t="n">
        <v>0</v>
      </c>
      <c r="O711" t="n">
        <v>0</v>
      </c>
      <c r="P711" t="n">
        <v>0</v>
      </c>
      <c r="Q711" t="n">
        <v>0</v>
      </c>
      <c r="R711" s="2" t="inlineStr"/>
    </row>
    <row r="712" ht="15" customHeight="1">
      <c r="A712" t="inlineStr">
        <is>
          <t>A 8096-2026</t>
        </is>
      </c>
      <c r="B712" s="1" t="n">
        <v>46063</v>
      </c>
      <c r="C712" s="1" t="n">
        <v>46192</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7582-2026</t>
        </is>
      </c>
      <c r="B713" s="1" t="n">
        <v>46061</v>
      </c>
      <c r="C713" s="1" t="n">
        <v>46192</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16202-2022</t>
        </is>
      </c>
      <c r="B714" s="1" t="n">
        <v>44670</v>
      </c>
      <c r="C714" s="1" t="n">
        <v>46192</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31149-2023</t>
        </is>
      </c>
      <c r="B715" s="1" t="n">
        <v>45113</v>
      </c>
      <c r="C715" s="1" t="n">
        <v>46192</v>
      </c>
      <c r="D715" t="inlineStr">
        <is>
          <t>STOCKHOLMS LÄN</t>
        </is>
      </c>
      <c r="E715" t="inlineStr">
        <is>
          <t>NORRTÄLJE</t>
        </is>
      </c>
      <c r="G715" t="n">
        <v>7.1</v>
      </c>
      <c r="H715" t="n">
        <v>0</v>
      </c>
      <c r="I715" t="n">
        <v>0</v>
      </c>
      <c r="J715" t="n">
        <v>0</v>
      </c>
      <c r="K715" t="n">
        <v>0</v>
      </c>
      <c r="L715" t="n">
        <v>0</v>
      </c>
      <c r="M715" t="n">
        <v>0</v>
      </c>
      <c r="N715" t="n">
        <v>0</v>
      </c>
      <c r="O715" t="n">
        <v>0</v>
      </c>
      <c r="P715" t="n">
        <v>0</v>
      </c>
      <c r="Q715" t="n">
        <v>0</v>
      </c>
      <c r="R715" s="2" t="inlineStr"/>
    </row>
    <row r="716" ht="15" customHeight="1">
      <c r="A716" t="inlineStr">
        <is>
          <t>A 8091-2026</t>
        </is>
      </c>
      <c r="B716" s="1" t="n">
        <v>46063</v>
      </c>
      <c r="C716" s="1" t="n">
        <v>46192</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55018-2024</t>
        </is>
      </c>
      <c r="B717" s="1" t="n">
        <v>45621</v>
      </c>
      <c r="C717" s="1" t="n">
        <v>46192</v>
      </c>
      <c r="D717" t="inlineStr">
        <is>
          <t>STOCKHOLMS LÄN</t>
        </is>
      </c>
      <c r="E717" t="inlineStr">
        <is>
          <t>NORRTÄLJE</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4658-2024</t>
        </is>
      </c>
      <c r="B718" s="1" t="n">
        <v>45328</v>
      </c>
      <c r="C718" s="1" t="n">
        <v>46192</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50136-2023</t>
        </is>
      </c>
      <c r="B719" s="1" t="n">
        <v>45215</v>
      </c>
      <c r="C719" s="1" t="n">
        <v>46192</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25656-2023</t>
        </is>
      </c>
      <c r="B720" s="1" t="n">
        <v>45089</v>
      </c>
      <c r="C720" s="1" t="n">
        <v>46192</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6003-2025</t>
        </is>
      </c>
      <c r="B721" s="1" t="n">
        <v>45695</v>
      </c>
      <c r="C721" s="1" t="n">
        <v>46192</v>
      </c>
      <c r="D721" t="inlineStr">
        <is>
          <t>STOCKHOLMS LÄN</t>
        </is>
      </c>
      <c r="E721" t="inlineStr">
        <is>
          <t>NORRTÄLJE</t>
        </is>
      </c>
      <c r="F721" t="inlineStr">
        <is>
          <t>Holmen skog AB</t>
        </is>
      </c>
      <c r="G721" t="n">
        <v>2.3</v>
      </c>
      <c r="H721" t="n">
        <v>0</v>
      </c>
      <c r="I721" t="n">
        <v>0</v>
      </c>
      <c r="J721" t="n">
        <v>0</v>
      </c>
      <c r="K721" t="n">
        <v>0</v>
      </c>
      <c r="L721" t="n">
        <v>0</v>
      </c>
      <c r="M721" t="n">
        <v>0</v>
      </c>
      <c r="N721" t="n">
        <v>0</v>
      </c>
      <c r="O721" t="n">
        <v>0</v>
      </c>
      <c r="P721" t="n">
        <v>0</v>
      </c>
      <c r="Q721" t="n">
        <v>0</v>
      </c>
      <c r="R721" s="2" t="inlineStr"/>
    </row>
    <row r="722" ht="15" customHeight="1">
      <c r="A722" t="inlineStr">
        <is>
          <t>A 8489-2026</t>
        </is>
      </c>
      <c r="B722" s="1" t="n">
        <v>46065</v>
      </c>
      <c r="C722" s="1" t="n">
        <v>46192</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8465-2026</t>
        </is>
      </c>
      <c r="B723" s="1" t="n">
        <v>46065</v>
      </c>
      <c r="C723" s="1" t="n">
        <v>46192</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11902-2024</t>
        </is>
      </c>
      <c r="B724" s="1" t="n">
        <v>45376</v>
      </c>
      <c r="C724" s="1" t="n">
        <v>46192</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8454-2026</t>
        </is>
      </c>
      <c r="B725" s="1" t="n">
        <v>46065</v>
      </c>
      <c r="C725" s="1" t="n">
        <v>46192</v>
      </c>
      <c r="D725" t="inlineStr">
        <is>
          <t>STOCKHOLMS LÄN</t>
        </is>
      </c>
      <c r="E725" t="inlineStr">
        <is>
          <t>NORRTÄLJE</t>
        </is>
      </c>
      <c r="G725" t="n">
        <v>3.2</v>
      </c>
      <c r="H725" t="n">
        <v>0</v>
      </c>
      <c r="I725" t="n">
        <v>0</v>
      </c>
      <c r="J725" t="n">
        <v>0</v>
      </c>
      <c r="K725" t="n">
        <v>0</v>
      </c>
      <c r="L725" t="n">
        <v>0</v>
      </c>
      <c r="M725" t="n">
        <v>0</v>
      </c>
      <c r="N725" t="n">
        <v>0</v>
      </c>
      <c r="O725" t="n">
        <v>0</v>
      </c>
      <c r="P725" t="n">
        <v>0</v>
      </c>
      <c r="Q725" t="n">
        <v>0</v>
      </c>
      <c r="R725" s="2" t="inlineStr"/>
    </row>
    <row r="726" ht="15" customHeight="1">
      <c r="A726" t="inlineStr">
        <is>
          <t>A 38049-2023</t>
        </is>
      </c>
      <c r="B726" s="1" t="n">
        <v>45159</v>
      </c>
      <c r="C726" s="1" t="n">
        <v>46192</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8989-2026</t>
        </is>
      </c>
      <c r="B727" s="1" t="n">
        <v>46069</v>
      </c>
      <c r="C727" s="1" t="n">
        <v>46192</v>
      </c>
      <c r="D727" t="inlineStr">
        <is>
          <t>STOCKHOLMS LÄN</t>
        </is>
      </c>
      <c r="E727" t="inlineStr">
        <is>
          <t>NORRTÄLJE</t>
        </is>
      </c>
      <c r="F727" t="inlineStr">
        <is>
          <t>Holmen skog AB</t>
        </is>
      </c>
      <c r="G727" t="n">
        <v>0.8</v>
      </c>
      <c r="H727" t="n">
        <v>0</v>
      </c>
      <c r="I727" t="n">
        <v>0</v>
      </c>
      <c r="J727" t="n">
        <v>0</v>
      </c>
      <c r="K727" t="n">
        <v>0</v>
      </c>
      <c r="L727" t="n">
        <v>0</v>
      </c>
      <c r="M727" t="n">
        <v>0</v>
      </c>
      <c r="N727" t="n">
        <v>0</v>
      </c>
      <c r="O727" t="n">
        <v>0</v>
      </c>
      <c r="P727" t="n">
        <v>0</v>
      </c>
      <c r="Q727" t="n">
        <v>0</v>
      </c>
      <c r="R727" s="2" t="inlineStr"/>
    </row>
    <row r="728" ht="15" customHeight="1">
      <c r="A728" t="inlineStr">
        <is>
          <t>A 7571-2024</t>
        </is>
      </c>
      <c r="B728" s="1" t="n">
        <v>45348</v>
      </c>
      <c r="C728" s="1" t="n">
        <v>46192</v>
      </c>
      <c r="D728" t="inlineStr">
        <is>
          <t>STOCKHOLMS LÄN</t>
        </is>
      </c>
      <c r="E728" t="inlineStr">
        <is>
          <t>NORRTÄLJE</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4183-2025</t>
        </is>
      </c>
      <c r="B729" s="1" t="n">
        <v>45685</v>
      </c>
      <c r="C729" s="1" t="n">
        <v>46192</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8985-2026</t>
        </is>
      </c>
      <c r="B730" s="1" t="n">
        <v>46069</v>
      </c>
      <c r="C730" s="1" t="n">
        <v>46192</v>
      </c>
      <c r="D730" t="inlineStr">
        <is>
          <t>STOCKHOLMS LÄN</t>
        </is>
      </c>
      <c r="E730" t="inlineStr">
        <is>
          <t>NORRTÄLJE</t>
        </is>
      </c>
      <c r="F730" t="inlineStr">
        <is>
          <t>Holmen skog AB</t>
        </is>
      </c>
      <c r="G730" t="n">
        <v>1.1</v>
      </c>
      <c r="H730" t="n">
        <v>0</v>
      </c>
      <c r="I730" t="n">
        <v>0</v>
      </c>
      <c r="J730" t="n">
        <v>0</v>
      </c>
      <c r="K730" t="n">
        <v>0</v>
      </c>
      <c r="L730" t="n">
        <v>0</v>
      </c>
      <c r="M730" t="n">
        <v>0</v>
      </c>
      <c r="N730" t="n">
        <v>0</v>
      </c>
      <c r="O730" t="n">
        <v>0</v>
      </c>
      <c r="P730" t="n">
        <v>0</v>
      </c>
      <c r="Q730" t="n">
        <v>0</v>
      </c>
      <c r="R730" s="2" t="inlineStr"/>
    </row>
    <row r="731" ht="15" customHeight="1">
      <c r="A731" t="inlineStr">
        <is>
          <t>A 8962-2026</t>
        </is>
      </c>
      <c r="B731" s="1" t="n">
        <v>46069</v>
      </c>
      <c r="C731" s="1" t="n">
        <v>46192</v>
      </c>
      <c r="D731" t="inlineStr">
        <is>
          <t>STOCKHOLMS LÄN</t>
        </is>
      </c>
      <c r="E731" t="inlineStr">
        <is>
          <t>NORRTÄLJE</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11849-2025</t>
        </is>
      </c>
      <c r="B732" s="1" t="n">
        <v>45728</v>
      </c>
      <c r="C732" s="1" t="n">
        <v>46192</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40425-2021</t>
        </is>
      </c>
      <c r="B733" s="1" t="n">
        <v>44419</v>
      </c>
      <c r="C733" s="1" t="n">
        <v>46192</v>
      </c>
      <c r="D733" t="inlineStr">
        <is>
          <t>STOCKHOLMS LÄN</t>
        </is>
      </c>
      <c r="E733" t="inlineStr">
        <is>
          <t>NORRTÄLJE</t>
        </is>
      </c>
      <c r="G733" t="n">
        <v>5</v>
      </c>
      <c r="H733" t="n">
        <v>0</v>
      </c>
      <c r="I733" t="n">
        <v>0</v>
      </c>
      <c r="J733" t="n">
        <v>0</v>
      </c>
      <c r="K733" t="n">
        <v>0</v>
      </c>
      <c r="L733" t="n">
        <v>0</v>
      </c>
      <c r="M733" t="n">
        <v>0</v>
      </c>
      <c r="N733" t="n">
        <v>0</v>
      </c>
      <c r="O733" t="n">
        <v>0</v>
      </c>
      <c r="P733" t="n">
        <v>0</v>
      </c>
      <c r="Q733" t="n">
        <v>0</v>
      </c>
      <c r="R733" s="2" t="inlineStr"/>
    </row>
    <row r="734" ht="15" customHeight="1">
      <c r="A734" t="inlineStr">
        <is>
          <t>A 58990-2021</t>
        </is>
      </c>
      <c r="B734" s="1" t="n">
        <v>44490</v>
      </c>
      <c r="C734" s="1" t="n">
        <v>46192</v>
      </c>
      <c r="D734" t="inlineStr">
        <is>
          <t>STOCKHOLMS LÄN</t>
        </is>
      </c>
      <c r="E734" t="inlineStr">
        <is>
          <t>NORRTÄLJE</t>
        </is>
      </c>
      <c r="G734" t="n">
        <v>4.2</v>
      </c>
      <c r="H734" t="n">
        <v>0</v>
      </c>
      <c r="I734" t="n">
        <v>0</v>
      </c>
      <c r="J734" t="n">
        <v>0</v>
      </c>
      <c r="K734" t="n">
        <v>0</v>
      </c>
      <c r="L734" t="n">
        <v>0</v>
      </c>
      <c r="M734" t="n">
        <v>0</v>
      </c>
      <c r="N734" t="n">
        <v>0</v>
      </c>
      <c r="O734" t="n">
        <v>0</v>
      </c>
      <c r="P734" t="n">
        <v>0</v>
      </c>
      <c r="Q734" t="n">
        <v>0</v>
      </c>
      <c r="R734" s="2" t="inlineStr"/>
    </row>
    <row r="735" ht="15" customHeight="1">
      <c r="A735" t="inlineStr">
        <is>
          <t>A 24522-2023</t>
        </is>
      </c>
      <c r="B735" s="1" t="n">
        <v>45082</v>
      </c>
      <c r="C735" s="1" t="n">
        <v>46192</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25625-2023</t>
        </is>
      </c>
      <c r="B736" s="1" t="n">
        <v>45089</v>
      </c>
      <c r="C736" s="1" t="n">
        <v>46192</v>
      </c>
      <c r="D736" t="inlineStr">
        <is>
          <t>STOCKHOLMS LÄN</t>
        </is>
      </c>
      <c r="E736" t="inlineStr">
        <is>
          <t>NORRTÄLJE</t>
        </is>
      </c>
      <c r="G736" t="n">
        <v>5.5</v>
      </c>
      <c r="H736" t="n">
        <v>0</v>
      </c>
      <c r="I736" t="n">
        <v>0</v>
      </c>
      <c r="J736" t="n">
        <v>0</v>
      </c>
      <c r="K736" t="n">
        <v>0</v>
      </c>
      <c r="L736" t="n">
        <v>0</v>
      </c>
      <c r="M736" t="n">
        <v>0</v>
      </c>
      <c r="N736" t="n">
        <v>0</v>
      </c>
      <c r="O736" t="n">
        <v>0</v>
      </c>
      <c r="P736" t="n">
        <v>0</v>
      </c>
      <c r="Q736" t="n">
        <v>0</v>
      </c>
      <c r="R736" s="2" t="inlineStr"/>
    </row>
    <row r="737" ht="15" customHeight="1">
      <c r="A737" t="inlineStr">
        <is>
          <t>A 37147-2023</t>
        </is>
      </c>
      <c r="B737" s="1" t="n">
        <v>45155</v>
      </c>
      <c r="C737" s="1" t="n">
        <v>46192</v>
      </c>
      <c r="D737" t="inlineStr">
        <is>
          <t>STOCKHOLMS LÄN</t>
        </is>
      </c>
      <c r="E737" t="inlineStr">
        <is>
          <t>NORRTÄLJE</t>
        </is>
      </c>
      <c r="G737" t="n">
        <v>8</v>
      </c>
      <c r="H737" t="n">
        <v>0</v>
      </c>
      <c r="I737" t="n">
        <v>0</v>
      </c>
      <c r="J737" t="n">
        <v>0</v>
      </c>
      <c r="K737" t="n">
        <v>0</v>
      </c>
      <c r="L737" t="n">
        <v>0</v>
      </c>
      <c r="M737" t="n">
        <v>0</v>
      </c>
      <c r="N737" t="n">
        <v>0</v>
      </c>
      <c r="O737" t="n">
        <v>0</v>
      </c>
      <c r="P737" t="n">
        <v>0</v>
      </c>
      <c r="Q737" t="n">
        <v>0</v>
      </c>
      <c r="R737" s="2" t="inlineStr"/>
    </row>
    <row r="738" ht="15" customHeight="1">
      <c r="A738" t="inlineStr">
        <is>
          <t>A 7186-2024</t>
        </is>
      </c>
      <c r="B738" s="1" t="n">
        <v>45344</v>
      </c>
      <c r="C738" s="1" t="n">
        <v>46192</v>
      </c>
      <c r="D738" t="inlineStr">
        <is>
          <t>STOCKHOLMS LÄN</t>
        </is>
      </c>
      <c r="E738" t="inlineStr">
        <is>
          <t>NORRTÄLJE</t>
        </is>
      </c>
      <c r="G738" t="n">
        <v>4.9</v>
      </c>
      <c r="H738" t="n">
        <v>0</v>
      </c>
      <c r="I738" t="n">
        <v>0</v>
      </c>
      <c r="J738" t="n">
        <v>0</v>
      </c>
      <c r="K738" t="n">
        <v>0</v>
      </c>
      <c r="L738" t="n">
        <v>0</v>
      </c>
      <c r="M738" t="n">
        <v>0</v>
      </c>
      <c r="N738" t="n">
        <v>0</v>
      </c>
      <c r="O738" t="n">
        <v>0</v>
      </c>
      <c r="P738" t="n">
        <v>0</v>
      </c>
      <c r="Q738" t="n">
        <v>0</v>
      </c>
      <c r="R738" s="2" t="inlineStr"/>
    </row>
    <row r="739" ht="15" customHeight="1">
      <c r="A739" t="inlineStr">
        <is>
          <t>A 9720-2026</t>
        </is>
      </c>
      <c r="B739" s="1" t="n">
        <v>46072</v>
      </c>
      <c r="C739" s="1" t="n">
        <v>46192</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20699-2025</t>
        </is>
      </c>
      <c r="B740" s="1" t="n">
        <v>45776</v>
      </c>
      <c r="C740" s="1" t="n">
        <v>46192</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3152-2024</t>
        </is>
      </c>
      <c r="B741" s="1" t="n">
        <v>45316</v>
      </c>
      <c r="C741" s="1" t="n">
        <v>46192</v>
      </c>
      <c r="D741" t="inlineStr">
        <is>
          <t>STOCKHOLMS LÄN</t>
        </is>
      </c>
      <c r="E741" t="inlineStr">
        <is>
          <t>NORRTÄLJE</t>
        </is>
      </c>
      <c r="G741" t="n">
        <v>7.9</v>
      </c>
      <c r="H741" t="n">
        <v>0</v>
      </c>
      <c r="I741" t="n">
        <v>0</v>
      </c>
      <c r="J741" t="n">
        <v>0</v>
      </c>
      <c r="K741" t="n">
        <v>0</v>
      </c>
      <c r="L741" t="n">
        <v>0</v>
      </c>
      <c r="M741" t="n">
        <v>0</v>
      </c>
      <c r="N741" t="n">
        <v>0</v>
      </c>
      <c r="O741" t="n">
        <v>0</v>
      </c>
      <c r="P741" t="n">
        <v>0</v>
      </c>
      <c r="Q741" t="n">
        <v>0</v>
      </c>
      <c r="R741" s="2" t="inlineStr"/>
    </row>
    <row r="742" ht="15" customHeight="1">
      <c r="A742" t="inlineStr">
        <is>
          <t>A 59326-2023</t>
        </is>
      </c>
      <c r="B742" s="1" t="n">
        <v>45253</v>
      </c>
      <c r="C742" s="1" t="n">
        <v>46192</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44836-2023</t>
        </is>
      </c>
      <c r="B743" s="1" t="n">
        <v>45190</v>
      </c>
      <c r="C743" s="1" t="n">
        <v>46192</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10646-2026</t>
        </is>
      </c>
      <c r="B744" s="1" t="n">
        <v>46078</v>
      </c>
      <c r="C744" s="1" t="n">
        <v>46192</v>
      </c>
      <c r="D744" t="inlineStr">
        <is>
          <t>STOCKHOLMS LÄN</t>
        </is>
      </c>
      <c r="E744" t="inlineStr">
        <is>
          <t>NORRTÄLJE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50602-2021</t>
        </is>
      </c>
      <c r="B745" s="1" t="n">
        <v>44459</v>
      </c>
      <c r="C745" s="1" t="n">
        <v>46192</v>
      </c>
      <c r="D745" t="inlineStr">
        <is>
          <t>STOCKHOLMS LÄN</t>
        </is>
      </c>
      <c r="E745" t="inlineStr">
        <is>
          <t>NORRTÄLJE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26365-2024</t>
        </is>
      </c>
      <c r="B746" s="1" t="n">
        <v>45469</v>
      </c>
      <c r="C746" s="1" t="n">
        <v>46192</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10399-2026</t>
        </is>
      </c>
      <c r="B747" s="1" t="n">
        <v>46077</v>
      </c>
      <c r="C747" s="1" t="n">
        <v>46192</v>
      </c>
      <c r="D747" t="inlineStr">
        <is>
          <t>STOCKHOLMS LÄN</t>
        </is>
      </c>
      <c r="E747" t="inlineStr">
        <is>
          <t>NORRTÄLJE</t>
        </is>
      </c>
      <c r="F747" t="inlineStr">
        <is>
          <t>Övriga Aktiebolag</t>
        </is>
      </c>
      <c r="G747" t="n">
        <v>0.2</v>
      </c>
      <c r="H747" t="n">
        <v>0</v>
      </c>
      <c r="I747" t="n">
        <v>0</v>
      </c>
      <c r="J747" t="n">
        <v>0</v>
      </c>
      <c r="K747" t="n">
        <v>0</v>
      </c>
      <c r="L747" t="n">
        <v>0</v>
      </c>
      <c r="M747" t="n">
        <v>0</v>
      </c>
      <c r="N747" t="n">
        <v>0</v>
      </c>
      <c r="O747" t="n">
        <v>0</v>
      </c>
      <c r="P747" t="n">
        <v>0</v>
      </c>
      <c r="Q747" t="n">
        <v>0</v>
      </c>
      <c r="R747" s="2" t="inlineStr"/>
    </row>
    <row r="748" ht="15" customHeight="1">
      <c r="A748" t="inlineStr">
        <is>
          <t>A 10586-2026</t>
        </is>
      </c>
      <c r="B748" s="1" t="n">
        <v>46077</v>
      </c>
      <c r="C748" s="1" t="n">
        <v>46192</v>
      </c>
      <c r="D748" t="inlineStr">
        <is>
          <t>STOCKHOLMS LÄN</t>
        </is>
      </c>
      <c r="E748" t="inlineStr">
        <is>
          <t>NORRTÄLJE</t>
        </is>
      </c>
      <c r="F748" t="inlineStr">
        <is>
          <t>Holmen skog AB</t>
        </is>
      </c>
      <c r="G748" t="n">
        <v>3.3</v>
      </c>
      <c r="H748" t="n">
        <v>0</v>
      </c>
      <c r="I748" t="n">
        <v>0</v>
      </c>
      <c r="J748" t="n">
        <v>0</v>
      </c>
      <c r="K748" t="n">
        <v>0</v>
      </c>
      <c r="L748" t="n">
        <v>0</v>
      </c>
      <c r="M748" t="n">
        <v>0</v>
      </c>
      <c r="N748" t="n">
        <v>0</v>
      </c>
      <c r="O748" t="n">
        <v>0</v>
      </c>
      <c r="P748" t="n">
        <v>0</v>
      </c>
      <c r="Q748" t="n">
        <v>0</v>
      </c>
      <c r="R748" s="2" t="inlineStr"/>
    </row>
    <row r="749" ht="15" customHeight="1">
      <c r="A749" t="inlineStr">
        <is>
          <t>A 26640-2023</t>
        </is>
      </c>
      <c r="B749" s="1" t="n">
        <v>45092</v>
      </c>
      <c r="C749" s="1" t="n">
        <v>46192</v>
      </c>
      <c r="D749" t="inlineStr">
        <is>
          <t>STOCKHOLMS LÄN</t>
        </is>
      </c>
      <c r="E749" t="inlineStr">
        <is>
          <t>NORRTÄLJE</t>
        </is>
      </c>
      <c r="G749" t="n">
        <v>5.7</v>
      </c>
      <c r="H749" t="n">
        <v>0</v>
      </c>
      <c r="I749" t="n">
        <v>0</v>
      </c>
      <c r="J749" t="n">
        <v>0</v>
      </c>
      <c r="K749" t="n">
        <v>0</v>
      </c>
      <c r="L749" t="n">
        <v>0</v>
      </c>
      <c r="M749" t="n">
        <v>0</v>
      </c>
      <c r="N749" t="n">
        <v>0</v>
      </c>
      <c r="O749" t="n">
        <v>0</v>
      </c>
      <c r="P749" t="n">
        <v>0</v>
      </c>
      <c r="Q749" t="n">
        <v>0</v>
      </c>
      <c r="R749" s="2" t="inlineStr"/>
    </row>
    <row r="750" ht="15" customHeight="1">
      <c r="A750" t="inlineStr">
        <is>
          <t>A 10429-2026</t>
        </is>
      </c>
      <c r="B750" s="1" t="n">
        <v>46077</v>
      </c>
      <c r="C750" s="1" t="n">
        <v>46192</v>
      </c>
      <c r="D750" t="inlineStr">
        <is>
          <t>STOCKHOLMS LÄN</t>
        </is>
      </c>
      <c r="E750" t="inlineStr">
        <is>
          <t>NORRTÄLJE</t>
        </is>
      </c>
      <c r="F750" t="inlineStr">
        <is>
          <t>Holmen skog AB</t>
        </is>
      </c>
      <c r="G750" t="n">
        <v>1.9</v>
      </c>
      <c r="H750" t="n">
        <v>0</v>
      </c>
      <c r="I750" t="n">
        <v>0</v>
      </c>
      <c r="J750" t="n">
        <v>0</v>
      </c>
      <c r="K750" t="n">
        <v>0</v>
      </c>
      <c r="L750" t="n">
        <v>0</v>
      </c>
      <c r="M750" t="n">
        <v>0</v>
      </c>
      <c r="N750" t="n">
        <v>0</v>
      </c>
      <c r="O750" t="n">
        <v>0</v>
      </c>
      <c r="P750" t="n">
        <v>0</v>
      </c>
      <c r="Q750" t="n">
        <v>0</v>
      </c>
      <c r="R750" s="2" t="inlineStr"/>
    </row>
    <row r="751" ht="15" customHeight="1">
      <c r="A751" t="inlineStr">
        <is>
          <t>A 31827-2023</t>
        </is>
      </c>
      <c r="B751" s="1" t="n">
        <v>45118</v>
      </c>
      <c r="C751" s="1" t="n">
        <v>46192</v>
      </c>
      <c r="D751" t="inlineStr">
        <is>
          <t>STOCKHOLMS LÄN</t>
        </is>
      </c>
      <c r="E751" t="inlineStr">
        <is>
          <t>NORRTÄLJE</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10553-2026</t>
        </is>
      </c>
      <c r="B752" s="1" t="n">
        <v>46077</v>
      </c>
      <c r="C752" s="1" t="n">
        <v>46192</v>
      </c>
      <c r="D752" t="inlineStr">
        <is>
          <t>STOCKHOLMS LÄN</t>
        </is>
      </c>
      <c r="E752" t="inlineStr">
        <is>
          <t>NORRTÄLJE</t>
        </is>
      </c>
      <c r="G752" t="n">
        <v>4.9</v>
      </c>
      <c r="H752" t="n">
        <v>0</v>
      </c>
      <c r="I752" t="n">
        <v>0</v>
      </c>
      <c r="J752" t="n">
        <v>0</v>
      </c>
      <c r="K752" t="n">
        <v>0</v>
      </c>
      <c r="L752" t="n">
        <v>0</v>
      </c>
      <c r="M752" t="n">
        <v>0</v>
      </c>
      <c r="N752" t="n">
        <v>0</v>
      </c>
      <c r="O752" t="n">
        <v>0</v>
      </c>
      <c r="P752" t="n">
        <v>0</v>
      </c>
      <c r="Q752" t="n">
        <v>0</v>
      </c>
      <c r="R752" s="2" t="inlineStr"/>
    </row>
    <row r="753" ht="15" customHeight="1">
      <c r="A753" t="inlineStr">
        <is>
          <t>A 10444-2026</t>
        </is>
      </c>
      <c r="B753" s="1" t="n">
        <v>46077</v>
      </c>
      <c r="C753" s="1" t="n">
        <v>46192</v>
      </c>
      <c r="D753" t="inlineStr">
        <is>
          <t>STOCKHOLMS LÄN</t>
        </is>
      </c>
      <c r="E753" t="inlineStr">
        <is>
          <t>NORRTÄLJE</t>
        </is>
      </c>
      <c r="F753" t="inlineStr">
        <is>
          <t>Holmen skog AB</t>
        </is>
      </c>
      <c r="G753" t="n">
        <v>4.9</v>
      </c>
      <c r="H753" t="n">
        <v>0</v>
      </c>
      <c r="I753" t="n">
        <v>0</v>
      </c>
      <c r="J753" t="n">
        <v>0</v>
      </c>
      <c r="K753" t="n">
        <v>0</v>
      </c>
      <c r="L753" t="n">
        <v>0</v>
      </c>
      <c r="M753" t="n">
        <v>0</v>
      </c>
      <c r="N753" t="n">
        <v>0</v>
      </c>
      <c r="O753" t="n">
        <v>0</v>
      </c>
      <c r="P753" t="n">
        <v>0</v>
      </c>
      <c r="Q753" t="n">
        <v>0</v>
      </c>
      <c r="R753" s="2" t="inlineStr"/>
    </row>
    <row r="754" ht="15" customHeight="1">
      <c r="A754" t="inlineStr">
        <is>
          <t>A 28900-2022</t>
        </is>
      </c>
      <c r="B754" s="1" t="n">
        <v>44749</v>
      </c>
      <c r="C754" s="1" t="n">
        <v>46192</v>
      </c>
      <c r="D754" t="inlineStr">
        <is>
          <t>STOCKHOLMS LÄN</t>
        </is>
      </c>
      <c r="E754" t="inlineStr">
        <is>
          <t>NORRTÄLJE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21771-2025</t>
        </is>
      </c>
      <c r="B755" s="1" t="n">
        <v>45783</v>
      </c>
      <c r="C755" s="1" t="n">
        <v>46192</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21778-2025</t>
        </is>
      </c>
      <c r="B756" s="1" t="n">
        <v>45783</v>
      </c>
      <c r="C756" s="1" t="n">
        <v>46192</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58297-2023</t>
        </is>
      </c>
      <c r="B757" s="1" t="n">
        <v>45245</v>
      </c>
      <c r="C757" s="1" t="n">
        <v>46192</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20304-2023</t>
        </is>
      </c>
      <c r="B758" s="1" t="n">
        <v>45056</v>
      </c>
      <c r="C758" s="1" t="n">
        <v>46192</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11929-2024</t>
        </is>
      </c>
      <c r="B759" s="1" t="n">
        <v>45376</v>
      </c>
      <c r="C759" s="1" t="n">
        <v>46192</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22202-2025</t>
        </is>
      </c>
      <c r="B760" s="1" t="n">
        <v>45785</v>
      </c>
      <c r="C760" s="1" t="n">
        <v>46192</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11648-2026</t>
        </is>
      </c>
      <c r="B761" s="1" t="n">
        <v>46084</v>
      </c>
      <c r="C761" s="1" t="n">
        <v>46192</v>
      </c>
      <c r="D761" t="inlineStr">
        <is>
          <t>STOCKHOLMS LÄN</t>
        </is>
      </c>
      <c r="E761" t="inlineStr">
        <is>
          <t>NORRTÄLJE</t>
        </is>
      </c>
      <c r="G761" t="n">
        <v>4.1</v>
      </c>
      <c r="H761" t="n">
        <v>0</v>
      </c>
      <c r="I761" t="n">
        <v>0</v>
      </c>
      <c r="J761" t="n">
        <v>0</v>
      </c>
      <c r="K761" t="n">
        <v>0</v>
      </c>
      <c r="L761" t="n">
        <v>0</v>
      </c>
      <c r="M761" t="n">
        <v>0</v>
      </c>
      <c r="N761" t="n">
        <v>0</v>
      </c>
      <c r="O761" t="n">
        <v>0</v>
      </c>
      <c r="P761" t="n">
        <v>0</v>
      </c>
      <c r="Q761" t="n">
        <v>0</v>
      </c>
      <c r="R761" s="2" t="inlineStr"/>
    </row>
    <row r="762" ht="15" customHeight="1">
      <c r="A762" t="inlineStr">
        <is>
          <t>A 16620-2024</t>
        </is>
      </c>
      <c r="B762" s="1" t="n">
        <v>45408</v>
      </c>
      <c r="C762" s="1" t="n">
        <v>46192</v>
      </c>
      <c r="D762" t="inlineStr">
        <is>
          <t>STOCKHOLMS LÄN</t>
        </is>
      </c>
      <c r="E762" t="inlineStr">
        <is>
          <t>NORRTÄLJE</t>
        </is>
      </c>
      <c r="G762" t="n">
        <v>2.7</v>
      </c>
      <c r="H762" t="n">
        <v>0</v>
      </c>
      <c r="I762" t="n">
        <v>0</v>
      </c>
      <c r="J762" t="n">
        <v>0</v>
      </c>
      <c r="K762" t="n">
        <v>0</v>
      </c>
      <c r="L762" t="n">
        <v>0</v>
      </c>
      <c r="M762" t="n">
        <v>0</v>
      </c>
      <c r="N762" t="n">
        <v>0</v>
      </c>
      <c r="O762" t="n">
        <v>0</v>
      </c>
      <c r="P762" t="n">
        <v>0</v>
      </c>
      <c r="Q762" t="n">
        <v>0</v>
      </c>
      <c r="R762" s="2" t="inlineStr"/>
    </row>
    <row r="763" ht="15" customHeight="1">
      <c r="A763" t="inlineStr">
        <is>
          <t>A 8296-2023</t>
        </is>
      </c>
      <c r="B763" s="1" t="n">
        <v>44974</v>
      </c>
      <c r="C763" s="1" t="n">
        <v>46192</v>
      </c>
      <c r="D763" t="inlineStr">
        <is>
          <t>STOCKHOLMS LÄN</t>
        </is>
      </c>
      <c r="E763" t="inlineStr">
        <is>
          <t>NORRTÄLJE</t>
        </is>
      </c>
      <c r="G763" t="n">
        <v>3.8</v>
      </c>
      <c r="H763" t="n">
        <v>0</v>
      </c>
      <c r="I763" t="n">
        <v>0</v>
      </c>
      <c r="J763" t="n">
        <v>0</v>
      </c>
      <c r="K763" t="n">
        <v>0</v>
      </c>
      <c r="L763" t="n">
        <v>0</v>
      </c>
      <c r="M763" t="n">
        <v>0</v>
      </c>
      <c r="N763" t="n">
        <v>0</v>
      </c>
      <c r="O763" t="n">
        <v>0</v>
      </c>
      <c r="P763" t="n">
        <v>0</v>
      </c>
      <c r="Q763" t="n">
        <v>0</v>
      </c>
      <c r="R763" s="2" t="inlineStr"/>
    </row>
    <row r="764" ht="15" customHeight="1">
      <c r="A764" t="inlineStr">
        <is>
          <t>A 24575-2024</t>
        </is>
      </c>
      <c r="B764" s="1" t="n">
        <v>45460</v>
      </c>
      <c r="C764" s="1" t="n">
        <v>46192</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52593-2024</t>
        </is>
      </c>
      <c r="B765" s="1" t="n">
        <v>45609</v>
      </c>
      <c r="C765" s="1" t="n">
        <v>46192</v>
      </c>
      <c r="D765" t="inlineStr">
        <is>
          <t>STOCKHOLMS LÄN</t>
        </is>
      </c>
      <c r="E765" t="inlineStr">
        <is>
          <t>NORRTÄLJE</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52617-2024</t>
        </is>
      </c>
      <c r="B766" s="1" t="n">
        <v>45609</v>
      </c>
      <c r="C766" s="1" t="n">
        <v>46192</v>
      </c>
      <c r="D766" t="inlineStr">
        <is>
          <t>STOCKHOLMS LÄN</t>
        </is>
      </c>
      <c r="E766" t="inlineStr">
        <is>
          <t>NORRTÄLJE</t>
        </is>
      </c>
      <c r="G766" t="n">
        <v>0.8</v>
      </c>
      <c r="H766" t="n">
        <v>0</v>
      </c>
      <c r="I766" t="n">
        <v>0</v>
      </c>
      <c r="J766" t="n">
        <v>0</v>
      </c>
      <c r="K766" t="n">
        <v>0</v>
      </c>
      <c r="L766" t="n">
        <v>0</v>
      </c>
      <c r="M766" t="n">
        <v>0</v>
      </c>
      <c r="N766" t="n">
        <v>0</v>
      </c>
      <c r="O766" t="n">
        <v>0</v>
      </c>
      <c r="P766" t="n">
        <v>0</v>
      </c>
      <c r="Q766" t="n">
        <v>0</v>
      </c>
      <c r="R766" s="2" t="inlineStr"/>
    </row>
    <row r="767" ht="15" customHeight="1">
      <c r="A767" t="inlineStr">
        <is>
          <t>A 58785-2024</t>
        </is>
      </c>
      <c r="B767" s="1" t="n">
        <v>45635</v>
      </c>
      <c r="C767" s="1" t="n">
        <v>46192</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2182-2022</t>
        </is>
      </c>
      <c r="B768" s="1" t="n">
        <v>44578</v>
      </c>
      <c r="C768" s="1" t="n">
        <v>46192</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12234-2026</t>
        </is>
      </c>
      <c r="B769" s="1" t="n">
        <v>46087</v>
      </c>
      <c r="C769" s="1" t="n">
        <v>46192</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13268-2025</t>
        </is>
      </c>
      <c r="B770" s="1" t="n">
        <v>45735</v>
      </c>
      <c r="C770" s="1" t="n">
        <v>46192</v>
      </c>
      <c r="D770" t="inlineStr">
        <is>
          <t>STOCKHOLMS LÄN</t>
        </is>
      </c>
      <c r="E770" t="inlineStr">
        <is>
          <t>NORRTÄLJE</t>
        </is>
      </c>
      <c r="G770" t="n">
        <v>11.4</v>
      </c>
      <c r="H770" t="n">
        <v>0</v>
      </c>
      <c r="I770" t="n">
        <v>0</v>
      </c>
      <c r="J770" t="n">
        <v>0</v>
      </c>
      <c r="K770" t="n">
        <v>0</v>
      </c>
      <c r="L770" t="n">
        <v>0</v>
      </c>
      <c r="M770" t="n">
        <v>0</v>
      </c>
      <c r="N770" t="n">
        <v>0</v>
      </c>
      <c r="O770" t="n">
        <v>0</v>
      </c>
      <c r="P770" t="n">
        <v>0</v>
      </c>
      <c r="Q770" t="n">
        <v>0</v>
      </c>
      <c r="R770" s="2" t="inlineStr"/>
    </row>
    <row r="771" ht="15" customHeight="1">
      <c r="A771" t="inlineStr">
        <is>
          <t>A 59904-2023</t>
        </is>
      </c>
      <c r="B771" s="1" t="n">
        <v>45257</v>
      </c>
      <c r="C771" s="1" t="n">
        <v>46192</v>
      </c>
      <c r="D771" t="inlineStr">
        <is>
          <t>STOCKHOLMS LÄN</t>
        </is>
      </c>
      <c r="E771" t="inlineStr">
        <is>
          <t>NORRTÄLJE</t>
        </is>
      </c>
      <c r="G771" t="n">
        <v>17.4</v>
      </c>
      <c r="H771" t="n">
        <v>0</v>
      </c>
      <c r="I771" t="n">
        <v>0</v>
      </c>
      <c r="J771" t="n">
        <v>0</v>
      </c>
      <c r="K771" t="n">
        <v>0</v>
      </c>
      <c r="L771" t="n">
        <v>0</v>
      </c>
      <c r="M771" t="n">
        <v>0</v>
      </c>
      <c r="N771" t="n">
        <v>0</v>
      </c>
      <c r="O771" t="n">
        <v>0</v>
      </c>
      <c r="P771" t="n">
        <v>0</v>
      </c>
      <c r="Q771" t="n">
        <v>0</v>
      </c>
      <c r="R771" s="2" t="inlineStr"/>
    </row>
    <row r="772" ht="15" customHeight="1">
      <c r="A772" t="inlineStr">
        <is>
          <t>A 8414-2025</t>
        </is>
      </c>
      <c r="B772" s="1" t="n">
        <v>45709</v>
      </c>
      <c r="C772" s="1" t="n">
        <v>46192</v>
      </c>
      <c r="D772" t="inlineStr">
        <is>
          <t>STOCKHOLMS LÄN</t>
        </is>
      </c>
      <c r="E772" t="inlineStr">
        <is>
          <t>NORRTÄLJE</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36625-2024</t>
        </is>
      </c>
      <c r="B773" s="1" t="n">
        <v>45537</v>
      </c>
      <c r="C773" s="1" t="n">
        <v>46192</v>
      </c>
      <c r="D773" t="inlineStr">
        <is>
          <t>STOCKHOLMS LÄN</t>
        </is>
      </c>
      <c r="E773" t="inlineStr">
        <is>
          <t>NORRTÄLJE</t>
        </is>
      </c>
      <c r="G773" t="n">
        <v>3.8</v>
      </c>
      <c r="H773" t="n">
        <v>0</v>
      </c>
      <c r="I773" t="n">
        <v>0</v>
      </c>
      <c r="J773" t="n">
        <v>0</v>
      </c>
      <c r="K773" t="n">
        <v>0</v>
      </c>
      <c r="L773" t="n">
        <v>0</v>
      </c>
      <c r="M773" t="n">
        <v>0</v>
      </c>
      <c r="N773" t="n">
        <v>0</v>
      </c>
      <c r="O773" t="n">
        <v>0</v>
      </c>
      <c r="P773" t="n">
        <v>0</v>
      </c>
      <c r="Q773" t="n">
        <v>0</v>
      </c>
      <c r="R773" s="2" t="inlineStr"/>
    </row>
    <row r="774" ht="15" customHeight="1">
      <c r="A774" t="inlineStr">
        <is>
          <t>A 44891-2023</t>
        </is>
      </c>
      <c r="B774" s="1" t="n">
        <v>45187</v>
      </c>
      <c r="C774" s="1" t="n">
        <v>46192</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12902-2024</t>
        </is>
      </c>
      <c r="B775" s="1" t="n">
        <v>45385</v>
      </c>
      <c r="C775" s="1" t="n">
        <v>46192</v>
      </c>
      <c r="D775" t="inlineStr">
        <is>
          <t>STOCKHOLMS LÄN</t>
        </is>
      </c>
      <c r="E775" t="inlineStr">
        <is>
          <t>NORRTÄLJE</t>
        </is>
      </c>
      <c r="G775" t="n">
        <v>3.7</v>
      </c>
      <c r="H775" t="n">
        <v>0</v>
      </c>
      <c r="I775" t="n">
        <v>0</v>
      </c>
      <c r="J775" t="n">
        <v>0</v>
      </c>
      <c r="K775" t="n">
        <v>0</v>
      </c>
      <c r="L775" t="n">
        <v>0</v>
      </c>
      <c r="M775" t="n">
        <v>0</v>
      </c>
      <c r="N775" t="n">
        <v>0</v>
      </c>
      <c r="O775" t="n">
        <v>0</v>
      </c>
      <c r="P775" t="n">
        <v>0</v>
      </c>
      <c r="Q775" t="n">
        <v>0</v>
      </c>
      <c r="R775" s="2" t="inlineStr"/>
    </row>
    <row r="776" ht="15" customHeight="1">
      <c r="A776" t="inlineStr">
        <is>
          <t>A 44032-2024</t>
        </is>
      </c>
      <c r="B776" s="1" t="n">
        <v>45572</v>
      </c>
      <c r="C776" s="1" t="n">
        <v>46192</v>
      </c>
      <c r="D776" t="inlineStr">
        <is>
          <t>STOCKHOLMS LÄN</t>
        </is>
      </c>
      <c r="E776" t="inlineStr">
        <is>
          <t>NORRTÄLJE</t>
        </is>
      </c>
      <c r="G776" t="n">
        <v>8.6</v>
      </c>
      <c r="H776" t="n">
        <v>0</v>
      </c>
      <c r="I776" t="n">
        <v>0</v>
      </c>
      <c r="J776" t="n">
        <v>0</v>
      </c>
      <c r="K776" t="n">
        <v>0</v>
      </c>
      <c r="L776" t="n">
        <v>0</v>
      </c>
      <c r="M776" t="n">
        <v>0</v>
      </c>
      <c r="N776" t="n">
        <v>0</v>
      </c>
      <c r="O776" t="n">
        <v>0</v>
      </c>
      <c r="P776" t="n">
        <v>0</v>
      </c>
      <c r="Q776" t="n">
        <v>0</v>
      </c>
      <c r="R776" s="2" t="inlineStr"/>
    </row>
    <row r="777" ht="15" customHeight="1">
      <c r="A777" t="inlineStr">
        <is>
          <t>A 39237-2024</t>
        </is>
      </c>
      <c r="B777" s="1" t="n">
        <v>45549</v>
      </c>
      <c r="C777" s="1" t="n">
        <v>46192</v>
      </c>
      <c r="D777" t="inlineStr">
        <is>
          <t>STOCKHOLMS LÄN</t>
        </is>
      </c>
      <c r="E777" t="inlineStr">
        <is>
          <t>NORRTÄLJE</t>
        </is>
      </c>
      <c r="G777" t="n">
        <v>13.3</v>
      </c>
      <c r="H777" t="n">
        <v>0</v>
      </c>
      <c r="I777" t="n">
        <v>0</v>
      </c>
      <c r="J777" t="n">
        <v>0</v>
      </c>
      <c r="K777" t="n">
        <v>0</v>
      </c>
      <c r="L777" t="n">
        <v>0</v>
      </c>
      <c r="M777" t="n">
        <v>0</v>
      </c>
      <c r="N777" t="n">
        <v>0</v>
      </c>
      <c r="O777" t="n">
        <v>0</v>
      </c>
      <c r="P777" t="n">
        <v>0</v>
      </c>
      <c r="Q777" t="n">
        <v>0</v>
      </c>
      <c r="R777" s="2" t="inlineStr"/>
    </row>
    <row r="778" ht="15" customHeight="1">
      <c r="A778" t="inlineStr">
        <is>
          <t>A 45746-2024</t>
        </is>
      </c>
      <c r="B778" s="1" t="n">
        <v>45579</v>
      </c>
      <c r="C778" s="1" t="n">
        <v>46192</v>
      </c>
      <c r="D778" t="inlineStr">
        <is>
          <t>STOCKHOLMS LÄN</t>
        </is>
      </c>
      <c r="E778" t="inlineStr">
        <is>
          <t>NORRTÄLJE</t>
        </is>
      </c>
      <c r="G778" t="n">
        <v>3.3</v>
      </c>
      <c r="H778" t="n">
        <v>0</v>
      </c>
      <c r="I778" t="n">
        <v>0</v>
      </c>
      <c r="J778" t="n">
        <v>0</v>
      </c>
      <c r="K778" t="n">
        <v>0</v>
      </c>
      <c r="L778" t="n">
        <v>0</v>
      </c>
      <c r="M778" t="n">
        <v>0</v>
      </c>
      <c r="N778" t="n">
        <v>0</v>
      </c>
      <c r="O778" t="n">
        <v>0</v>
      </c>
      <c r="P778" t="n">
        <v>0</v>
      </c>
      <c r="Q778" t="n">
        <v>0</v>
      </c>
      <c r="R778" s="2" t="inlineStr"/>
    </row>
    <row r="779" ht="15" customHeight="1">
      <c r="A779" t="inlineStr">
        <is>
          <t>A 8400-2024</t>
        </is>
      </c>
      <c r="B779" s="1" t="n">
        <v>45352</v>
      </c>
      <c r="C779" s="1" t="n">
        <v>46192</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15905-2023</t>
        </is>
      </c>
      <c r="B780" s="1" t="n">
        <v>45022</v>
      </c>
      <c r="C780" s="1" t="n">
        <v>46192</v>
      </c>
      <c r="D780" t="inlineStr">
        <is>
          <t>STOCKHOLMS LÄN</t>
        </is>
      </c>
      <c r="E780" t="inlineStr">
        <is>
          <t>NORRTÄLJE</t>
        </is>
      </c>
      <c r="G780" t="n">
        <v>3.2</v>
      </c>
      <c r="H780" t="n">
        <v>0</v>
      </c>
      <c r="I780" t="n">
        <v>0</v>
      </c>
      <c r="J780" t="n">
        <v>0</v>
      </c>
      <c r="K780" t="n">
        <v>0</v>
      </c>
      <c r="L780" t="n">
        <v>0</v>
      </c>
      <c r="M780" t="n">
        <v>0</v>
      </c>
      <c r="N780" t="n">
        <v>0</v>
      </c>
      <c r="O780" t="n">
        <v>0</v>
      </c>
      <c r="P780" t="n">
        <v>0</v>
      </c>
      <c r="Q780" t="n">
        <v>0</v>
      </c>
      <c r="R780" s="2" t="inlineStr"/>
    </row>
    <row r="781" ht="15" customHeight="1">
      <c r="A781" t="inlineStr">
        <is>
          <t>A 15956-2023</t>
        </is>
      </c>
      <c r="B781" s="1" t="n">
        <v>45022</v>
      </c>
      <c r="C781" s="1" t="n">
        <v>46192</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47626-2022</t>
        </is>
      </c>
      <c r="B782" s="1" t="n">
        <v>44854</v>
      </c>
      <c r="C782" s="1" t="n">
        <v>46192</v>
      </c>
      <c r="D782" t="inlineStr">
        <is>
          <t>STOCKHOLMS LÄN</t>
        </is>
      </c>
      <c r="E782" t="inlineStr">
        <is>
          <t>NORRTÄLJE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62206-2022</t>
        </is>
      </c>
      <c r="B783" s="1" t="n">
        <v>44922</v>
      </c>
      <c r="C783" s="1" t="n">
        <v>46192</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20618-2022</t>
        </is>
      </c>
      <c r="B784" s="1" t="n">
        <v>44700</v>
      </c>
      <c r="C784" s="1" t="n">
        <v>46192</v>
      </c>
      <c r="D784" t="inlineStr">
        <is>
          <t>STOCKHOLMS LÄN</t>
        </is>
      </c>
      <c r="E784" t="inlineStr">
        <is>
          <t>NORRTÄLJE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13544-2026</t>
        </is>
      </c>
      <c r="B785" s="1" t="n">
        <v>46094</v>
      </c>
      <c r="C785" s="1" t="n">
        <v>46192</v>
      </c>
      <c r="D785" t="inlineStr">
        <is>
          <t>STOCKHOLMS LÄN</t>
        </is>
      </c>
      <c r="E785" t="inlineStr">
        <is>
          <t>NORRTÄLJE</t>
        </is>
      </c>
      <c r="F785" t="inlineStr">
        <is>
          <t>Holmen skog AB</t>
        </is>
      </c>
      <c r="G785" t="n">
        <v>3.2</v>
      </c>
      <c r="H785" t="n">
        <v>0</v>
      </c>
      <c r="I785" t="n">
        <v>0</v>
      </c>
      <c r="J785" t="n">
        <v>0</v>
      </c>
      <c r="K785" t="n">
        <v>0</v>
      </c>
      <c r="L785" t="n">
        <v>0</v>
      </c>
      <c r="M785" t="n">
        <v>0</v>
      </c>
      <c r="N785" t="n">
        <v>0</v>
      </c>
      <c r="O785" t="n">
        <v>0</v>
      </c>
      <c r="P785" t="n">
        <v>0</v>
      </c>
      <c r="Q785" t="n">
        <v>0</v>
      </c>
      <c r="R785" s="2" t="inlineStr"/>
    </row>
    <row r="786" ht="15" customHeight="1">
      <c r="A786" t="inlineStr">
        <is>
          <t>A 13204-2026</t>
        </is>
      </c>
      <c r="B786" s="1" t="n">
        <v>46093</v>
      </c>
      <c r="C786" s="1" t="n">
        <v>46192</v>
      </c>
      <c r="D786" t="inlineStr">
        <is>
          <t>STOCKHOLMS LÄN</t>
        </is>
      </c>
      <c r="E786" t="inlineStr">
        <is>
          <t>NORRTÄLJE</t>
        </is>
      </c>
      <c r="G786" t="n">
        <v>3.5</v>
      </c>
      <c r="H786" t="n">
        <v>0</v>
      </c>
      <c r="I786" t="n">
        <v>0</v>
      </c>
      <c r="J786" t="n">
        <v>0</v>
      </c>
      <c r="K786" t="n">
        <v>0</v>
      </c>
      <c r="L786" t="n">
        <v>0</v>
      </c>
      <c r="M786" t="n">
        <v>0</v>
      </c>
      <c r="N786" t="n">
        <v>0</v>
      </c>
      <c r="O786" t="n">
        <v>0</v>
      </c>
      <c r="P786" t="n">
        <v>0</v>
      </c>
      <c r="Q786" t="n">
        <v>0</v>
      </c>
      <c r="R786" s="2" t="inlineStr"/>
    </row>
    <row r="787" ht="15" customHeight="1">
      <c r="A787" t="inlineStr">
        <is>
          <t>A 13545-2026</t>
        </is>
      </c>
      <c r="B787" s="1" t="n">
        <v>46094</v>
      </c>
      <c r="C787" s="1" t="n">
        <v>46192</v>
      </c>
      <c r="D787" t="inlineStr">
        <is>
          <t>STOCKHOLMS LÄN</t>
        </is>
      </c>
      <c r="E787" t="inlineStr">
        <is>
          <t>NORRTÄLJE</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11900-2022</t>
        </is>
      </c>
      <c r="B788" s="1" t="n">
        <v>44635</v>
      </c>
      <c r="C788" s="1" t="n">
        <v>46192</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27885-2022</t>
        </is>
      </c>
      <c r="B789" s="1" t="n">
        <v>44743</v>
      </c>
      <c r="C789" s="1" t="n">
        <v>46192</v>
      </c>
      <c r="D789" t="inlineStr">
        <is>
          <t>STOCKHOLMS LÄN</t>
        </is>
      </c>
      <c r="E789" t="inlineStr">
        <is>
          <t>NORRTÄLJE</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13546-2026</t>
        </is>
      </c>
      <c r="B790" s="1" t="n">
        <v>46094</v>
      </c>
      <c r="C790" s="1" t="n">
        <v>46192</v>
      </c>
      <c r="D790" t="inlineStr">
        <is>
          <t>STOCKHOLMS LÄN</t>
        </is>
      </c>
      <c r="E790" t="inlineStr">
        <is>
          <t>NORRTÄLJE</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62998-2023</t>
        </is>
      </c>
      <c r="B791" s="1" t="n">
        <v>45272</v>
      </c>
      <c r="C791" s="1" t="n">
        <v>46192</v>
      </c>
      <c r="D791" t="inlineStr">
        <is>
          <t>STOCKHOLMS LÄN</t>
        </is>
      </c>
      <c r="E791" t="inlineStr">
        <is>
          <t>NORRTÄLJE</t>
        </is>
      </c>
      <c r="G791" t="n">
        <v>16.3</v>
      </c>
      <c r="H791" t="n">
        <v>0</v>
      </c>
      <c r="I791" t="n">
        <v>0</v>
      </c>
      <c r="J791" t="n">
        <v>0</v>
      </c>
      <c r="K791" t="n">
        <v>0</v>
      </c>
      <c r="L791" t="n">
        <v>0</v>
      </c>
      <c r="M791" t="n">
        <v>0</v>
      </c>
      <c r="N791" t="n">
        <v>0</v>
      </c>
      <c r="O791" t="n">
        <v>0</v>
      </c>
      <c r="P791" t="n">
        <v>0</v>
      </c>
      <c r="Q791" t="n">
        <v>0</v>
      </c>
      <c r="R791" s="2" t="inlineStr"/>
    </row>
    <row r="792" ht="15" customHeight="1">
      <c r="A792" t="inlineStr">
        <is>
          <t>A 63015-2023</t>
        </is>
      </c>
      <c r="B792" s="1" t="n">
        <v>45272</v>
      </c>
      <c r="C792" s="1" t="n">
        <v>46192</v>
      </c>
      <c r="D792" t="inlineStr">
        <is>
          <t>STOCKHOLMS LÄN</t>
        </is>
      </c>
      <c r="E792" t="inlineStr">
        <is>
          <t>NORRTÄLJE</t>
        </is>
      </c>
      <c r="G792" t="n">
        <v>13.1</v>
      </c>
      <c r="H792" t="n">
        <v>0</v>
      </c>
      <c r="I792" t="n">
        <v>0</v>
      </c>
      <c r="J792" t="n">
        <v>0</v>
      </c>
      <c r="K792" t="n">
        <v>0</v>
      </c>
      <c r="L792" t="n">
        <v>0</v>
      </c>
      <c r="M792" t="n">
        <v>0</v>
      </c>
      <c r="N792" t="n">
        <v>0</v>
      </c>
      <c r="O792" t="n">
        <v>0</v>
      </c>
      <c r="P792" t="n">
        <v>0</v>
      </c>
      <c r="Q792" t="n">
        <v>0</v>
      </c>
      <c r="R792" s="2" t="inlineStr"/>
    </row>
    <row r="793" ht="15" customHeight="1">
      <c r="A793" t="inlineStr">
        <is>
          <t>A 27831-2024</t>
        </is>
      </c>
      <c r="B793" s="1" t="n">
        <v>45475</v>
      </c>
      <c r="C793" s="1" t="n">
        <v>46192</v>
      </c>
      <c r="D793" t="inlineStr">
        <is>
          <t>STOCKHOLMS LÄN</t>
        </is>
      </c>
      <c r="E793" t="inlineStr">
        <is>
          <t>NORRTÄLJE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33175-2024</t>
        </is>
      </c>
      <c r="B794" s="1" t="n">
        <v>45518</v>
      </c>
      <c r="C794" s="1" t="n">
        <v>46192</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21803-2022</t>
        </is>
      </c>
      <c r="B795" s="1" t="n">
        <v>44708</v>
      </c>
      <c r="C795" s="1" t="n">
        <v>46192</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20730-2024</t>
        </is>
      </c>
      <c r="B796" s="1" t="n">
        <v>45436</v>
      </c>
      <c r="C796" s="1" t="n">
        <v>46192</v>
      </c>
      <c r="D796" t="inlineStr">
        <is>
          <t>STOCKHOLMS LÄN</t>
        </is>
      </c>
      <c r="E796" t="inlineStr">
        <is>
          <t>NORRTÄLJE</t>
        </is>
      </c>
      <c r="G796" t="n">
        <v>7.3</v>
      </c>
      <c r="H796" t="n">
        <v>0</v>
      </c>
      <c r="I796" t="n">
        <v>0</v>
      </c>
      <c r="J796" t="n">
        <v>0</v>
      </c>
      <c r="K796" t="n">
        <v>0</v>
      </c>
      <c r="L796" t="n">
        <v>0</v>
      </c>
      <c r="M796" t="n">
        <v>0</v>
      </c>
      <c r="N796" t="n">
        <v>0</v>
      </c>
      <c r="O796" t="n">
        <v>0</v>
      </c>
      <c r="P796" t="n">
        <v>0</v>
      </c>
      <c r="Q796" t="n">
        <v>0</v>
      </c>
      <c r="R796" s="2" t="inlineStr"/>
    </row>
    <row r="797" ht="15" customHeight="1">
      <c r="A797" t="inlineStr">
        <is>
          <t>A 60224-2023</t>
        </is>
      </c>
      <c r="B797" s="1" t="n">
        <v>45257</v>
      </c>
      <c r="C797" s="1" t="n">
        <v>46192</v>
      </c>
      <c r="D797" t="inlineStr">
        <is>
          <t>STOCKHOLMS LÄN</t>
        </is>
      </c>
      <c r="E797" t="inlineStr">
        <is>
          <t>NORRTÄLJE</t>
        </is>
      </c>
      <c r="G797" t="n">
        <v>8.1</v>
      </c>
      <c r="H797" t="n">
        <v>0</v>
      </c>
      <c r="I797" t="n">
        <v>0</v>
      </c>
      <c r="J797" t="n">
        <v>0</v>
      </c>
      <c r="K797" t="n">
        <v>0</v>
      </c>
      <c r="L797" t="n">
        <v>0</v>
      </c>
      <c r="M797" t="n">
        <v>0</v>
      </c>
      <c r="N797" t="n">
        <v>0</v>
      </c>
      <c r="O797" t="n">
        <v>0</v>
      </c>
      <c r="P797" t="n">
        <v>0</v>
      </c>
      <c r="Q797" t="n">
        <v>0</v>
      </c>
      <c r="R797" s="2" t="inlineStr"/>
    </row>
    <row r="798" ht="15" customHeight="1">
      <c r="A798" t="inlineStr">
        <is>
          <t>A 12901-2024</t>
        </is>
      </c>
      <c r="B798" s="1" t="n">
        <v>45385</v>
      </c>
      <c r="C798" s="1" t="n">
        <v>46192</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8950-2025</t>
        </is>
      </c>
      <c r="B799" s="1" t="n">
        <v>45713</v>
      </c>
      <c r="C799" s="1" t="n">
        <v>46192</v>
      </c>
      <c r="D799" t="inlineStr">
        <is>
          <t>STOCKHOLMS LÄN</t>
        </is>
      </c>
      <c r="E799" t="inlineStr">
        <is>
          <t>NORRTÄLJE</t>
        </is>
      </c>
      <c r="F799" t="inlineStr">
        <is>
          <t>Övriga Aktiebolag</t>
        </is>
      </c>
      <c r="G799" t="n">
        <v>3.6</v>
      </c>
      <c r="H799" t="n">
        <v>0</v>
      </c>
      <c r="I799" t="n">
        <v>0</v>
      </c>
      <c r="J799" t="n">
        <v>0</v>
      </c>
      <c r="K799" t="n">
        <v>0</v>
      </c>
      <c r="L799" t="n">
        <v>0</v>
      </c>
      <c r="M799" t="n">
        <v>0</v>
      </c>
      <c r="N799" t="n">
        <v>0</v>
      </c>
      <c r="O799" t="n">
        <v>0</v>
      </c>
      <c r="P799" t="n">
        <v>0</v>
      </c>
      <c r="Q799" t="n">
        <v>0</v>
      </c>
      <c r="R799" s="2" t="inlineStr"/>
    </row>
    <row r="800" ht="15" customHeight="1">
      <c r="A800" t="inlineStr">
        <is>
          <t>A 14475-2026</t>
        </is>
      </c>
      <c r="B800" s="1" t="n">
        <v>46100</v>
      </c>
      <c r="C800" s="1" t="n">
        <v>46192</v>
      </c>
      <c r="D800" t="inlineStr">
        <is>
          <t>STOCKHOLMS LÄN</t>
        </is>
      </c>
      <c r="E800" t="inlineStr">
        <is>
          <t>NORRTÄLJE</t>
        </is>
      </c>
      <c r="G800" t="n">
        <v>12.3</v>
      </c>
      <c r="H800" t="n">
        <v>0</v>
      </c>
      <c r="I800" t="n">
        <v>0</v>
      </c>
      <c r="J800" t="n">
        <v>0</v>
      </c>
      <c r="K800" t="n">
        <v>0</v>
      </c>
      <c r="L800" t="n">
        <v>0</v>
      </c>
      <c r="M800" t="n">
        <v>0</v>
      </c>
      <c r="N800" t="n">
        <v>0</v>
      </c>
      <c r="O800" t="n">
        <v>0</v>
      </c>
      <c r="P800" t="n">
        <v>0</v>
      </c>
      <c r="Q800" t="n">
        <v>0</v>
      </c>
      <c r="R800" s="2" t="inlineStr"/>
    </row>
    <row r="801" ht="15" customHeight="1">
      <c r="A801" t="inlineStr">
        <is>
          <t>A 5158-2024</t>
        </is>
      </c>
      <c r="B801" s="1" t="n">
        <v>45330</v>
      </c>
      <c r="C801" s="1" t="n">
        <v>46192</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14348-2026</t>
        </is>
      </c>
      <c r="B802" s="1" t="n">
        <v>46100</v>
      </c>
      <c r="C802" s="1" t="n">
        <v>46192</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12301-2025</t>
        </is>
      </c>
      <c r="B803" s="1" t="n">
        <v>45729</v>
      </c>
      <c r="C803" s="1" t="n">
        <v>46192</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13283-2025</t>
        </is>
      </c>
      <c r="B804" s="1" t="n">
        <v>45735</v>
      </c>
      <c r="C804" s="1" t="n">
        <v>46192</v>
      </c>
      <c r="D804" t="inlineStr">
        <is>
          <t>STOCKHOLMS LÄN</t>
        </is>
      </c>
      <c r="E804" t="inlineStr">
        <is>
          <t>NORRTÄLJE</t>
        </is>
      </c>
      <c r="G804" t="n">
        <v>4.9</v>
      </c>
      <c r="H804" t="n">
        <v>0</v>
      </c>
      <c r="I804" t="n">
        <v>0</v>
      </c>
      <c r="J804" t="n">
        <v>0</v>
      </c>
      <c r="K804" t="n">
        <v>0</v>
      </c>
      <c r="L804" t="n">
        <v>0</v>
      </c>
      <c r="M804" t="n">
        <v>0</v>
      </c>
      <c r="N804" t="n">
        <v>0</v>
      </c>
      <c r="O804" t="n">
        <v>0</v>
      </c>
      <c r="P804" t="n">
        <v>0</v>
      </c>
      <c r="Q804" t="n">
        <v>0</v>
      </c>
      <c r="R804" s="2" t="inlineStr"/>
    </row>
    <row r="805" ht="15" customHeight="1">
      <c r="A805" t="inlineStr">
        <is>
          <t>A 24687-2025</t>
        </is>
      </c>
      <c r="B805" s="1" t="n">
        <v>45798</v>
      </c>
      <c r="C805" s="1" t="n">
        <v>46192</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24638-2025</t>
        </is>
      </c>
      <c r="B806" s="1" t="n">
        <v>45798</v>
      </c>
      <c r="C806" s="1" t="n">
        <v>46192</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28603-2024</t>
        </is>
      </c>
      <c r="B807" s="1" t="n">
        <v>45478</v>
      </c>
      <c r="C807" s="1" t="n">
        <v>46192</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17551-2025</t>
        </is>
      </c>
      <c r="B808" s="1" t="n">
        <v>45757</v>
      </c>
      <c r="C808" s="1" t="n">
        <v>46192</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21780-2026</t>
        </is>
      </c>
      <c r="B809" s="1" t="n">
        <v>46150</v>
      </c>
      <c r="C809" s="1" t="n">
        <v>46192</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24690-2025</t>
        </is>
      </c>
      <c r="B810" s="1" t="n">
        <v>45798</v>
      </c>
      <c r="C810" s="1" t="n">
        <v>46192</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47259-2024</t>
        </is>
      </c>
      <c r="B811" s="1" t="n">
        <v>45586</v>
      </c>
      <c r="C811" s="1" t="n">
        <v>46192</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55010-2024</t>
        </is>
      </c>
      <c r="B812" s="1" t="n">
        <v>45621</v>
      </c>
      <c r="C812" s="1" t="n">
        <v>46192</v>
      </c>
      <c r="D812" t="inlineStr">
        <is>
          <t>STOCKHOLMS LÄN</t>
        </is>
      </c>
      <c r="E812" t="inlineStr">
        <is>
          <t>NORRTÄLJE</t>
        </is>
      </c>
      <c r="F812" t="inlineStr">
        <is>
          <t>Sveaskog</t>
        </is>
      </c>
      <c r="G812" t="n">
        <v>5.7</v>
      </c>
      <c r="H812" t="n">
        <v>0</v>
      </c>
      <c r="I812" t="n">
        <v>0</v>
      </c>
      <c r="J812" t="n">
        <v>0</v>
      </c>
      <c r="K812" t="n">
        <v>0</v>
      </c>
      <c r="L812" t="n">
        <v>0</v>
      </c>
      <c r="M812" t="n">
        <v>0</v>
      </c>
      <c r="N812" t="n">
        <v>0</v>
      </c>
      <c r="O812" t="n">
        <v>0</v>
      </c>
      <c r="P812" t="n">
        <v>0</v>
      </c>
      <c r="Q812" t="n">
        <v>0</v>
      </c>
      <c r="R812" s="2" t="inlineStr"/>
    </row>
    <row r="813" ht="15" customHeight="1">
      <c r="A813" t="inlineStr">
        <is>
          <t>A 31105-2022</t>
        </is>
      </c>
      <c r="B813" s="1" t="n">
        <v>44769</v>
      </c>
      <c r="C813" s="1" t="n">
        <v>46192</v>
      </c>
      <c r="D813" t="inlineStr">
        <is>
          <t>STOCKHOLMS LÄN</t>
        </is>
      </c>
      <c r="E813" t="inlineStr">
        <is>
          <t>NORRTÄLJE</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25712-2025</t>
        </is>
      </c>
      <c r="B814" s="1" t="n">
        <v>45803</v>
      </c>
      <c r="C814" s="1" t="n">
        <v>46192</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39238-2024</t>
        </is>
      </c>
      <c r="B815" s="1" t="n">
        <v>45549</v>
      </c>
      <c r="C815" s="1" t="n">
        <v>46192</v>
      </c>
      <c r="D815" t="inlineStr">
        <is>
          <t>STOCKHOLMS LÄN</t>
        </is>
      </c>
      <c r="E815" t="inlineStr">
        <is>
          <t>NORRTÄLJE</t>
        </is>
      </c>
      <c r="G815" t="n">
        <v>3.6</v>
      </c>
      <c r="H815" t="n">
        <v>0</v>
      </c>
      <c r="I815" t="n">
        <v>0</v>
      </c>
      <c r="J815" t="n">
        <v>0</v>
      </c>
      <c r="K815" t="n">
        <v>0</v>
      </c>
      <c r="L815" t="n">
        <v>0</v>
      </c>
      <c r="M815" t="n">
        <v>0</v>
      </c>
      <c r="N815" t="n">
        <v>0</v>
      </c>
      <c r="O815" t="n">
        <v>0</v>
      </c>
      <c r="P815" t="n">
        <v>0</v>
      </c>
      <c r="Q815" t="n">
        <v>0</v>
      </c>
      <c r="R815" s="2" t="inlineStr"/>
    </row>
    <row r="816" ht="15" customHeight="1">
      <c r="A816" t="inlineStr">
        <is>
          <t>A 21818-2026</t>
        </is>
      </c>
      <c r="B816" s="1" t="n">
        <v>46150</v>
      </c>
      <c r="C816" s="1" t="n">
        <v>46192</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25571-2025</t>
        </is>
      </c>
      <c r="B817" s="1" t="n">
        <v>45803</v>
      </c>
      <c r="C817" s="1" t="n">
        <v>46192</v>
      </c>
      <c r="D817" t="inlineStr">
        <is>
          <t>STOCKHOLMS LÄN</t>
        </is>
      </c>
      <c r="E817" t="inlineStr">
        <is>
          <t>NORRTÄLJE</t>
        </is>
      </c>
      <c r="G817" t="n">
        <v>5.4</v>
      </c>
      <c r="H817" t="n">
        <v>0</v>
      </c>
      <c r="I817" t="n">
        <v>0</v>
      </c>
      <c r="J817" t="n">
        <v>0</v>
      </c>
      <c r="K817" t="n">
        <v>0</v>
      </c>
      <c r="L817" t="n">
        <v>0</v>
      </c>
      <c r="M817" t="n">
        <v>0</v>
      </c>
      <c r="N817" t="n">
        <v>0</v>
      </c>
      <c r="O817" t="n">
        <v>0</v>
      </c>
      <c r="P817" t="n">
        <v>0</v>
      </c>
      <c r="Q817" t="n">
        <v>0</v>
      </c>
      <c r="R817" s="2" t="inlineStr"/>
    </row>
    <row r="818" ht="15" customHeight="1">
      <c r="A818" t="inlineStr">
        <is>
          <t>A 25721-2025</t>
        </is>
      </c>
      <c r="B818" s="1" t="n">
        <v>45800</v>
      </c>
      <c r="C818" s="1" t="n">
        <v>46192</v>
      </c>
      <c r="D818" t="inlineStr">
        <is>
          <t>STOCKHOLMS LÄN</t>
        </is>
      </c>
      <c r="E818" t="inlineStr">
        <is>
          <t>NORRTÄLJE</t>
        </is>
      </c>
      <c r="G818" t="n">
        <v>6</v>
      </c>
      <c r="H818" t="n">
        <v>0</v>
      </c>
      <c r="I818" t="n">
        <v>0</v>
      </c>
      <c r="J818" t="n">
        <v>0</v>
      </c>
      <c r="K818" t="n">
        <v>0</v>
      </c>
      <c r="L818" t="n">
        <v>0</v>
      </c>
      <c r="M818" t="n">
        <v>0</v>
      </c>
      <c r="N818" t="n">
        <v>0</v>
      </c>
      <c r="O818" t="n">
        <v>0</v>
      </c>
      <c r="P818" t="n">
        <v>0</v>
      </c>
      <c r="Q818" t="n">
        <v>0</v>
      </c>
      <c r="R818" s="2" t="inlineStr"/>
    </row>
    <row r="819" ht="15" customHeight="1">
      <c r="A819" t="inlineStr">
        <is>
          <t>A 21786-2026</t>
        </is>
      </c>
      <c r="B819" s="1" t="n">
        <v>46150</v>
      </c>
      <c r="C819" s="1" t="n">
        <v>46192</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21815-2026</t>
        </is>
      </c>
      <c r="B820" s="1" t="n">
        <v>46150</v>
      </c>
      <c r="C820" s="1" t="n">
        <v>46192</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38449-2022</t>
        </is>
      </c>
      <c r="B821" s="1" t="n">
        <v>44813</v>
      </c>
      <c r="C821" s="1" t="n">
        <v>46192</v>
      </c>
      <c r="D821" t="inlineStr">
        <is>
          <t>STOCKHOLMS LÄN</t>
        </is>
      </c>
      <c r="E821" t="inlineStr">
        <is>
          <t>NORRTÄLJE</t>
        </is>
      </c>
      <c r="G821" t="n">
        <v>4.2</v>
      </c>
      <c r="H821" t="n">
        <v>0</v>
      </c>
      <c r="I821" t="n">
        <v>0</v>
      </c>
      <c r="J821" t="n">
        <v>0</v>
      </c>
      <c r="K821" t="n">
        <v>0</v>
      </c>
      <c r="L821" t="n">
        <v>0</v>
      </c>
      <c r="M821" t="n">
        <v>0</v>
      </c>
      <c r="N821" t="n">
        <v>0</v>
      </c>
      <c r="O821" t="n">
        <v>0</v>
      </c>
      <c r="P821" t="n">
        <v>0</v>
      </c>
      <c r="Q821" t="n">
        <v>0</v>
      </c>
      <c r="R821" s="2" t="inlineStr"/>
    </row>
    <row r="822" ht="15" customHeight="1">
      <c r="A822" t="inlineStr">
        <is>
          <t>A 30620-2022</t>
        </is>
      </c>
      <c r="B822" s="1" t="n">
        <v>44763</v>
      </c>
      <c r="C822" s="1" t="n">
        <v>46192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21820-2026</t>
        </is>
      </c>
      <c r="B823" s="1" t="n">
        <v>46150</v>
      </c>
      <c r="C823" s="1" t="n">
        <v>46192</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42955-2022</t>
        </is>
      </c>
      <c r="B824" s="1" t="n">
        <v>44833</v>
      </c>
      <c r="C824" s="1" t="n">
        <v>46192</v>
      </c>
      <c r="D824" t="inlineStr">
        <is>
          <t>STOCKHOLMS LÄN</t>
        </is>
      </c>
      <c r="E824" t="inlineStr">
        <is>
          <t>NORRTÄLJE</t>
        </is>
      </c>
      <c r="G824" t="n">
        <v>13.1</v>
      </c>
      <c r="H824" t="n">
        <v>0</v>
      </c>
      <c r="I824" t="n">
        <v>0</v>
      </c>
      <c r="J824" t="n">
        <v>0</v>
      </c>
      <c r="K824" t="n">
        <v>0</v>
      </c>
      <c r="L824" t="n">
        <v>0</v>
      </c>
      <c r="M824" t="n">
        <v>0</v>
      </c>
      <c r="N824" t="n">
        <v>0</v>
      </c>
      <c r="O824" t="n">
        <v>0</v>
      </c>
      <c r="P824" t="n">
        <v>0</v>
      </c>
      <c r="Q824" t="n">
        <v>0</v>
      </c>
      <c r="R824" s="2" t="inlineStr"/>
    </row>
    <row r="825" ht="15" customHeight="1">
      <c r="A825" t="inlineStr">
        <is>
          <t>A 16243-2026</t>
        </is>
      </c>
      <c r="B825" s="1" t="n">
        <v>46111</v>
      </c>
      <c r="C825" s="1" t="n">
        <v>46192</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16229-2026</t>
        </is>
      </c>
      <c r="B826" s="1" t="n">
        <v>46111</v>
      </c>
      <c r="C826" s="1" t="n">
        <v>46192</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53561-2023</t>
        </is>
      </c>
      <c r="B827" s="1" t="n">
        <v>45224</v>
      </c>
      <c r="C827" s="1" t="n">
        <v>46192</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13767-2025</t>
        </is>
      </c>
      <c r="B828" s="1" t="n">
        <v>45737</v>
      </c>
      <c r="C828" s="1" t="n">
        <v>46192</v>
      </c>
      <c r="D828" t="inlineStr">
        <is>
          <t>STOCKHOLMS LÄN</t>
        </is>
      </c>
      <c r="E828" t="inlineStr">
        <is>
          <t>NORRTÄLJE</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26708-2025</t>
        </is>
      </c>
      <c r="B829" s="1" t="n">
        <v>45810</v>
      </c>
      <c r="C829" s="1" t="n">
        <v>46192</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15422-2024</t>
        </is>
      </c>
      <c r="B830" s="1" t="n">
        <v>45401</v>
      </c>
      <c r="C830" s="1" t="n">
        <v>46192</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26702-2025</t>
        </is>
      </c>
      <c r="B831" s="1" t="n">
        <v>45810</v>
      </c>
      <c r="C831" s="1" t="n">
        <v>46192</v>
      </c>
      <c r="D831" t="inlineStr">
        <is>
          <t>STOCKHOLMS LÄN</t>
        </is>
      </c>
      <c r="E831" t="inlineStr">
        <is>
          <t>NORRTÄLJE</t>
        </is>
      </c>
      <c r="G831" t="n">
        <v>7.3</v>
      </c>
      <c r="H831" t="n">
        <v>0</v>
      </c>
      <c r="I831" t="n">
        <v>0</v>
      </c>
      <c r="J831" t="n">
        <v>0</v>
      </c>
      <c r="K831" t="n">
        <v>0</v>
      </c>
      <c r="L831" t="n">
        <v>0</v>
      </c>
      <c r="M831" t="n">
        <v>0</v>
      </c>
      <c r="N831" t="n">
        <v>0</v>
      </c>
      <c r="O831" t="n">
        <v>0</v>
      </c>
      <c r="P831" t="n">
        <v>0</v>
      </c>
      <c r="Q831" t="n">
        <v>0</v>
      </c>
      <c r="R831" s="2" t="inlineStr"/>
    </row>
    <row r="832" ht="15" customHeight="1">
      <c r="A832" t="inlineStr">
        <is>
          <t>A 30508-2023</t>
        </is>
      </c>
      <c r="B832" s="1" t="n">
        <v>45111</v>
      </c>
      <c r="C832" s="1" t="n">
        <v>46192</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23061-2025</t>
        </is>
      </c>
      <c r="B833" s="1" t="n">
        <v>45790</v>
      </c>
      <c r="C833" s="1" t="n">
        <v>46192</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27040-2025</t>
        </is>
      </c>
      <c r="B834" s="1" t="n">
        <v>45811</v>
      </c>
      <c r="C834" s="1" t="n">
        <v>46192</v>
      </c>
      <c r="D834" t="inlineStr">
        <is>
          <t>STOCKHOLMS LÄN</t>
        </is>
      </c>
      <c r="E834" t="inlineStr">
        <is>
          <t>NORRTÄLJE</t>
        </is>
      </c>
      <c r="G834" t="n">
        <v>4.3</v>
      </c>
      <c r="H834" t="n">
        <v>0</v>
      </c>
      <c r="I834" t="n">
        <v>0</v>
      </c>
      <c r="J834" t="n">
        <v>0</v>
      </c>
      <c r="K834" t="n">
        <v>0</v>
      </c>
      <c r="L834" t="n">
        <v>0</v>
      </c>
      <c r="M834" t="n">
        <v>0</v>
      </c>
      <c r="N834" t="n">
        <v>0</v>
      </c>
      <c r="O834" t="n">
        <v>0</v>
      </c>
      <c r="P834" t="n">
        <v>0</v>
      </c>
      <c r="Q834" t="n">
        <v>0</v>
      </c>
      <c r="R834" s="2" t="inlineStr"/>
    </row>
    <row r="835" ht="15" customHeight="1">
      <c r="A835" t="inlineStr">
        <is>
          <t>A 26747-2025</t>
        </is>
      </c>
      <c r="B835" s="1" t="n">
        <v>45810</v>
      </c>
      <c r="C835" s="1" t="n">
        <v>46192</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16008-2025</t>
        </is>
      </c>
      <c r="B836" s="1" t="n">
        <v>45749</v>
      </c>
      <c r="C836" s="1" t="n">
        <v>46192</v>
      </c>
      <c r="D836" t="inlineStr">
        <is>
          <t>STOCKHOLMS LÄN</t>
        </is>
      </c>
      <c r="E836" t="inlineStr">
        <is>
          <t>NORRTÄLJE</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21158-2022</t>
        </is>
      </c>
      <c r="B837" s="1" t="n">
        <v>44704</v>
      </c>
      <c r="C837" s="1" t="n">
        <v>46192</v>
      </c>
      <c r="D837" t="inlineStr">
        <is>
          <t>STOCKHOLMS LÄN</t>
        </is>
      </c>
      <c r="E837" t="inlineStr">
        <is>
          <t>NORRTÄLJE</t>
        </is>
      </c>
      <c r="G837" t="n">
        <v>17.8</v>
      </c>
      <c r="H837" t="n">
        <v>0</v>
      </c>
      <c r="I837" t="n">
        <v>0</v>
      </c>
      <c r="J837" t="n">
        <v>0</v>
      </c>
      <c r="K837" t="n">
        <v>0</v>
      </c>
      <c r="L837" t="n">
        <v>0</v>
      </c>
      <c r="M837" t="n">
        <v>0</v>
      </c>
      <c r="N837" t="n">
        <v>0</v>
      </c>
      <c r="O837" t="n">
        <v>0</v>
      </c>
      <c r="P837" t="n">
        <v>0</v>
      </c>
      <c r="Q837" t="n">
        <v>0</v>
      </c>
      <c r="R837" s="2" t="inlineStr"/>
    </row>
    <row r="838" ht="15" customHeight="1">
      <c r="A838" t="inlineStr">
        <is>
          <t>A 17025-2026</t>
        </is>
      </c>
      <c r="B838" s="1" t="n">
        <v>46113</v>
      </c>
      <c r="C838" s="1" t="n">
        <v>46192</v>
      </c>
      <c r="D838" t="inlineStr">
        <is>
          <t>STOCKHOLMS LÄN</t>
        </is>
      </c>
      <c r="E838" t="inlineStr">
        <is>
          <t>NORRTÄLJE</t>
        </is>
      </c>
      <c r="G838" t="n">
        <v>5.4</v>
      </c>
      <c r="H838" t="n">
        <v>0</v>
      </c>
      <c r="I838" t="n">
        <v>0</v>
      </c>
      <c r="J838" t="n">
        <v>0</v>
      </c>
      <c r="K838" t="n">
        <v>0</v>
      </c>
      <c r="L838" t="n">
        <v>0</v>
      </c>
      <c r="M838" t="n">
        <v>0</v>
      </c>
      <c r="N838" t="n">
        <v>0</v>
      </c>
      <c r="O838" t="n">
        <v>0</v>
      </c>
      <c r="P838" t="n">
        <v>0</v>
      </c>
      <c r="Q838" t="n">
        <v>0</v>
      </c>
      <c r="R838" s="2" t="inlineStr"/>
    </row>
    <row r="839" ht="15" customHeight="1">
      <c r="A839" t="inlineStr">
        <is>
          <t>A 32101-2022</t>
        </is>
      </c>
      <c r="B839" s="1" t="n">
        <v>44778</v>
      </c>
      <c r="C839" s="1" t="n">
        <v>46192</v>
      </c>
      <c r="D839" t="inlineStr">
        <is>
          <t>STOCKHOLMS LÄN</t>
        </is>
      </c>
      <c r="E839" t="inlineStr">
        <is>
          <t>NORRTÄLJE</t>
        </is>
      </c>
      <c r="G839" t="n">
        <v>4.4</v>
      </c>
      <c r="H839" t="n">
        <v>0</v>
      </c>
      <c r="I839" t="n">
        <v>0</v>
      </c>
      <c r="J839" t="n">
        <v>0</v>
      </c>
      <c r="K839" t="n">
        <v>0</v>
      </c>
      <c r="L839" t="n">
        <v>0</v>
      </c>
      <c r="M839" t="n">
        <v>0</v>
      </c>
      <c r="N839" t="n">
        <v>0</v>
      </c>
      <c r="O839" t="n">
        <v>0</v>
      </c>
      <c r="P839" t="n">
        <v>0</v>
      </c>
      <c r="Q839" t="n">
        <v>0</v>
      </c>
      <c r="R839" s="2" t="inlineStr"/>
    </row>
    <row r="840" ht="15" customHeight="1">
      <c r="A840" t="inlineStr">
        <is>
          <t>A 23150-2024</t>
        </is>
      </c>
      <c r="B840" s="1" t="n">
        <v>45450</v>
      </c>
      <c r="C840" s="1" t="n">
        <v>46192</v>
      </c>
      <c r="D840" t="inlineStr">
        <is>
          <t>STOCKHOLMS LÄN</t>
        </is>
      </c>
      <c r="E840" t="inlineStr">
        <is>
          <t>NORRTÄLJE</t>
        </is>
      </c>
      <c r="F840" t="inlineStr">
        <is>
          <t>Kommuner</t>
        </is>
      </c>
      <c r="G840" t="n">
        <v>2.7</v>
      </c>
      <c r="H840" t="n">
        <v>0</v>
      </c>
      <c r="I840" t="n">
        <v>0</v>
      </c>
      <c r="J840" t="n">
        <v>0</v>
      </c>
      <c r="K840" t="n">
        <v>0</v>
      </c>
      <c r="L840" t="n">
        <v>0</v>
      </c>
      <c r="M840" t="n">
        <v>0</v>
      </c>
      <c r="N840" t="n">
        <v>0</v>
      </c>
      <c r="O840" t="n">
        <v>0</v>
      </c>
      <c r="P840" t="n">
        <v>0</v>
      </c>
      <c r="Q840" t="n">
        <v>0</v>
      </c>
      <c r="R840" s="2" t="inlineStr"/>
    </row>
    <row r="841" ht="15" customHeight="1">
      <c r="A841" t="inlineStr">
        <is>
          <t>A 24933-2023</t>
        </is>
      </c>
      <c r="B841" s="1" t="n">
        <v>45085</v>
      </c>
      <c r="C841" s="1" t="n">
        <v>46192</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27700-2025</t>
        </is>
      </c>
      <c r="B842" s="1" t="n">
        <v>45813</v>
      </c>
      <c r="C842" s="1" t="n">
        <v>46192</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27808-2025</t>
        </is>
      </c>
      <c r="B843" s="1" t="n">
        <v>45817</v>
      </c>
      <c r="C843" s="1" t="n">
        <v>46192</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27818-2025</t>
        </is>
      </c>
      <c r="B844" s="1" t="n">
        <v>45817</v>
      </c>
      <c r="C844" s="1" t="n">
        <v>46192</v>
      </c>
      <c r="D844" t="inlineStr">
        <is>
          <t>STOCKHOLMS LÄN</t>
        </is>
      </c>
      <c r="E844" t="inlineStr">
        <is>
          <t>NORRTÄLJE</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56631-2024</t>
        </is>
      </c>
      <c r="B845" s="1" t="n">
        <v>45625</v>
      </c>
      <c r="C845" s="1" t="n">
        <v>46192</v>
      </c>
      <c r="D845" t="inlineStr">
        <is>
          <t>STOCKHOLMS LÄN</t>
        </is>
      </c>
      <c r="E845" t="inlineStr">
        <is>
          <t>NORRTÄLJE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27821-2025</t>
        </is>
      </c>
      <c r="B846" s="1" t="n">
        <v>45817</v>
      </c>
      <c r="C846" s="1" t="n">
        <v>46192</v>
      </c>
      <c r="D846" t="inlineStr">
        <is>
          <t>STOCKHOLMS LÄN</t>
        </is>
      </c>
      <c r="E846" t="inlineStr">
        <is>
          <t>NORRTÄLJE</t>
        </is>
      </c>
      <c r="G846" t="n">
        <v>3.2</v>
      </c>
      <c r="H846" t="n">
        <v>0</v>
      </c>
      <c r="I846" t="n">
        <v>0</v>
      </c>
      <c r="J846" t="n">
        <v>0</v>
      </c>
      <c r="K846" t="n">
        <v>0</v>
      </c>
      <c r="L846" t="n">
        <v>0</v>
      </c>
      <c r="M846" t="n">
        <v>0</v>
      </c>
      <c r="N846" t="n">
        <v>0</v>
      </c>
      <c r="O846" t="n">
        <v>0</v>
      </c>
      <c r="P846" t="n">
        <v>0</v>
      </c>
      <c r="Q846" t="n">
        <v>0</v>
      </c>
      <c r="R846" s="2" t="inlineStr"/>
    </row>
    <row r="847" ht="15" customHeight="1">
      <c r="A847" t="inlineStr">
        <is>
          <t>A 15528-2025</t>
        </is>
      </c>
      <c r="B847" s="1" t="n">
        <v>45747</v>
      </c>
      <c r="C847" s="1" t="n">
        <v>46192</v>
      </c>
      <c r="D847" t="inlineStr">
        <is>
          <t>STOCKHOLMS LÄN</t>
        </is>
      </c>
      <c r="E847" t="inlineStr">
        <is>
          <t>NORRTÄLJE</t>
        </is>
      </c>
      <c r="G847" t="n">
        <v>10</v>
      </c>
      <c r="H847" t="n">
        <v>0</v>
      </c>
      <c r="I847" t="n">
        <v>0</v>
      </c>
      <c r="J847" t="n">
        <v>0</v>
      </c>
      <c r="K847" t="n">
        <v>0</v>
      </c>
      <c r="L847" t="n">
        <v>0</v>
      </c>
      <c r="M847" t="n">
        <v>0</v>
      </c>
      <c r="N847" t="n">
        <v>0</v>
      </c>
      <c r="O847" t="n">
        <v>0</v>
      </c>
      <c r="P847" t="n">
        <v>0</v>
      </c>
      <c r="Q847" t="n">
        <v>0</v>
      </c>
      <c r="R847" s="2" t="inlineStr"/>
    </row>
    <row r="848" ht="15" customHeight="1">
      <c r="A848" t="inlineStr">
        <is>
          <t>A 11901-2024</t>
        </is>
      </c>
      <c r="B848" s="1" t="n">
        <v>45376</v>
      </c>
      <c r="C848" s="1" t="n">
        <v>46192</v>
      </c>
      <c r="D848" t="inlineStr">
        <is>
          <t>STOCKHOLMS LÄN</t>
        </is>
      </c>
      <c r="E848" t="inlineStr">
        <is>
          <t>NORRTÄLJE</t>
        </is>
      </c>
      <c r="F848" t="inlineStr">
        <is>
          <t>Holmen skog AB</t>
        </is>
      </c>
      <c r="G848" t="n">
        <v>3.5</v>
      </c>
      <c r="H848" t="n">
        <v>0</v>
      </c>
      <c r="I848" t="n">
        <v>0</v>
      </c>
      <c r="J848" t="n">
        <v>0</v>
      </c>
      <c r="K848" t="n">
        <v>0</v>
      </c>
      <c r="L848" t="n">
        <v>0</v>
      </c>
      <c r="M848" t="n">
        <v>0</v>
      </c>
      <c r="N848" t="n">
        <v>0</v>
      </c>
      <c r="O848" t="n">
        <v>0</v>
      </c>
      <c r="P848" t="n">
        <v>0</v>
      </c>
      <c r="Q848" t="n">
        <v>0</v>
      </c>
      <c r="R848" s="2" t="inlineStr"/>
    </row>
    <row r="849" ht="15" customHeight="1">
      <c r="A849" t="inlineStr">
        <is>
          <t>A 22618-2026</t>
        </is>
      </c>
      <c r="B849" s="1" t="n">
        <v>46155</v>
      </c>
      <c r="C849" s="1" t="n">
        <v>46192</v>
      </c>
      <c r="D849" t="inlineStr">
        <is>
          <t>STOCKHOLMS LÄN</t>
        </is>
      </c>
      <c r="E849" t="inlineStr">
        <is>
          <t>NORRTÄLJE</t>
        </is>
      </c>
      <c r="G849" t="n">
        <v>1.7</v>
      </c>
      <c r="H849" t="n">
        <v>0</v>
      </c>
      <c r="I849" t="n">
        <v>0</v>
      </c>
      <c r="J849" t="n">
        <v>0</v>
      </c>
      <c r="K849" t="n">
        <v>0</v>
      </c>
      <c r="L849" t="n">
        <v>0</v>
      </c>
      <c r="M849" t="n">
        <v>0</v>
      </c>
      <c r="N849" t="n">
        <v>0</v>
      </c>
      <c r="O849" t="n">
        <v>0</v>
      </c>
      <c r="P849" t="n">
        <v>0</v>
      </c>
      <c r="Q849" t="n">
        <v>0</v>
      </c>
      <c r="R849" s="2" t="inlineStr"/>
    </row>
    <row r="850" ht="15" customHeight="1">
      <c r="A850" t="inlineStr">
        <is>
          <t>A 17347-2026</t>
        </is>
      </c>
      <c r="B850" s="1" t="n">
        <v>46119</v>
      </c>
      <c r="C850" s="1" t="n">
        <v>46192</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29250-2025</t>
        </is>
      </c>
      <c r="B851" s="1" t="n">
        <v>45824</v>
      </c>
      <c r="C851" s="1" t="n">
        <v>46192</v>
      </c>
      <c r="D851" t="inlineStr">
        <is>
          <t>STOCKHOLMS LÄN</t>
        </is>
      </c>
      <c r="E851" t="inlineStr">
        <is>
          <t>NORRTÄLJE</t>
        </is>
      </c>
      <c r="F851" t="inlineStr">
        <is>
          <t>Sveaskog</t>
        </is>
      </c>
      <c r="G851" t="n">
        <v>6.4</v>
      </c>
      <c r="H851" t="n">
        <v>0</v>
      </c>
      <c r="I851" t="n">
        <v>0</v>
      </c>
      <c r="J851" t="n">
        <v>0</v>
      </c>
      <c r="K851" t="n">
        <v>0</v>
      </c>
      <c r="L851" t="n">
        <v>0</v>
      </c>
      <c r="M851" t="n">
        <v>0</v>
      </c>
      <c r="N851" t="n">
        <v>0</v>
      </c>
      <c r="O851" t="n">
        <v>0</v>
      </c>
      <c r="P851" t="n">
        <v>0</v>
      </c>
      <c r="Q851" t="n">
        <v>0</v>
      </c>
      <c r="R851" s="2" t="inlineStr"/>
    </row>
    <row r="852" ht="15" customHeight="1">
      <c r="A852" t="inlineStr">
        <is>
          <t>A 17207-2026</t>
        </is>
      </c>
      <c r="B852" s="1" t="n">
        <v>46119</v>
      </c>
      <c r="C852" s="1" t="n">
        <v>46192</v>
      </c>
      <c r="D852" t="inlineStr">
        <is>
          <t>STOCKHOLMS LÄN</t>
        </is>
      </c>
      <c r="E852" t="inlineStr">
        <is>
          <t>NORRTÄLJE</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11499-2023</t>
        </is>
      </c>
      <c r="B853" s="1" t="n">
        <v>44993</v>
      </c>
      <c r="C853" s="1" t="n">
        <v>46192</v>
      </c>
      <c r="D853" t="inlineStr">
        <is>
          <t>STOCKHOLMS LÄN</t>
        </is>
      </c>
      <c r="E853" t="inlineStr">
        <is>
          <t>NORRTÄLJE</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576-2023</t>
        </is>
      </c>
      <c r="B854" s="1" t="n">
        <v>44925</v>
      </c>
      <c r="C854" s="1" t="n">
        <v>46192</v>
      </c>
      <c r="D854" t="inlineStr">
        <is>
          <t>STOCKHOLMS LÄN</t>
        </is>
      </c>
      <c r="E854" t="inlineStr">
        <is>
          <t>NORRTÄLJE</t>
        </is>
      </c>
      <c r="G854" t="n">
        <v>7.2</v>
      </c>
      <c r="H854" t="n">
        <v>0</v>
      </c>
      <c r="I854" t="n">
        <v>0</v>
      </c>
      <c r="J854" t="n">
        <v>0</v>
      </c>
      <c r="K854" t="n">
        <v>0</v>
      </c>
      <c r="L854" t="n">
        <v>0</v>
      </c>
      <c r="M854" t="n">
        <v>0</v>
      </c>
      <c r="N854" t="n">
        <v>0</v>
      </c>
      <c r="O854" t="n">
        <v>0</v>
      </c>
      <c r="P854" t="n">
        <v>0</v>
      </c>
      <c r="Q854" t="n">
        <v>0</v>
      </c>
      <c r="R854" s="2" t="inlineStr"/>
    </row>
    <row r="855" ht="15" customHeight="1">
      <c r="A855" t="inlineStr">
        <is>
          <t>A 17345-2026</t>
        </is>
      </c>
      <c r="B855" s="1" t="n">
        <v>46119</v>
      </c>
      <c r="C855" s="1" t="n">
        <v>46192</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10678-2025</t>
        </is>
      </c>
      <c r="B856" s="1" t="n">
        <v>45721</v>
      </c>
      <c r="C856" s="1" t="n">
        <v>46192</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31936-2022</t>
        </is>
      </c>
      <c r="B857" s="1" t="n">
        <v>44777</v>
      </c>
      <c r="C857" s="1" t="n">
        <v>46192</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17215-2026</t>
        </is>
      </c>
      <c r="B858" s="1" t="n">
        <v>46119</v>
      </c>
      <c r="C858" s="1" t="n">
        <v>46192</v>
      </c>
      <c r="D858" t="inlineStr">
        <is>
          <t>STOCKHOLMS LÄN</t>
        </is>
      </c>
      <c r="E858" t="inlineStr">
        <is>
          <t>NORRTÄLJE</t>
        </is>
      </c>
      <c r="F858" t="inlineStr">
        <is>
          <t>Holmen skog AB</t>
        </is>
      </c>
      <c r="G858" t="n">
        <v>3.8</v>
      </c>
      <c r="H858" t="n">
        <v>0</v>
      </c>
      <c r="I858" t="n">
        <v>0</v>
      </c>
      <c r="J858" t="n">
        <v>0</v>
      </c>
      <c r="K858" t="n">
        <v>0</v>
      </c>
      <c r="L858" t="n">
        <v>0</v>
      </c>
      <c r="M858" t="n">
        <v>0</v>
      </c>
      <c r="N858" t="n">
        <v>0</v>
      </c>
      <c r="O858" t="n">
        <v>0</v>
      </c>
      <c r="P858" t="n">
        <v>0</v>
      </c>
      <c r="Q858" t="n">
        <v>0</v>
      </c>
      <c r="R858" s="2" t="inlineStr"/>
    </row>
    <row r="859" ht="15" customHeight="1">
      <c r="A859" t="inlineStr">
        <is>
          <t>A 59873-2024</t>
        </is>
      </c>
      <c r="B859" s="1" t="n">
        <v>45640</v>
      </c>
      <c r="C859" s="1" t="n">
        <v>46192</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35916-2024</t>
        </is>
      </c>
      <c r="B860" s="1" t="n">
        <v>45533</v>
      </c>
      <c r="C860" s="1" t="n">
        <v>46192</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30639-2025</t>
        </is>
      </c>
      <c r="B861" s="1" t="n">
        <v>45831</v>
      </c>
      <c r="C861" s="1" t="n">
        <v>46192</v>
      </c>
      <c r="D861" t="inlineStr">
        <is>
          <t>STOCKHOLMS LÄN</t>
        </is>
      </c>
      <c r="E861" t="inlineStr">
        <is>
          <t>NORRTÄLJE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30668-2025</t>
        </is>
      </c>
      <c r="B862" s="1" t="n">
        <v>45831</v>
      </c>
      <c r="C862" s="1" t="n">
        <v>46192</v>
      </c>
      <c r="D862" t="inlineStr">
        <is>
          <t>STOCKHOLMS LÄN</t>
        </is>
      </c>
      <c r="E862" t="inlineStr">
        <is>
          <t>NORRTÄLJE</t>
        </is>
      </c>
      <c r="G862" t="n">
        <v>4.9</v>
      </c>
      <c r="H862" t="n">
        <v>0</v>
      </c>
      <c r="I862" t="n">
        <v>0</v>
      </c>
      <c r="J862" t="n">
        <v>0</v>
      </c>
      <c r="K862" t="n">
        <v>0</v>
      </c>
      <c r="L862" t="n">
        <v>0</v>
      </c>
      <c r="M862" t="n">
        <v>0</v>
      </c>
      <c r="N862" t="n">
        <v>0</v>
      </c>
      <c r="O862" t="n">
        <v>0</v>
      </c>
      <c r="P862" t="n">
        <v>0</v>
      </c>
      <c r="Q862" t="n">
        <v>0</v>
      </c>
      <c r="R862" s="2" t="inlineStr"/>
    </row>
    <row r="863" ht="15" customHeight="1">
      <c r="A863" t="inlineStr">
        <is>
          <t>A 10098-2022</t>
        </is>
      </c>
      <c r="B863" s="1" t="n">
        <v>44621</v>
      </c>
      <c r="C863" s="1" t="n">
        <v>46192</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63161-2023</t>
        </is>
      </c>
      <c r="B864" s="1" t="n">
        <v>45273</v>
      </c>
      <c r="C864" s="1" t="n">
        <v>46192</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17651-2026</t>
        </is>
      </c>
      <c r="B865" s="1" t="n">
        <v>46121</v>
      </c>
      <c r="C865" s="1" t="n">
        <v>46192</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58041-2024</t>
        </is>
      </c>
      <c r="B866" s="1" t="n">
        <v>45631</v>
      </c>
      <c r="C866" s="1" t="n">
        <v>46192</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30268-2024</t>
        </is>
      </c>
      <c r="B867" s="1" t="n">
        <v>45490</v>
      </c>
      <c r="C867" s="1" t="n">
        <v>46192</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31880-2025</t>
        </is>
      </c>
      <c r="B868" s="1" t="n">
        <v>45834</v>
      </c>
      <c r="C868" s="1" t="n">
        <v>46192</v>
      </c>
      <c r="D868" t="inlineStr">
        <is>
          <t>STOCKHOLMS LÄN</t>
        </is>
      </c>
      <c r="E868" t="inlineStr">
        <is>
          <t>NORRTÄLJE</t>
        </is>
      </c>
      <c r="G868" t="n">
        <v>1.4</v>
      </c>
      <c r="H868" t="n">
        <v>0</v>
      </c>
      <c r="I868" t="n">
        <v>0</v>
      </c>
      <c r="J868" t="n">
        <v>0</v>
      </c>
      <c r="K868" t="n">
        <v>0</v>
      </c>
      <c r="L868" t="n">
        <v>0</v>
      </c>
      <c r="M868" t="n">
        <v>0</v>
      </c>
      <c r="N868" t="n">
        <v>0</v>
      </c>
      <c r="O868" t="n">
        <v>0</v>
      </c>
      <c r="P868" t="n">
        <v>0</v>
      </c>
      <c r="Q868" t="n">
        <v>0</v>
      </c>
      <c r="R868" s="2" t="inlineStr"/>
    </row>
    <row r="869" ht="15" customHeight="1">
      <c r="A869" t="inlineStr">
        <is>
          <t>A 31868-2025</t>
        </is>
      </c>
      <c r="B869" s="1" t="n">
        <v>45834</v>
      </c>
      <c r="C869" s="1" t="n">
        <v>46192</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54276-2021</t>
        </is>
      </c>
      <c r="B870" s="1" t="n">
        <v>44470</v>
      </c>
      <c r="C870" s="1" t="n">
        <v>46192</v>
      </c>
      <c r="D870" t="inlineStr">
        <is>
          <t>STOCKHOLMS LÄN</t>
        </is>
      </c>
      <c r="E870" t="inlineStr">
        <is>
          <t>NORRTÄLJE</t>
        </is>
      </c>
      <c r="G870" t="n">
        <v>7.3</v>
      </c>
      <c r="H870" t="n">
        <v>0</v>
      </c>
      <c r="I870" t="n">
        <v>0</v>
      </c>
      <c r="J870" t="n">
        <v>0</v>
      </c>
      <c r="K870" t="n">
        <v>0</v>
      </c>
      <c r="L870" t="n">
        <v>0</v>
      </c>
      <c r="M870" t="n">
        <v>0</v>
      </c>
      <c r="N870" t="n">
        <v>0</v>
      </c>
      <c r="O870" t="n">
        <v>0</v>
      </c>
      <c r="P870" t="n">
        <v>0</v>
      </c>
      <c r="Q870" t="n">
        <v>0</v>
      </c>
      <c r="R870" s="2" t="inlineStr"/>
    </row>
    <row r="871" ht="15" customHeight="1">
      <c r="A871" t="inlineStr">
        <is>
          <t>A 4316-2023</t>
        </is>
      </c>
      <c r="B871" s="1" t="n">
        <v>44953</v>
      </c>
      <c r="C871" s="1" t="n">
        <v>46192</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41587-2023</t>
        </is>
      </c>
      <c r="B872" s="1" t="n">
        <v>45175</v>
      </c>
      <c r="C872" s="1" t="n">
        <v>46192</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32283-2025</t>
        </is>
      </c>
      <c r="B873" s="1" t="n">
        <v>45835</v>
      </c>
      <c r="C873" s="1" t="n">
        <v>46192</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31874-2025</t>
        </is>
      </c>
      <c r="B874" s="1" t="n">
        <v>45834</v>
      </c>
      <c r="C874" s="1" t="n">
        <v>46192</v>
      </c>
      <c r="D874" t="inlineStr">
        <is>
          <t>STOCKHOLMS LÄN</t>
        </is>
      </c>
      <c r="E874" t="inlineStr">
        <is>
          <t>NORRTÄLJE</t>
        </is>
      </c>
      <c r="G874" t="n">
        <v>1.4</v>
      </c>
      <c r="H874" t="n">
        <v>0</v>
      </c>
      <c r="I874" t="n">
        <v>0</v>
      </c>
      <c r="J874" t="n">
        <v>0</v>
      </c>
      <c r="K874" t="n">
        <v>0</v>
      </c>
      <c r="L874" t="n">
        <v>0</v>
      </c>
      <c r="M874" t="n">
        <v>0</v>
      </c>
      <c r="N874" t="n">
        <v>0</v>
      </c>
      <c r="O874" t="n">
        <v>0</v>
      </c>
      <c r="P874" t="n">
        <v>0</v>
      </c>
      <c r="Q874" t="n">
        <v>0</v>
      </c>
      <c r="R874" s="2" t="inlineStr"/>
    </row>
    <row r="875" ht="15" customHeight="1">
      <c r="A875" t="inlineStr">
        <is>
          <t>A 32480-2025</t>
        </is>
      </c>
      <c r="B875" s="1" t="n">
        <v>45838</v>
      </c>
      <c r="C875" s="1" t="n">
        <v>46192</v>
      </c>
      <c r="D875" t="inlineStr">
        <is>
          <t>STOCKHOLMS LÄN</t>
        </is>
      </c>
      <c r="E875" t="inlineStr">
        <is>
          <t>NORRTÄLJE</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17304-2024</t>
        </is>
      </c>
      <c r="B876" s="1" t="n">
        <v>45414</v>
      </c>
      <c r="C876" s="1" t="n">
        <v>46192</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32872-2025</t>
        </is>
      </c>
      <c r="B877" s="1" t="n">
        <v>45839</v>
      </c>
      <c r="C877" s="1" t="n">
        <v>46192</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11280-2023</t>
        </is>
      </c>
      <c r="B878" s="1" t="n">
        <v>44992</v>
      </c>
      <c r="C878" s="1" t="n">
        <v>46192</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26668-2024</t>
        </is>
      </c>
      <c r="B879" s="1" t="n">
        <v>45469</v>
      </c>
      <c r="C879" s="1" t="n">
        <v>46192</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23855-2026</t>
        </is>
      </c>
      <c r="B880" s="1" t="n">
        <v>46167</v>
      </c>
      <c r="C880" s="1" t="n">
        <v>46192</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33211-2025</t>
        </is>
      </c>
      <c r="B881" s="1" t="n">
        <v>45840</v>
      </c>
      <c r="C881" s="1" t="n">
        <v>46192</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31926-2022</t>
        </is>
      </c>
      <c r="B882" s="1" t="n">
        <v>44777</v>
      </c>
      <c r="C882" s="1" t="n">
        <v>46192</v>
      </c>
      <c r="D882" t="inlineStr">
        <is>
          <t>STOCKHOLMS LÄN</t>
        </is>
      </c>
      <c r="E882" t="inlineStr">
        <is>
          <t>NORRTÄLJE</t>
        </is>
      </c>
      <c r="G882" t="n">
        <v>5.2</v>
      </c>
      <c r="H882" t="n">
        <v>0</v>
      </c>
      <c r="I882" t="n">
        <v>0</v>
      </c>
      <c r="J882" t="n">
        <v>0</v>
      </c>
      <c r="K882" t="n">
        <v>0</v>
      </c>
      <c r="L882" t="n">
        <v>0</v>
      </c>
      <c r="M882" t="n">
        <v>0</v>
      </c>
      <c r="N882" t="n">
        <v>0</v>
      </c>
      <c r="O882" t="n">
        <v>0</v>
      </c>
      <c r="P882" t="n">
        <v>0</v>
      </c>
      <c r="Q882" t="n">
        <v>0</v>
      </c>
      <c r="R882" s="2" t="inlineStr"/>
    </row>
    <row r="883" ht="15" customHeight="1">
      <c r="A883" t="inlineStr">
        <is>
          <t>A 33336-2025</t>
        </is>
      </c>
      <c r="B883" s="1" t="n">
        <v>45841</v>
      </c>
      <c r="C883" s="1" t="n">
        <v>46192</v>
      </c>
      <c r="D883" t="inlineStr">
        <is>
          <t>STOCKHOLMS LÄN</t>
        </is>
      </c>
      <c r="E883" t="inlineStr">
        <is>
          <t>NORRTÄLJE</t>
        </is>
      </c>
      <c r="G883" t="n">
        <v>2.4</v>
      </c>
      <c r="H883" t="n">
        <v>0</v>
      </c>
      <c r="I883" t="n">
        <v>0</v>
      </c>
      <c r="J883" t="n">
        <v>0</v>
      </c>
      <c r="K883" t="n">
        <v>0</v>
      </c>
      <c r="L883" t="n">
        <v>0</v>
      </c>
      <c r="M883" t="n">
        <v>0</v>
      </c>
      <c r="N883" t="n">
        <v>0</v>
      </c>
      <c r="O883" t="n">
        <v>0</v>
      </c>
      <c r="P883" t="n">
        <v>0</v>
      </c>
      <c r="Q883" t="n">
        <v>0</v>
      </c>
      <c r="R883" s="2" t="inlineStr"/>
    </row>
    <row r="884" ht="15" customHeight="1">
      <c r="A884" t="inlineStr">
        <is>
          <t>A 33824-2025</t>
        </is>
      </c>
      <c r="B884" s="1" t="n">
        <v>45842</v>
      </c>
      <c r="C884" s="1" t="n">
        <v>46192</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21480-2022</t>
        </is>
      </c>
      <c r="B885" s="1" t="n">
        <v>44704</v>
      </c>
      <c r="C885" s="1" t="n">
        <v>46192</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34139-2025</t>
        </is>
      </c>
      <c r="B886" s="1" t="n">
        <v>45845</v>
      </c>
      <c r="C886" s="1" t="n">
        <v>46192</v>
      </c>
      <c r="D886" t="inlineStr">
        <is>
          <t>STOCKHOLMS LÄN</t>
        </is>
      </c>
      <c r="E886" t="inlineStr">
        <is>
          <t>NORRTÄLJE</t>
        </is>
      </c>
      <c r="G886" t="n">
        <v>5.5</v>
      </c>
      <c r="H886" t="n">
        <v>0</v>
      </c>
      <c r="I886" t="n">
        <v>0</v>
      </c>
      <c r="J886" t="n">
        <v>0</v>
      </c>
      <c r="K886" t="n">
        <v>0</v>
      </c>
      <c r="L886" t="n">
        <v>0</v>
      </c>
      <c r="M886" t="n">
        <v>0</v>
      </c>
      <c r="N886" t="n">
        <v>0</v>
      </c>
      <c r="O886" t="n">
        <v>0</v>
      </c>
      <c r="P886" t="n">
        <v>0</v>
      </c>
      <c r="Q886" t="n">
        <v>0</v>
      </c>
      <c r="R886" s="2" t="inlineStr"/>
    </row>
    <row r="887" ht="15" customHeight="1">
      <c r="A887" t="inlineStr">
        <is>
          <t>A 34010-2025</t>
        </is>
      </c>
      <c r="B887" s="1" t="n">
        <v>45844</v>
      </c>
      <c r="C887" s="1" t="n">
        <v>46192</v>
      </c>
      <c r="D887" t="inlineStr">
        <is>
          <t>STOCKHOLMS LÄN</t>
        </is>
      </c>
      <c r="E887" t="inlineStr">
        <is>
          <t>NORRTÄLJE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24024-2024</t>
        </is>
      </c>
      <c r="B888" s="1" t="n">
        <v>45456</v>
      </c>
      <c r="C888" s="1" t="n">
        <v>46192</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28809-2023</t>
        </is>
      </c>
      <c r="B889" s="1" t="n">
        <v>45104</v>
      </c>
      <c r="C889" s="1" t="n">
        <v>46192</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28813-2023</t>
        </is>
      </c>
      <c r="B890" s="1" t="n">
        <v>45104</v>
      </c>
      <c r="C890" s="1" t="n">
        <v>46192</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40656-2022</t>
        </is>
      </c>
      <c r="B891" s="1" t="n">
        <v>44824</v>
      </c>
      <c r="C891" s="1" t="n">
        <v>46192</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36689-2023</t>
        </is>
      </c>
      <c r="B892" s="1" t="n">
        <v>45152</v>
      </c>
      <c r="C892" s="1" t="n">
        <v>46192</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46073-2024</t>
        </is>
      </c>
      <c r="B893" s="1" t="n">
        <v>45581</v>
      </c>
      <c r="C893" s="1" t="n">
        <v>46192</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15836-2026</t>
        </is>
      </c>
      <c r="B894" s="1" t="n">
        <v>46107</v>
      </c>
      <c r="C894" s="1" t="n">
        <v>46192</v>
      </c>
      <c r="D894" t="inlineStr">
        <is>
          <t>STOCKHOLMS LÄN</t>
        </is>
      </c>
      <c r="E894" t="inlineStr">
        <is>
          <t>NORRTÄLJE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60694-2024</t>
        </is>
      </c>
      <c r="B895" s="1" t="n">
        <v>45644</v>
      </c>
      <c r="C895" s="1" t="n">
        <v>46192</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14937-2026</t>
        </is>
      </c>
      <c r="B896" s="1" t="n">
        <v>46104</v>
      </c>
      <c r="C896" s="1" t="n">
        <v>46192</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35110-2025</t>
        </is>
      </c>
      <c r="B897" s="1" t="n">
        <v>45852</v>
      </c>
      <c r="C897" s="1" t="n">
        <v>46192</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24835-2025</t>
        </is>
      </c>
      <c r="B898" s="1" t="n">
        <v>45799</v>
      </c>
      <c r="C898" s="1" t="n">
        <v>46192</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35479-2025</t>
        </is>
      </c>
      <c r="B899" s="1" t="n">
        <v>45855</v>
      </c>
      <c r="C899" s="1" t="n">
        <v>46192</v>
      </c>
      <c r="D899" t="inlineStr">
        <is>
          <t>STOCKHOLMS LÄN</t>
        </is>
      </c>
      <c r="E899" t="inlineStr">
        <is>
          <t>NORRTÄLJE</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35478-2025</t>
        </is>
      </c>
      <c r="B900" s="1" t="n">
        <v>45855</v>
      </c>
      <c r="C900" s="1" t="n">
        <v>46192</v>
      </c>
      <c r="D900" t="inlineStr">
        <is>
          <t>STOCKHOLMS LÄN</t>
        </is>
      </c>
      <c r="E900" t="inlineStr">
        <is>
          <t>NORRTÄLJE</t>
        </is>
      </c>
      <c r="F900" t="inlineStr">
        <is>
          <t>Holmen skog AB</t>
        </is>
      </c>
      <c r="G900" t="n">
        <v>2.7</v>
      </c>
      <c r="H900" t="n">
        <v>0</v>
      </c>
      <c r="I900" t="n">
        <v>0</v>
      </c>
      <c r="J900" t="n">
        <v>0</v>
      </c>
      <c r="K900" t="n">
        <v>0</v>
      </c>
      <c r="L900" t="n">
        <v>0</v>
      </c>
      <c r="M900" t="n">
        <v>0</v>
      </c>
      <c r="N900" t="n">
        <v>0</v>
      </c>
      <c r="O900" t="n">
        <v>0</v>
      </c>
      <c r="P900" t="n">
        <v>0</v>
      </c>
      <c r="Q900" t="n">
        <v>0</v>
      </c>
      <c r="R900" s="2" t="inlineStr"/>
    </row>
    <row r="901" ht="15" customHeight="1">
      <c r="A901" t="inlineStr">
        <is>
          <t>A 33353-2023</t>
        </is>
      </c>
      <c r="B901" s="1" t="n">
        <v>45128</v>
      </c>
      <c r="C901" s="1" t="n">
        <v>46192</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24891-2026</t>
        </is>
      </c>
      <c r="B902" s="1" t="n">
        <v>46174</v>
      </c>
      <c r="C902" s="1" t="n">
        <v>46192</v>
      </c>
      <c r="D902" t="inlineStr">
        <is>
          <t>STOCKHOLMS LÄN</t>
        </is>
      </c>
      <c r="E902" t="inlineStr">
        <is>
          <t>NORRTÄLJE</t>
        </is>
      </c>
      <c r="G902" t="n">
        <v>4</v>
      </c>
      <c r="H902" t="n">
        <v>0</v>
      </c>
      <c r="I902" t="n">
        <v>0</v>
      </c>
      <c r="J902" t="n">
        <v>0</v>
      </c>
      <c r="K902" t="n">
        <v>0</v>
      </c>
      <c r="L902" t="n">
        <v>0</v>
      </c>
      <c r="M902" t="n">
        <v>0</v>
      </c>
      <c r="N902" t="n">
        <v>0</v>
      </c>
      <c r="O902" t="n">
        <v>0</v>
      </c>
      <c r="P902" t="n">
        <v>0</v>
      </c>
      <c r="Q902" t="n">
        <v>0</v>
      </c>
      <c r="R902" s="2" t="inlineStr"/>
    </row>
    <row r="903" ht="15" customHeight="1">
      <c r="A903" t="inlineStr">
        <is>
          <t>A 3966-2024</t>
        </is>
      </c>
      <c r="B903" s="1" t="n">
        <v>45322</v>
      </c>
      <c r="C903" s="1" t="n">
        <v>46192</v>
      </c>
      <c r="D903" t="inlineStr">
        <is>
          <t>STOCKHOLMS LÄN</t>
        </is>
      </c>
      <c r="E903" t="inlineStr">
        <is>
          <t>NORRTÄLJE</t>
        </is>
      </c>
      <c r="G903" t="n">
        <v>5.3</v>
      </c>
      <c r="H903" t="n">
        <v>0</v>
      </c>
      <c r="I903" t="n">
        <v>0</v>
      </c>
      <c r="J903" t="n">
        <v>0</v>
      </c>
      <c r="K903" t="n">
        <v>0</v>
      </c>
      <c r="L903" t="n">
        <v>0</v>
      </c>
      <c r="M903" t="n">
        <v>0</v>
      </c>
      <c r="N903" t="n">
        <v>0</v>
      </c>
      <c r="O903" t="n">
        <v>0</v>
      </c>
      <c r="P903" t="n">
        <v>0</v>
      </c>
      <c r="Q903" t="n">
        <v>0</v>
      </c>
      <c r="R903" s="2" t="inlineStr"/>
    </row>
    <row r="904" ht="15" customHeight="1">
      <c r="A904" t="inlineStr">
        <is>
          <t>A 34444-2024</t>
        </is>
      </c>
      <c r="B904" s="1" t="n">
        <v>45525</v>
      </c>
      <c r="C904" s="1" t="n">
        <v>46192</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20698-2025</t>
        </is>
      </c>
      <c r="B905" s="1" t="n">
        <v>45776</v>
      </c>
      <c r="C905" s="1" t="n">
        <v>46192</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22232-2024</t>
        </is>
      </c>
      <c r="B906" s="1" t="n">
        <v>45446</v>
      </c>
      <c r="C906" s="1" t="n">
        <v>46192</v>
      </c>
      <c r="D906" t="inlineStr">
        <is>
          <t>STOCKHOLMS LÄN</t>
        </is>
      </c>
      <c r="E906" t="inlineStr">
        <is>
          <t>NORRTÄLJE</t>
        </is>
      </c>
      <c r="G906" t="n">
        <v>12.8</v>
      </c>
      <c r="H906" t="n">
        <v>0</v>
      </c>
      <c r="I906" t="n">
        <v>0</v>
      </c>
      <c r="J906" t="n">
        <v>0</v>
      </c>
      <c r="K906" t="n">
        <v>0</v>
      </c>
      <c r="L906" t="n">
        <v>0</v>
      </c>
      <c r="M906" t="n">
        <v>0</v>
      </c>
      <c r="N906" t="n">
        <v>0</v>
      </c>
      <c r="O906" t="n">
        <v>0</v>
      </c>
      <c r="P906" t="n">
        <v>0</v>
      </c>
      <c r="Q906" t="n">
        <v>0</v>
      </c>
      <c r="R906" s="2" t="inlineStr"/>
    </row>
    <row r="907" ht="15" customHeight="1">
      <c r="A907" t="inlineStr">
        <is>
          <t>A 19129-2026</t>
        </is>
      </c>
      <c r="B907" s="1" t="n">
        <v>46132</v>
      </c>
      <c r="C907" s="1" t="n">
        <v>46192</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19358-2026</t>
        </is>
      </c>
      <c r="B908" s="1" t="n">
        <v>46133</v>
      </c>
      <c r="C908" s="1" t="n">
        <v>46192</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19170-2026</t>
        </is>
      </c>
      <c r="B909" s="1" t="n">
        <v>46132</v>
      </c>
      <c r="C909" s="1" t="n">
        <v>46192</v>
      </c>
      <c r="D909" t="inlineStr">
        <is>
          <t>STOCKHOLMS LÄN</t>
        </is>
      </c>
      <c r="E909" t="inlineStr">
        <is>
          <t>NORRTÄLJE</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19688-2026</t>
        </is>
      </c>
      <c r="B910" s="1" t="n">
        <v>46134</v>
      </c>
      <c r="C910" s="1" t="n">
        <v>46192</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19352-2026</t>
        </is>
      </c>
      <c r="B911" s="1" t="n">
        <v>46133</v>
      </c>
      <c r="C911" s="1" t="n">
        <v>46192</v>
      </c>
      <c r="D911" t="inlineStr">
        <is>
          <t>STOCKHOLMS LÄN</t>
        </is>
      </c>
      <c r="E911" t="inlineStr">
        <is>
          <t>NORRTÄLJE</t>
        </is>
      </c>
      <c r="G911" t="n">
        <v>5.5</v>
      </c>
      <c r="H911" t="n">
        <v>0</v>
      </c>
      <c r="I911" t="n">
        <v>0</v>
      </c>
      <c r="J911" t="n">
        <v>0</v>
      </c>
      <c r="K911" t="n">
        <v>0</v>
      </c>
      <c r="L911" t="n">
        <v>0</v>
      </c>
      <c r="M911" t="n">
        <v>0</v>
      </c>
      <c r="N911" t="n">
        <v>0</v>
      </c>
      <c r="O911" t="n">
        <v>0</v>
      </c>
      <c r="P911" t="n">
        <v>0</v>
      </c>
      <c r="Q911" t="n">
        <v>0</v>
      </c>
      <c r="R911" s="2" t="inlineStr"/>
    </row>
    <row r="912" ht="15" customHeight="1">
      <c r="A912" t="inlineStr">
        <is>
          <t>A 23262-2023</t>
        </is>
      </c>
      <c r="B912" s="1" t="n">
        <v>45075</v>
      </c>
      <c r="C912" s="1" t="n">
        <v>46192</v>
      </c>
      <c r="D912" t="inlineStr">
        <is>
          <t>STOCKHOLMS LÄN</t>
        </is>
      </c>
      <c r="E912" t="inlineStr">
        <is>
          <t>NORRTÄLJE</t>
        </is>
      </c>
      <c r="F912" t="inlineStr">
        <is>
          <t>Kommuner</t>
        </is>
      </c>
      <c r="G912" t="n">
        <v>1.9</v>
      </c>
      <c r="H912" t="n">
        <v>0</v>
      </c>
      <c r="I912" t="n">
        <v>0</v>
      </c>
      <c r="J912" t="n">
        <v>0</v>
      </c>
      <c r="K912" t="n">
        <v>0</v>
      </c>
      <c r="L912" t="n">
        <v>0</v>
      </c>
      <c r="M912" t="n">
        <v>0</v>
      </c>
      <c r="N912" t="n">
        <v>0</v>
      </c>
      <c r="O912" t="n">
        <v>0</v>
      </c>
      <c r="P912" t="n">
        <v>0</v>
      </c>
      <c r="Q912" t="n">
        <v>0</v>
      </c>
      <c r="R912" s="2" t="inlineStr"/>
    </row>
    <row r="913" ht="15" customHeight="1">
      <c r="A913" t="inlineStr">
        <is>
          <t>A 23268-2023</t>
        </is>
      </c>
      <c r="B913" s="1" t="n">
        <v>45075</v>
      </c>
      <c r="C913" s="1" t="n">
        <v>46192</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23270-2023</t>
        </is>
      </c>
      <c r="B914" s="1" t="n">
        <v>45075</v>
      </c>
      <c r="C914" s="1" t="n">
        <v>46192</v>
      </c>
      <c r="D914" t="inlineStr">
        <is>
          <t>STOCKHOLMS LÄN</t>
        </is>
      </c>
      <c r="E914" t="inlineStr">
        <is>
          <t>NORRTÄLJE</t>
        </is>
      </c>
      <c r="G914" t="n">
        <v>12.3</v>
      </c>
      <c r="H914" t="n">
        <v>0</v>
      </c>
      <c r="I914" t="n">
        <v>0</v>
      </c>
      <c r="J914" t="n">
        <v>0</v>
      </c>
      <c r="K914" t="n">
        <v>0</v>
      </c>
      <c r="L914" t="n">
        <v>0</v>
      </c>
      <c r="M914" t="n">
        <v>0</v>
      </c>
      <c r="N914" t="n">
        <v>0</v>
      </c>
      <c r="O914" t="n">
        <v>0</v>
      </c>
      <c r="P914" t="n">
        <v>0</v>
      </c>
      <c r="Q914" t="n">
        <v>0</v>
      </c>
      <c r="R914" s="2" t="inlineStr"/>
    </row>
    <row r="915" ht="15" customHeight="1">
      <c r="A915" t="inlineStr">
        <is>
          <t>A 23274-2023</t>
        </is>
      </c>
      <c r="B915" s="1" t="n">
        <v>45075</v>
      </c>
      <c r="C915" s="1" t="n">
        <v>46192</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26636-2023</t>
        </is>
      </c>
      <c r="B916" s="1" t="n">
        <v>45092</v>
      </c>
      <c r="C916" s="1" t="n">
        <v>46192</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26637-2023</t>
        </is>
      </c>
      <c r="B917" s="1" t="n">
        <v>45092</v>
      </c>
      <c r="C917" s="1" t="n">
        <v>46192</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19759-2026</t>
        </is>
      </c>
      <c r="B918" s="1" t="n">
        <v>46135</v>
      </c>
      <c r="C918" s="1" t="n">
        <v>46192</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72704-2021</t>
        </is>
      </c>
      <c r="B919" s="1" t="n">
        <v>44546</v>
      </c>
      <c r="C919" s="1" t="n">
        <v>46192</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52743-2024</t>
        </is>
      </c>
      <c r="B920" s="1" t="n">
        <v>45610</v>
      </c>
      <c r="C920" s="1" t="n">
        <v>46192</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16852-2024</t>
        </is>
      </c>
      <c r="B921" s="1" t="n">
        <v>45411</v>
      </c>
      <c r="C921" s="1" t="n">
        <v>46192</v>
      </c>
      <c r="D921" t="inlineStr">
        <is>
          <t>STOCKHOLMS LÄN</t>
        </is>
      </c>
      <c r="E921" t="inlineStr">
        <is>
          <t>NORRTÄLJE</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17209-2026</t>
        </is>
      </c>
      <c r="B922" s="1" t="n">
        <v>46119</v>
      </c>
      <c r="C922" s="1" t="n">
        <v>46192</v>
      </c>
      <c r="D922" t="inlineStr">
        <is>
          <t>STOCKHOLMS LÄN</t>
        </is>
      </c>
      <c r="E922" t="inlineStr">
        <is>
          <t>NORRTÄLJE</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37632-2025</t>
        </is>
      </c>
      <c r="B923" s="1" t="n">
        <v>45880</v>
      </c>
      <c r="C923" s="1" t="n">
        <v>46192</v>
      </c>
      <c r="D923" t="inlineStr">
        <is>
          <t>STOCKHOLMS LÄN</t>
        </is>
      </c>
      <c r="E923" t="inlineStr">
        <is>
          <t>NORRTÄLJE</t>
        </is>
      </c>
      <c r="F923" t="inlineStr">
        <is>
          <t>Sveaskog</t>
        </is>
      </c>
      <c r="G923" t="n">
        <v>6.4</v>
      </c>
      <c r="H923" t="n">
        <v>0</v>
      </c>
      <c r="I923" t="n">
        <v>0</v>
      </c>
      <c r="J923" t="n">
        <v>0</v>
      </c>
      <c r="K923" t="n">
        <v>0</v>
      </c>
      <c r="L923" t="n">
        <v>0</v>
      </c>
      <c r="M923" t="n">
        <v>0</v>
      </c>
      <c r="N923" t="n">
        <v>0</v>
      </c>
      <c r="O923" t="n">
        <v>0</v>
      </c>
      <c r="P923" t="n">
        <v>0</v>
      </c>
      <c r="Q923" t="n">
        <v>0</v>
      </c>
      <c r="R923" s="2" t="inlineStr"/>
    </row>
    <row r="924" ht="15" customHeight="1">
      <c r="A924" t="inlineStr">
        <is>
          <t>A 20692-2025</t>
        </is>
      </c>
      <c r="B924" s="1" t="n">
        <v>45776</v>
      </c>
      <c r="C924" s="1" t="n">
        <v>46192</v>
      </c>
      <c r="D924" t="inlineStr">
        <is>
          <t>STOCKHOLMS LÄN</t>
        </is>
      </c>
      <c r="E924" t="inlineStr">
        <is>
          <t>NORRTÄLJE</t>
        </is>
      </c>
      <c r="G924" t="n">
        <v>2.1</v>
      </c>
      <c r="H924" t="n">
        <v>0</v>
      </c>
      <c r="I924" t="n">
        <v>0</v>
      </c>
      <c r="J924" t="n">
        <v>0</v>
      </c>
      <c r="K924" t="n">
        <v>0</v>
      </c>
      <c r="L924" t="n">
        <v>0</v>
      </c>
      <c r="M924" t="n">
        <v>0</v>
      </c>
      <c r="N924" t="n">
        <v>0</v>
      </c>
      <c r="O924" t="n">
        <v>0</v>
      </c>
      <c r="P924" t="n">
        <v>0</v>
      </c>
      <c r="Q924" t="n">
        <v>0</v>
      </c>
      <c r="R924" s="2" t="inlineStr"/>
    </row>
    <row r="925" ht="15" customHeight="1">
      <c r="A925" t="inlineStr">
        <is>
          <t>A 25507-2026</t>
        </is>
      </c>
      <c r="B925" s="1" t="n">
        <v>46177</v>
      </c>
      <c r="C925" s="1" t="n">
        <v>46192</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25529-2026</t>
        </is>
      </c>
      <c r="B926" s="1" t="n">
        <v>46177</v>
      </c>
      <c r="C926" s="1" t="n">
        <v>46192</v>
      </c>
      <c r="D926" t="inlineStr">
        <is>
          <t>STOCKHOLMS LÄN</t>
        </is>
      </c>
      <c r="E926" t="inlineStr">
        <is>
          <t>NORRTÄLJE</t>
        </is>
      </c>
      <c r="G926" t="n">
        <v>6.3</v>
      </c>
      <c r="H926" t="n">
        <v>0</v>
      </c>
      <c r="I926" t="n">
        <v>0</v>
      </c>
      <c r="J926" t="n">
        <v>0</v>
      </c>
      <c r="K926" t="n">
        <v>0</v>
      </c>
      <c r="L926" t="n">
        <v>0</v>
      </c>
      <c r="M926" t="n">
        <v>0</v>
      </c>
      <c r="N926" t="n">
        <v>0</v>
      </c>
      <c r="O926" t="n">
        <v>0</v>
      </c>
      <c r="P926" t="n">
        <v>0</v>
      </c>
      <c r="Q926" t="n">
        <v>0</v>
      </c>
      <c r="R926" s="2" t="inlineStr"/>
    </row>
    <row r="927" ht="15" customHeight="1">
      <c r="A927" t="inlineStr">
        <is>
          <t>A 46071-2024</t>
        </is>
      </c>
      <c r="B927" s="1" t="n">
        <v>45581</v>
      </c>
      <c r="C927" s="1" t="n">
        <v>46192</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13137-2024</t>
        </is>
      </c>
      <c r="B928" s="1" t="n">
        <v>45386</v>
      </c>
      <c r="C928" s="1" t="n">
        <v>46192</v>
      </c>
      <c r="D928" t="inlineStr">
        <is>
          <t>STOCKHOLMS LÄN</t>
        </is>
      </c>
      <c r="E928" t="inlineStr">
        <is>
          <t>NORRTÄLJE</t>
        </is>
      </c>
      <c r="G928" t="n">
        <v>5</v>
      </c>
      <c r="H928" t="n">
        <v>0</v>
      </c>
      <c r="I928" t="n">
        <v>0</v>
      </c>
      <c r="J928" t="n">
        <v>0</v>
      </c>
      <c r="K928" t="n">
        <v>0</v>
      </c>
      <c r="L928" t="n">
        <v>0</v>
      </c>
      <c r="M928" t="n">
        <v>0</v>
      </c>
      <c r="N928" t="n">
        <v>0</v>
      </c>
      <c r="O928" t="n">
        <v>0</v>
      </c>
      <c r="P928" t="n">
        <v>0</v>
      </c>
      <c r="Q928" t="n">
        <v>0</v>
      </c>
      <c r="R928" s="2" t="inlineStr"/>
    </row>
    <row r="929" ht="15" customHeight="1">
      <c r="A929" t="inlineStr">
        <is>
          <t>A 55755-2023</t>
        </is>
      </c>
      <c r="B929" s="1" t="n">
        <v>45239</v>
      </c>
      <c r="C929" s="1" t="n">
        <v>46192</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41301-2025</t>
        </is>
      </c>
      <c r="B930" s="1" t="n">
        <v>45898</v>
      </c>
      <c r="C930" s="1" t="n">
        <v>46192</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55503-2025</t>
        </is>
      </c>
      <c r="B931" s="1" t="n">
        <v>45971</v>
      </c>
      <c r="C931" s="1" t="n">
        <v>46192</v>
      </c>
      <c r="D931" t="inlineStr">
        <is>
          <t>STOCKHOLMS LÄN</t>
        </is>
      </c>
      <c r="E931" t="inlineStr">
        <is>
          <t>NORRTÄLJE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25919-2026</t>
        </is>
      </c>
      <c r="B932" s="1" t="n">
        <v>46178</v>
      </c>
      <c r="C932" s="1" t="n">
        <v>46192</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38153-2025</t>
        </is>
      </c>
      <c r="B933" s="1" t="n">
        <v>45882</v>
      </c>
      <c r="C933" s="1" t="n">
        <v>46192</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17348-2024</t>
        </is>
      </c>
      <c r="B934" s="1" t="n">
        <v>45414</v>
      </c>
      <c r="C934" s="1" t="n">
        <v>46192</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47521-2024</t>
        </is>
      </c>
      <c r="B935" s="1" t="n">
        <v>45587</v>
      </c>
      <c r="C935" s="1" t="n">
        <v>46192</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8315-2025</t>
        </is>
      </c>
      <c r="B936" s="1" t="n">
        <v>45708</v>
      </c>
      <c r="C936" s="1" t="n">
        <v>46192</v>
      </c>
      <c r="D936" t="inlineStr">
        <is>
          <t>STOCKHOLMS LÄN</t>
        </is>
      </c>
      <c r="E936" t="inlineStr">
        <is>
          <t>NORRTÄLJE</t>
        </is>
      </c>
      <c r="G936" t="n">
        <v>3.9</v>
      </c>
      <c r="H936" t="n">
        <v>0</v>
      </c>
      <c r="I936" t="n">
        <v>0</v>
      </c>
      <c r="J936" t="n">
        <v>0</v>
      </c>
      <c r="K936" t="n">
        <v>0</v>
      </c>
      <c r="L936" t="n">
        <v>0</v>
      </c>
      <c r="M936" t="n">
        <v>0</v>
      </c>
      <c r="N936" t="n">
        <v>0</v>
      </c>
      <c r="O936" t="n">
        <v>0</v>
      </c>
      <c r="P936" t="n">
        <v>0</v>
      </c>
      <c r="Q936" t="n">
        <v>0</v>
      </c>
      <c r="R936" s="2" t="inlineStr"/>
    </row>
    <row r="937" ht="15" customHeight="1">
      <c r="A937" t="inlineStr">
        <is>
          <t>A 13089-2022</t>
        </is>
      </c>
      <c r="B937" s="1" t="n">
        <v>44643</v>
      </c>
      <c r="C937" s="1" t="n">
        <v>46192</v>
      </c>
      <c r="D937" t="inlineStr">
        <is>
          <t>STOCKHOLMS LÄN</t>
        </is>
      </c>
      <c r="E937" t="inlineStr">
        <is>
          <t>NORRTÄLJE</t>
        </is>
      </c>
      <c r="G937" t="n">
        <v>4.5</v>
      </c>
      <c r="H937" t="n">
        <v>0</v>
      </c>
      <c r="I937" t="n">
        <v>0</v>
      </c>
      <c r="J937" t="n">
        <v>0</v>
      </c>
      <c r="K937" t="n">
        <v>0</v>
      </c>
      <c r="L937" t="n">
        <v>0</v>
      </c>
      <c r="M937" t="n">
        <v>0</v>
      </c>
      <c r="N937" t="n">
        <v>0</v>
      </c>
      <c r="O937" t="n">
        <v>0</v>
      </c>
      <c r="P937" t="n">
        <v>0</v>
      </c>
      <c r="Q937" t="n">
        <v>0</v>
      </c>
      <c r="R937" s="2" t="inlineStr"/>
    </row>
    <row r="938" ht="15" customHeight="1">
      <c r="A938" t="inlineStr">
        <is>
          <t>A 35254-2025</t>
        </is>
      </c>
      <c r="B938" s="1" t="n">
        <v>45853</v>
      </c>
      <c r="C938" s="1" t="n">
        <v>46192</v>
      </c>
      <c r="D938" t="inlineStr">
        <is>
          <t>STOCKHOLMS LÄN</t>
        </is>
      </c>
      <c r="E938" t="inlineStr">
        <is>
          <t>NORRTÄLJE</t>
        </is>
      </c>
      <c r="G938" t="n">
        <v>6.5</v>
      </c>
      <c r="H938" t="n">
        <v>0</v>
      </c>
      <c r="I938" t="n">
        <v>0</v>
      </c>
      <c r="J938" t="n">
        <v>0</v>
      </c>
      <c r="K938" t="n">
        <v>0</v>
      </c>
      <c r="L938" t="n">
        <v>0</v>
      </c>
      <c r="M938" t="n">
        <v>0</v>
      </c>
      <c r="N938" t="n">
        <v>0</v>
      </c>
      <c r="O938" t="n">
        <v>0</v>
      </c>
      <c r="P938" t="n">
        <v>0</v>
      </c>
      <c r="Q938" t="n">
        <v>0</v>
      </c>
      <c r="R938" s="2" t="inlineStr"/>
    </row>
    <row r="939" ht="15" customHeight="1">
      <c r="A939" t="inlineStr">
        <is>
          <t>A 23998-2024</t>
        </is>
      </c>
      <c r="B939" s="1" t="n">
        <v>45456</v>
      </c>
      <c r="C939" s="1" t="n">
        <v>46192</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15447-2023</t>
        </is>
      </c>
      <c r="B940" s="1" t="n">
        <v>45020</v>
      </c>
      <c r="C940" s="1" t="n">
        <v>46192</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1654-2025</t>
        </is>
      </c>
      <c r="B941" s="1" t="n">
        <v>45670</v>
      </c>
      <c r="C941" s="1" t="n">
        <v>46192</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54358-2022</t>
        </is>
      </c>
      <c r="B942" s="1" t="n">
        <v>44882</v>
      </c>
      <c r="C942" s="1" t="n">
        <v>46192</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11041-2025</t>
        </is>
      </c>
      <c r="B943" s="1" t="n">
        <v>45723</v>
      </c>
      <c r="C943" s="1" t="n">
        <v>46192</v>
      </c>
      <c r="D943" t="inlineStr">
        <is>
          <t>STOCKHOLMS LÄN</t>
        </is>
      </c>
      <c r="E943" t="inlineStr">
        <is>
          <t>NORRTÄLJE</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52251-2025</t>
        </is>
      </c>
      <c r="B944" s="1" t="n">
        <v>45953</v>
      </c>
      <c r="C944" s="1" t="n">
        <v>46192</v>
      </c>
      <c r="D944" t="inlineStr">
        <is>
          <t>STOCKHOLMS LÄN</t>
        </is>
      </c>
      <c r="E944" t="inlineStr">
        <is>
          <t>NORRTÄLJE</t>
        </is>
      </c>
      <c r="G944" t="n">
        <v>6.2</v>
      </c>
      <c r="H944" t="n">
        <v>0</v>
      </c>
      <c r="I944" t="n">
        <v>0</v>
      </c>
      <c r="J944" t="n">
        <v>0</v>
      </c>
      <c r="K944" t="n">
        <v>0</v>
      </c>
      <c r="L944" t="n">
        <v>0</v>
      </c>
      <c r="M944" t="n">
        <v>0</v>
      </c>
      <c r="N944" t="n">
        <v>0</v>
      </c>
      <c r="O944" t="n">
        <v>0</v>
      </c>
      <c r="P944" t="n">
        <v>0</v>
      </c>
      <c r="Q944" t="n">
        <v>0</v>
      </c>
      <c r="R944" s="2" t="inlineStr"/>
    </row>
    <row r="945" ht="15" customHeight="1">
      <c r="A945" t="inlineStr">
        <is>
          <t>A 13785-2024</t>
        </is>
      </c>
      <c r="B945" s="1" t="n">
        <v>45391</v>
      </c>
      <c r="C945" s="1" t="n">
        <v>46192</v>
      </c>
      <c r="D945" t="inlineStr">
        <is>
          <t>STOCKHOLMS LÄN</t>
        </is>
      </c>
      <c r="E945" t="inlineStr">
        <is>
          <t>NORRTÄLJE</t>
        </is>
      </c>
      <c r="G945" t="n">
        <v>5</v>
      </c>
      <c r="H945" t="n">
        <v>0</v>
      </c>
      <c r="I945" t="n">
        <v>0</v>
      </c>
      <c r="J945" t="n">
        <v>0</v>
      </c>
      <c r="K945" t="n">
        <v>0</v>
      </c>
      <c r="L945" t="n">
        <v>0</v>
      </c>
      <c r="M945" t="n">
        <v>0</v>
      </c>
      <c r="N945" t="n">
        <v>0</v>
      </c>
      <c r="O945" t="n">
        <v>0</v>
      </c>
      <c r="P945" t="n">
        <v>0</v>
      </c>
      <c r="Q945" t="n">
        <v>0</v>
      </c>
      <c r="R945" s="2" t="inlineStr"/>
    </row>
    <row r="946" ht="15" customHeight="1">
      <c r="A946" t="inlineStr">
        <is>
          <t>A 25696-2026</t>
        </is>
      </c>
      <c r="B946" s="1" t="n">
        <v>46178</v>
      </c>
      <c r="C946" s="1" t="n">
        <v>46192</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23263-2023</t>
        </is>
      </c>
      <c r="B947" s="1" t="n">
        <v>45075</v>
      </c>
      <c r="C947" s="1" t="n">
        <v>46192</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23264-2023</t>
        </is>
      </c>
      <c r="B948" s="1" t="n">
        <v>45075</v>
      </c>
      <c r="C948" s="1" t="n">
        <v>46192</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23267-2023</t>
        </is>
      </c>
      <c r="B949" s="1" t="n">
        <v>45075</v>
      </c>
      <c r="C949" s="1" t="n">
        <v>46192</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23269-2023</t>
        </is>
      </c>
      <c r="B950" s="1" t="n">
        <v>45075</v>
      </c>
      <c r="C950" s="1" t="n">
        <v>46192</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19911-2025</t>
        </is>
      </c>
      <c r="B951" s="1" t="n">
        <v>45771</v>
      </c>
      <c r="C951" s="1" t="n">
        <v>46192</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5831-2022</t>
        </is>
      </c>
      <c r="B952" s="1" t="n">
        <v>44596</v>
      </c>
      <c r="C952" s="1" t="n">
        <v>46192</v>
      </c>
      <c r="D952" t="inlineStr">
        <is>
          <t>STOCKHOLMS LÄN</t>
        </is>
      </c>
      <c r="E952" t="inlineStr">
        <is>
          <t>NORRTÄLJE</t>
        </is>
      </c>
      <c r="G952" t="n">
        <v>4.8</v>
      </c>
      <c r="H952" t="n">
        <v>0</v>
      </c>
      <c r="I952" t="n">
        <v>0</v>
      </c>
      <c r="J952" t="n">
        <v>0</v>
      </c>
      <c r="K952" t="n">
        <v>0</v>
      </c>
      <c r="L952" t="n">
        <v>0</v>
      </c>
      <c r="M952" t="n">
        <v>0</v>
      </c>
      <c r="N952" t="n">
        <v>0</v>
      </c>
      <c r="O952" t="n">
        <v>0</v>
      </c>
      <c r="P952" t="n">
        <v>0</v>
      </c>
      <c r="Q952" t="n">
        <v>0</v>
      </c>
      <c r="R952" s="2" t="inlineStr"/>
    </row>
    <row r="953" ht="15" customHeight="1">
      <c r="A953" t="inlineStr">
        <is>
          <t>A 5867-2022</t>
        </is>
      </c>
      <c r="B953" s="1" t="n">
        <v>44596</v>
      </c>
      <c r="C953" s="1" t="n">
        <v>46192</v>
      </c>
      <c r="D953" t="inlineStr">
        <is>
          <t>STOCKHOLMS LÄN</t>
        </is>
      </c>
      <c r="E953" t="inlineStr">
        <is>
          <t>NORRTÄLJE</t>
        </is>
      </c>
      <c r="F953" t="inlineStr">
        <is>
          <t>Naturvårdsverket</t>
        </is>
      </c>
      <c r="G953" t="n">
        <v>1.6</v>
      </c>
      <c r="H953" t="n">
        <v>0</v>
      </c>
      <c r="I953" t="n">
        <v>0</v>
      </c>
      <c r="J953" t="n">
        <v>0</v>
      </c>
      <c r="K953" t="n">
        <v>0</v>
      </c>
      <c r="L953" t="n">
        <v>0</v>
      </c>
      <c r="M953" t="n">
        <v>0</v>
      </c>
      <c r="N953" t="n">
        <v>0</v>
      </c>
      <c r="O953" t="n">
        <v>0</v>
      </c>
      <c r="P953" t="n">
        <v>0</v>
      </c>
      <c r="Q953" t="n">
        <v>0</v>
      </c>
      <c r="R953" s="2" t="inlineStr"/>
    </row>
    <row r="954" ht="15" customHeight="1">
      <c r="A954" t="inlineStr">
        <is>
          <t>A 20336-2024</t>
        </is>
      </c>
      <c r="B954" s="1" t="n">
        <v>45435</v>
      </c>
      <c r="C954" s="1" t="n">
        <v>46192</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52254-2025</t>
        </is>
      </c>
      <c r="B955" s="1" t="n">
        <v>45953</v>
      </c>
      <c r="C955" s="1" t="n">
        <v>46192</v>
      </c>
      <c r="D955" t="inlineStr">
        <is>
          <t>STOCKHOLMS LÄN</t>
        </is>
      </c>
      <c r="E955" t="inlineStr">
        <is>
          <t>NORRTÄLJE</t>
        </is>
      </c>
      <c r="G955" t="n">
        <v>2.2</v>
      </c>
      <c r="H955" t="n">
        <v>0</v>
      </c>
      <c r="I955" t="n">
        <v>0</v>
      </c>
      <c r="J955" t="n">
        <v>0</v>
      </c>
      <c r="K955" t="n">
        <v>0</v>
      </c>
      <c r="L955" t="n">
        <v>0</v>
      </c>
      <c r="M955" t="n">
        <v>0</v>
      </c>
      <c r="N955" t="n">
        <v>0</v>
      </c>
      <c r="O955" t="n">
        <v>0</v>
      </c>
      <c r="P955" t="n">
        <v>0</v>
      </c>
      <c r="Q955" t="n">
        <v>0</v>
      </c>
      <c r="R955" s="2" t="inlineStr"/>
    </row>
    <row r="956" ht="15" customHeight="1">
      <c r="A956" t="inlineStr">
        <is>
          <t>A 48633-2023</t>
        </is>
      </c>
      <c r="B956" s="1" t="n">
        <v>45208</v>
      </c>
      <c r="C956" s="1" t="n">
        <v>46192</v>
      </c>
      <c r="D956" t="inlineStr">
        <is>
          <t>STOCKHOLMS LÄN</t>
        </is>
      </c>
      <c r="E956" t="inlineStr">
        <is>
          <t>NORRTÄLJE</t>
        </is>
      </c>
      <c r="G956" t="n">
        <v>3.3</v>
      </c>
      <c r="H956" t="n">
        <v>0</v>
      </c>
      <c r="I956" t="n">
        <v>0</v>
      </c>
      <c r="J956" t="n">
        <v>0</v>
      </c>
      <c r="K956" t="n">
        <v>0</v>
      </c>
      <c r="L956" t="n">
        <v>0</v>
      </c>
      <c r="M956" t="n">
        <v>0</v>
      </c>
      <c r="N956" t="n">
        <v>0</v>
      </c>
      <c r="O956" t="n">
        <v>0</v>
      </c>
      <c r="P956" t="n">
        <v>0</v>
      </c>
      <c r="Q956" t="n">
        <v>0</v>
      </c>
      <c r="R956" s="2" t="inlineStr"/>
    </row>
    <row r="957" ht="15" customHeight="1">
      <c r="A957" t="inlineStr">
        <is>
          <t>A 26083-2026</t>
        </is>
      </c>
      <c r="B957" s="1" t="n">
        <v>46181</v>
      </c>
      <c r="C957" s="1" t="n">
        <v>46192</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39669-2024</t>
        </is>
      </c>
      <c r="B958" s="1" t="n">
        <v>45552</v>
      </c>
      <c r="C958" s="1" t="n">
        <v>46192</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41966-2025</t>
        </is>
      </c>
      <c r="B959" s="1" t="n">
        <v>45903</v>
      </c>
      <c r="C959" s="1" t="n">
        <v>46192</v>
      </c>
      <c r="D959" t="inlineStr">
        <is>
          <t>STOCKHOLMS LÄN</t>
        </is>
      </c>
      <c r="E959" t="inlineStr">
        <is>
          <t>NORRTÄLJE</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32094-2025</t>
        </is>
      </c>
      <c r="B960" s="1" t="n">
        <v>45835</v>
      </c>
      <c r="C960" s="1" t="n">
        <v>46192</v>
      </c>
      <c r="D960" t="inlineStr">
        <is>
          <t>STOCKHOLMS LÄN</t>
        </is>
      </c>
      <c r="E960" t="inlineStr">
        <is>
          <t>NORRTÄLJE</t>
        </is>
      </c>
      <c r="F960" t="inlineStr">
        <is>
          <t>Holmen skog AB</t>
        </is>
      </c>
      <c r="G960" t="n">
        <v>2.9</v>
      </c>
      <c r="H960" t="n">
        <v>0</v>
      </c>
      <c r="I960" t="n">
        <v>0</v>
      </c>
      <c r="J960" t="n">
        <v>0</v>
      </c>
      <c r="K960" t="n">
        <v>0</v>
      </c>
      <c r="L960" t="n">
        <v>0</v>
      </c>
      <c r="M960" t="n">
        <v>0</v>
      </c>
      <c r="N960" t="n">
        <v>0</v>
      </c>
      <c r="O960" t="n">
        <v>0</v>
      </c>
      <c r="P960" t="n">
        <v>0</v>
      </c>
      <c r="Q960" t="n">
        <v>0</v>
      </c>
      <c r="R960" s="2" t="inlineStr"/>
    </row>
    <row r="961" ht="15" customHeight="1">
      <c r="A961" t="inlineStr">
        <is>
          <t>A 7806-2025</t>
        </is>
      </c>
      <c r="B961" s="1" t="n">
        <v>45706</v>
      </c>
      <c r="C961" s="1" t="n">
        <v>46192</v>
      </c>
      <c r="D961" t="inlineStr">
        <is>
          <t>STOCKHOLMS LÄN</t>
        </is>
      </c>
      <c r="E961" t="inlineStr">
        <is>
          <t>NORRTÄLJE</t>
        </is>
      </c>
      <c r="F961" t="inlineStr">
        <is>
          <t>Holmen skog AB</t>
        </is>
      </c>
      <c r="G961" t="n">
        <v>3.5</v>
      </c>
      <c r="H961" t="n">
        <v>0</v>
      </c>
      <c r="I961" t="n">
        <v>0</v>
      </c>
      <c r="J961" t="n">
        <v>0</v>
      </c>
      <c r="K961" t="n">
        <v>0</v>
      </c>
      <c r="L961" t="n">
        <v>0</v>
      </c>
      <c r="M961" t="n">
        <v>0</v>
      </c>
      <c r="N961" t="n">
        <v>0</v>
      </c>
      <c r="O961" t="n">
        <v>0</v>
      </c>
      <c r="P961" t="n">
        <v>0</v>
      </c>
      <c r="Q961" t="n">
        <v>0</v>
      </c>
      <c r="R961" s="2" t="inlineStr"/>
    </row>
    <row r="962" ht="15" customHeight="1">
      <c r="A962" t="inlineStr">
        <is>
          <t>A 25697-2026</t>
        </is>
      </c>
      <c r="B962" s="1" t="n">
        <v>46178</v>
      </c>
      <c r="C962" s="1" t="n">
        <v>46192</v>
      </c>
      <c r="D962" t="inlineStr">
        <is>
          <t>STOCKHOLMS LÄN</t>
        </is>
      </c>
      <c r="E962" t="inlineStr">
        <is>
          <t>NORRTÄLJE</t>
        </is>
      </c>
      <c r="G962" t="n">
        <v>4.6</v>
      </c>
      <c r="H962" t="n">
        <v>0</v>
      </c>
      <c r="I962" t="n">
        <v>0</v>
      </c>
      <c r="J962" t="n">
        <v>0</v>
      </c>
      <c r="K962" t="n">
        <v>0</v>
      </c>
      <c r="L962" t="n">
        <v>0</v>
      </c>
      <c r="M962" t="n">
        <v>0</v>
      </c>
      <c r="N962" t="n">
        <v>0</v>
      </c>
      <c r="O962" t="n">
        <v>0</v>
      </c>
      <c r="P962" t="n">
        <v>0</v>
      </c>
      <c r="Q962" t="n">
        <v>0</v>
      </c>
      <c r="R962" s="2" t="inlineStr"/>
    </row>
    <row r="963" ht="15" customHeight="1">
      <c r="A963" t="inlineStr">
        <is>
          <t>A 8792-2025</t>
        </is>
      </c>
      <c r="B963" s="1" t="n">
        <v>45712</v>
      </c>
      <c r="C963" s="1" t="n">
        <v>46192</v>
      </c>
      <c r="D963" t="inlineStr">
        <is>
          <t>STOCKHOLMS LÄN</t>
        </is>
      </c>
      <c r="E963" t="inlineStr">
        <is>
          <t>NORRTÄLJE</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43170-2023</t>
        </is>
      </c>
      <c r="B964" s="1" t="n">
        <v>45183</v>
      </c>
      <c r="C964" s="1" t="n">
        <v>46192</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9-2024</t>
        </is>
      </c>
      <c r="B965" s="1" t="n">
        <v>45293</v>
      </c>
      <c r="C965" s="1" t="n">
        <v>46192</v>
      </c>
      <c r="D965" t="inlineStr">
        <is>
          <t>STOCKHOLMS LÄN</t>
        </is>
      </c>
      <c r="E965" t="inlineStr">
        <is>
          <t>NORRTÄLJE</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16913-2025</t>
        </is>
      </c>
      <c r="B966" s="1" t="n">
        <v>45755</v>
      </c>
      <c r="C966" s="1" t="n">
        <v>46192</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4035-2023</t>
        </is>
      </c>
      <c r="B967" s="1" t="n">
        <v>44952</v>
      </c>
      <c r="C967" s="1" t="n">
        <v>46192</v>
      </c>
      <c r="D967" t="inlineStr">
        <is>
          <t>STOCKHOLMS LÄN</t>
        </is>
      </c>
      <c r="E967" t="inlineStr">
        <is>
          <t>NORRTÄLJE</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33793-2022</t>
        </is>
      </c>
      <c r="B968" s="1" t="n">
        <v>44790</v>
      </c>
      <c r="C968" s="1" t="n">
        <v>46192</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53600-2022</t>
        </is>
      </c>
      <c r="B969" s="1" t="n">
        <v>44879</v>
      </c>
      <c r="C969" s="1" t="n">
        <v>46192</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13-2024</t>
        </is>
      </c>
      <c r="B970" s="1" t="n">
        <v>45293</v>
      </c>
      <c r="C970" s="1" t="n">
        <v>46192</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19-2024</t>
        </is>
      </c>
      <c r="B971" s="1" t="n">
        <v>45293</v>
      </c>
      <c r="C971" s="1" t="n">
        <v>46192</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31559-2022</t>
        </is>
      </c>
      <c r="B972" s="1" t="n">
        <v>44775</v>
      </c>
      <c r="C972" s="1" t="n">
        <v>46192</v>
      </c>
      <c r="D972" t="inlineStr">
        <is>
          <t>STOCKHOLMS LÄN</t>
        </is>
      </c>
      <c r="E972" t="inlineStr">
        <is>
          <t>NORRTÄLJE</t>
        </is>
      </c>
      <c r="G972" t="n">
        <v>5.6</v>
      </c>
      <c r="H972" t="n">
        <v>0</v>
      </c>
      <c r="I972" t="n">
        <v>0</v>
      </c>
      <c r="J972" t="n">
        <v>0</v>
      </c>
      <c r="K972" t="n">
        <v>0</v>
      </c>
      <c r="L972" t="n">
        <v>0</v>
      </c>
      <c r="M972" t="n">
        <v>0</v>
      </c>
      <c r="N972" t="n">
        <v>0</v>
      </c>
      <c r="O972" t="n">
        <v>0</v>
      </c>
      <c r="P972" t="n">
        <v>0</v>
      </c>
      <c r="Q972" t="n">
        <v>0</v>
      </c>
      <c r="R972" s="2" t="inlineStr"/>
    </row>
    <row r="973" ht="15" customHeight="1">
      <c r="A973" t="inlineStr">
        <is>
          <t>A 24351-2025</t>
        </is>
      </c>
      <c r="B973" s="1" t="n">
        <v>45797</v>
      </c>
      <c r="C973" s="1" t="n">
        <v>46192</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27806-2025</t>
        </is>
      </c>
      <c r="B974" s="1" t="n">
        <v>45817</v>
      </c>
      <c r="C974" s="1" t="n">
        <v>46192</v>
      </c>
      <c r="D974" t="inlineStr">
        <is>
          <t>STOCKHOLMS LÄN</t>
        </is>
      </c>
      <c r="E974" t="inlineStr">
        <is>
          <t>NORRTÄLJE</t>
        </is>
      </c>
      <c r="G974" t="n">
        <v>3</v>
      </c>
      <c r="H974" t="n">
        <v>0</v>
      </c>
      <c r="I974" t="n">
        <v>0</v>
      </c>
      <c r="J974" t="n">
        <v>0</v>
      </c>
      <c r="K974" t="n">
        <v>0</v>
      </c>
      <c r="L974" t="n">
        <v>0</v>
      </c>
      <c r="M974" t="n">
        <v>0</v>
      </c>
      <c r="N974" t="n">
        <v>0</v>
      </c>
      <c r="O974" t="n">
        <v>0</v>
      </c>
      <c r="P974" t="n">
        <v>0</v>
      </c>
      <c r="Q974" t="n">
        <v>0</v>
      </c>
      <c r="R974" s="2" t="inlineStr"/>
    </row>
    <row r="975" ht="15" customHeight="1">
      <c r="A975" t="inlineStr">
        <is>
          <t>A 58989-2021</t>
        </is>
      </c>
      <c r="B975" s="1" t="n">
        <v>44490</v>
      </c>
      <c r="C975" s="1" t="n">
        <v>46192</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13314-2025</t>
        </is>
      </c>
      <c r="B976" s="1" t="n">
        <v>45735</v>
      </c>
      <c r="C976" s="1" t="n">
        <v>46192</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46988-2024</t>
        </is>
      </c>
      <c r="B977" s="1" t="n">
        <v>45586</v>
      </c>
      <c r="C977" s="1" t="n">
        <v>46192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13701-2022</t>
        </is>
      </c>
      <c r="B978" s="1" t="n">
        <v>44648</v>
      </c>
      <c r="C978" s="1" t="n">
        <v>46192</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6678-2025</t>
        </is>
      </c>
      <c r="B979" s="1" t="n">
        <v>45700</v>
      </c>
      <c r="C979" s="1" t="n">
        <v>46192</v>
      </c>
      <c r="D979" t="inlineStr">
        <is>
          <t>STOCKHOLMS LÄN</t>
        </is>
      </c>
      <c r="E979" t="inlineStr">
        <is>
          <t>NORRTÄLJE</t>
        </is>
      </c>
      <c r="F979" t="inlineStr">
        <is>
          <t>Övriga Aktiebolag</t>
        </is>
      </c>
      <c r="G979" t="n">
        <v>6.6</v>
      </c>
      <c r="H979" t="n">
        <v>0</v>
      </c>
      <c r="I979" t="n">
        <v>0</v>
      </c>
      <c r="J979" t="n">
        <v>0</v>
      </c>
      <c r="K979" t="n">
        <v>0</v>
      </c>
      <c r="L979" t="n">
        <v>0</v>
      </c>
      <c r="M979" t="n">
        <v>0</v>
      </c>
      <c r="N979" t="n">
        <v>0</v>
      </c>
      <c r="O979" t="n">
        <v>0</v>
      </c>
      <c r="P979" t="n">
        <v>0</v>
      </c>
      <c r="Q979" t="n">
        <v>0</v>
      </c>
      <c r="R979" s="2" t="inlineStr"/>
    </row>
    <row r="980" ht="15" customHeight="1">
      <c r="A980" t="inlineStr">
        <is>
          <t>A 1283-2025</t>
        </is>
      </c>
      <c r="B980" s="1" t="n">
        <v>45667</v>
      </c>
      <c r="C980" s="1" t="n">
        <v>46192</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25968-2026</t>
        </is>
      </c>
      <c r="B981" s="1" t="n">
        <v>46181</v>
      </c>
      <c r="C981" s="1" t="n">
        <v>46192</v>
      </c>
      <c r="D981" t="inlineStr">
        <is>
          <t>STOCKHOLMS LÄN</t>
        </is>
      </c>
      <c r="E981" t="inlineStr">
        <is>
          <t>NORRTÄLJE</t>
        </is>
      </c>
      <c r="F981" t="inlineStr">
        <is>
          <t>Kyrkan</t>
        </is>
      </c>
      <c r="G981" t="n">
        <v>3.6</v>
      </c>
      <c r="H981" t="n">
        <v>0</v>
      </c>
      <c r="I981" t="n">
        <v>0</v>
      </c>
      <c r="J981" t="n">
        <v>0</v>
      </c>
      <c r="K981" t="n">
        <v>0</v>
      </c>
      <c r="L981" t="n">
        <v>0</v>
      </c>
      <c r="M981" t="n">
        <v>0</v>
      </c>
      <c r="N981" t="n">
        <v>0</v>
      </c>
      <c r="O981" t="n">
        <v>0</v>
      </c>
      <c r="P981" t="n">
        <v>0</v>
      </c>
      <c r="Q981" t="n">
        <v>0</v>
      </c>
      <c r="R981" s="2" t="inlineStr"/>
    </row>
    <row r="982" ht="15" customHeight="1">
      <c r="A982" t="inlineStr">
        <is>
          <t>A 14132-2025</t>
        </is>
      </c>
      <c r="B982" s="1" t="n">
        <v>45740</v>
      </c>
      <c r="C982" s="1" t="n">
        <v>46192</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14133-2025</t>
        </is>
      </c>
      <c r="B983" s="1" t="n">
        <v>45740</v>
      </c>
      <c r="C983" s="1" t="n">
        <v>46192</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24887-2023</t>
        </is>
      </c>
      <c r="B984" s="1" t="n">
        <v>45085</v>
      </c>
      <c r="C984" s="1" t="n">
        <v>46192</v>
      </c>
      <c r="D984" t="inlineStr">
        <is>
          <t>STOCKHOLMS LÄN</t>
        </is>
      </c>
      <c r="E984" t="inlineStr">
        <is>
          <t>NORRTÄLJE</t>
        </is>
      </c>
      <c r="G984" t="n">
        <v>13.9</v>
      </c>
      <c r="H984" t="n">
        <v>0</v>
      </c>
      <c r="I984" t="n">
        <v>0</v>
      </c>
      <c r="J984" t="n">
        <v>0</v>
      </c>
      <c r="K984" t="n">
        <v>0</v>
      </c>
      <c r="L984" t="n">
        <v>0</v>
      </c>
      <c r="M984" t="n">
        <v>0</v>
      </c>
      <c r="N984" t="n">
        <v>0</v>
      </c>
      <c r="O984" t="n">
        <v>0</v>
      </c>
      <c r="P984" t="n">
        <v>0</v>
      </c>
      <c r="Q984" t="n">
        <v>0</v>
      </c>
      <c r="R984" s="2" t="inlineStr"/>
    </row>
    <row r="985" ht="15" customHeight="1">
      <c r="A985" t="inlineStr">
        <is>
          <t>A 4326-2023</t>
        </is>
      </c>
      <c r="B985" s="1" t="n">
        <v>44953</v>
      </c>
      <c r="C985" s="1" t="n">
        <v>46192</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37628-2025</t>
        </is>
      </c>
      <c r="B986" s="1" t="n">
        <v>45880</v>
      </c>
      <c r="C986" s="1" t="n">
        <v>46192</v>
      </c>
      <c r="D986" t="inlineStr">
        <is>
          <t>STOCKHOLMS LÄN</t>
        </is>
      </c>
      <c r="E986" t="inlineStr">
        <is>
          <t>NORRTÄLJE</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32122-2025</t>
        </is>
      </c>
      <c r="B987" s="1" t="n">
        <v>45835</v>
      </c>
      <c r="C987" s="1" t="n">
        <v>46192</v>
      </c>
      <c r="D987" t="inlineStr">
        <is>
          <t>STOCKHOLMS LÄN</t>
        </is>
      </c>
      <c r="E987" t="inlineStr">
        <is>
          <t>NORRTÄLJE</t>
        </is>
      </c>
      <c r="F987" t="inlineStr">
        <is>
          <t>Holmen skog AB</t>
        </is>
      </c>
      <c r="G987" t="n">
        <v>1.9</v>
      </c>
      <c r="H987" t="n">
        <v>0</v>
      </c>
      <c r="I987" t="n">
        <v>0</v>
      </c>
      <c r="J987" t="n">
        <v>0</v>
      </c>
      <c r="K987" t="n">
        <v>0</v>
      </c>
      <c r="L987" t="n">
        <v>0</v>
      </c>
      <c r="M987" t="n">
        <v>0</v>
      </c>
      <c r="N987" t="n">
        <v>0</v>
      </c>
      <c r="O987" t="n">
        <v>0</v>
      </c>
      <c r="P987" t="n">
        <v>0</v>
      </c>
      <c r="Q987" t="n">
        <v>0</v>
      </c>
      <c r="R987" s="2" t="inlineStr"/>
    </row>
    <row r="988" ht="15" customHeight="1">
      <c r="A988" t="inlineStr">
        <is>
          <t>A 30221-2024</t>
        </is>
      </c>
      <c r="B988" s="1" t="n">
        <v>45490</v>
      </c>
      <c r="C988" s="1" t="n">
        <v>46192</v>
      </c>
      <c r="D988" t="inlineStr">
        <is>
          <t>STOCKHOLMS LÄN</t>
        </is>
      </c>
      <c r="E988" t="inlineStr">
        <is>
          <t>NORRTÄLJE</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27813-2025</t>
        </is>
      </c>
      <c r="B989" s="1" t="n">
        <v>45817</v>
      </c>
      <c r="C989" s="1" t="n">
        <v>46192</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59534-2024</t>
        </is>
      </c>
      <c r="B990" s="1" t="n">
        <v>45638</v>
      </c>
      <c r="C990" s="1" t="n">
        <v>46192</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27554-2025</t>
        </is>
      </c>
      <c r="B991" s="1" t="n">
        <v>45813</v>
      </c>
      <c r="C991" s="1" t="n">
        <v>46192</v>
      </c>
      <c r="D991" t="inlineStr">
        <is>
          <t>STOCKHOLMS LÄN</t>
        </is>
      </c>
      <c r="E991" t="inlineStr">
        <is>
          <t>NORRTÄLJE</t>
        </is>
      </c>
      <c r="F991" t="inlineStr">
        <is>
          <t>Övriga Aktiebolag</t>
        </is>
      </c>
      <c r="G991" t="n">
        <v>2.5</v>
      </c>
      <c r="H991" t="n">
        <v>0</v>
      </c>
      <c r="I991" t="n">
        <v>0</v>
      </c>
      <c r="J991" t="n">
        <v>0</v>
      </c>
      <c r="K991" t="n">
        <v>0</v>
      </c>
      <c r="L991" t="n">
        <v>0</v>
      </c>
      <c r="M991" t="n">
        <v>0</v>
      </c>
      <c r="N991" t="n">
        <v>0</v>
      </c>
      <c r="O991" t="n">
        <v>0</v>
      </c>
      <c r="P991" t="n">
        <v>0</v>
      </c>
      <c r="Q991" t="n">
        <v>0</v>
      </c>
      <c r="R991" s="2" t="inlineStr"/>
    </row>
    <row r="992" ht="15" customHeight="1">
      <c r="A992" t="inlineStr">
        <is>
          <t>A 26416-2026</t>
        </is>
      </c>
      <c r="B992" s="1" t="n">
        <v>46183</v>
      </c>
      <c r="C992" s="1" t="n">
        <v>46192</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25733-2025</t>
        </is>
      </c>
      <c r="B993" s="1" t="n">
        <v>45800</v>
      </c>
      <c r="C993" s="1" t="n">
        <v>46192</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26557-2026</t>
        </is>
      </c>
      <c r="B994" s="1" t="n">
        <v>46183</v>
      </c>
      <c r="C994" s="1" t="n">
        <v>46192</v>
      </c>
      <c r="D994" t="inlineStr">
        <is>
          <t>STOCKHOLMS LÄN</t>
        </is>
      </c>
      <c r="E994" t="inlineStr">
        <is>
          <t>NORRTÄLJE</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26210-2026</t>
        </is>
      </c>
      <c r="B995" s="1" t="n">
        <v>46182</v>
      </c>
      <c r="C995" s="1" t="n">
        <v>46192</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26406-2026</t>
        </is>
      </c>
      <c r="B996" s="1" t="n">
        <v>46183</v>
      </c>
      <c r="C996" s="1" t="n">
        <v>46192</v>
      </c>
      <c r="D996" t="inlineStr">
        <is>
          <t>STOCKHOLMS LÄN</t>
        </is>
      </c>
      <c r="E996" t="inlineStr">
        <is>
          <t>NORRTÄLJE</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26408-2026</t>
        </is>
      </c>
      <c r="B997" s="1" t="n">
        <v>46183</v>
      </c>
      <c r="C997" s="1" t="n">
        <v>46192</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27422-2026</t>
        </is>
      </c>
      <c r="B998" s="1" t="n">
        <v>46189</v>
      </c>
      <c r="C998" s="1" t="n">
        <v>46192</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27179-2026</t>
        </is>
      </c>
      <c r="B999" s="1" t="n">
        <v>46188</v>
      </c>
      <c r="C999" s="1" t="n">
        <v>46192</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27181-2026</t>
        </is>
      </c>
      <c r="B1000" s="1" t="n">
        <v>46188</v>
      </c>
      <c r="C1000" s="1" t="n">
        <v>46192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27187-2026</t>
        </is>
      </c>
      <c r="B1001" s="1" t="n">
        <v>46188</v>
      </c>
      <c r="C1001" s="1" t="n">
        <v>46192</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27764-2026</t>
        </is>
      </c>
      <c r="B1002" s="1" t="n">
        <v>46191</v>
      </c>
      <c r="C1002" s="1" t="n">
        <v>46192</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27767-2026</t>
        </is>
      </c>
      <c r="B1003" s="1" t="n">
        <v>46191</v>
      </c>
      <c r="C1003" s="1" t="n">
        <v>46192</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21753-2026</t>
        </is>
      </c>
      <c r="B1004" s="1" t="n">
        <v>46149</v>
      </c>
      <c r="C1004" s="1" t="n">
        <v>46192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c r="A1005" t="inlineStr">
        <is>
          <t>A 27760-2026</t>
        </is>
      </c>
      <c r="B1005" s="1" t="n">
        <v>46191</v>
      </c>
      <c r="C1005" s="1" t="n">
        <v>46192</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2026-06-19T00:47:22Z</dcterms:created>
  <dcterms:modified xmlns:dcterms="http://purl.org/dc/terms/" xmlns:xsi="http://www.w3.org/2001/XMLSchema-instance" xsi:type="dcterms:W3CDTF">2026-06-19T00:47:23Z</dcterms:modified>
</cp:coreProperties>
</file>