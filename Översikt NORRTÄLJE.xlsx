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46167</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46167</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46167</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46167</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46167</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46167</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46167</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46167</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46167</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46167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17645-2026</t>
        </is>
      </c>
      <c r="B17" s="1" t="n">
        <v>46121.51921296296</v>
      </c>
      <c r="C17" s="1" t="n">
        <v>46167</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56792-2025</t>
        </is>
      </c>
      <c r="B18" s="1" t="n">
        <v>45978</v>
      </c>
      <c r="C18" s="1" t="n">
        <v>46167</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46167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46167</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46167</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46167</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46167</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46167</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46167</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46167</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46167</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46167</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46167</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46167</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46167</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46167</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46167</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46167</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46167</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46167</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46167</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46167</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46167</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46167</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46167</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46167</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46167</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46167</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46167</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46107.66046296297</v>
      </c>
      <c r="C46" s="1" t="n">
        <v>46167</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46167</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46167</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46167</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34521-2025</t>
        </is>
      </c>
      <c r="B50" s="1" t="n">
        <v>45847.47052083333</v>
      </c>
      <c r="C50" s="1" t="n">
        <v>46167</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41276-2025</t>
        </is>
      </c>
      <c r="B51" s="1" t="n">
        <v>45898.62723379629</v>
      </c>
      <c r="C51" s="1" t="n">
        <v>46167</v>
      </c>
      <c r="D51" t="inlineStr">
        <is>
          <t>STOCKHOLMS LÄN</t>
        </is>
      </c>
      <c r="E51" t="inlineStr">
        <is>
          <t>NORRTÄLJE</t>
        </is>
      </c>
      <c r="G51" t="n">
        <v>3.2</v>
      </c>
      <c r="H51" t="n">
        <v>1</v>
      </c>
      <c r="I51" t="n">
        <v>2</v>
      </c>
      <c r="J51" t="n">
        <v>0</v>
      </c>
      <c r="K51" t="n">
        <v>0</v>
      </c>
      <c r="L51" t="n">
        <v>1</v>
      </c>
      <c r="M51" t="n">
        <v>0</v>
      </c>
      <c r="N51" t="n">
        <v>0</v>
      </c>
      <c r="O51" t="n">
        <v>1</v>
      </c>
      <c r="P51" t="n">
        <v>1</v>
      </c>
      <c r="Q51" t="n">
        <v>4</v>
      </c>
      <c r="R51" s="2" t="inlineStr">
        <is>
          <t>Ask
Underviol
Vårärt
Blåsippa</t>
        </is>
      </c>
      <c r="S51">
        <f>HYPERLINK("https://klasma.github.io/Logging_0188/artfynd/A 41276-2025 artfynd.xlsx", "A 41276-2025")</f>
        <v/>
      </c>
      <c r="T51">
        <f>HYPERLINK("https://klasma.github.io/Logging_0188/kartor/A 41276-2025 karta.png", "A 41276-2025")</f>
        <v/>
      </c>
      <c r="V51">
        <f>HYPERLINK("https://klasma.github.io/Logging_0188/klagomål/A 41276-2025 FSC-klagomål.docx", "A 41276-2025")</f>
        <v/>
      </c>
      <c r="W51">
        <f>HYPERLINK("https://klasma.github.io/Logging_0188/klagomålsmail/A 41276-2025 FSC-klagomål mail.docx", "A 41276-2025")</f>
        <v/>
      </c>
      <c r="X51">
        <f>HYPERLINK("https://klasma.github.io/Logging_0188/tillsyn/A 41276-2025 tillsynsbegäran.docx", "A 41276-2025")</f>
        <v/>
      </c>
      <c r="Y51">
        <f>HYPERLINK("https://klasma.github.io/Logging_0188/tillsynsmail/A 41276-2025 tillsynsbegäran mail.docx", "A 41276-2025")</f>
        <v/>
      </c>
    </row>
    <row r="52" ht="15" customHeight="1">
      <c r="A52" t="inlineStr">
        <is>
          <t>A 10876-2025</t>
        </is>
      </c>
      <c r="B52" s="1" t="n">
        <v>45722</v>
      </c>
      <c r="C52" s="1" t="n">
        <v>46167</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46167</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44709-2022</t>
        </is>
      </c>
      <c r="B54" s="1" t="n">
        <v>44839</v>
      </c>
      <c r="C54" s="1" t="n">
        <v>46167</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46167</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46167</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45113-2022</t>
        </is>
      </c>
      <c r="B57" s="1" t="n">
        <v>44843</v>
      </c>
      <c r="C57" s="1" t="n">
        <v>46167</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46167</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46167</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34524-2025</t>
        </is>
      </c>
      <c r="B60" s="1" t="n">
        <v>45847.47685185185</v>
      </c>
      <c r="C60" s="1" t="n">
        <v>46167</v>
      </c>
      <c r="D60" t="inlineStr">
        <is>
          <t>STOCKHOLMS LÄN</t>
        </is>
      </c>
      <c r="E60" t="inlineStr">
        <is>
          <t>NORRTÄLJE</t>
        </is>
      </c>
      <c r="G60" t="n">
        <v>3.3</v>
      </c>
      <c r="H60" t="n">
        <v>0</v>
      </c>
      <c r="I60" t="n">
        <v>1</v>
      </c>
      <c r="J60" t="n">
        <v>2</v>
      </c>
      <c r="K60" t="n">
        <v>0</v>
      </c>
      <c r="L60" t="n">
        <v>0</v>
      </c>
      <c r="M60" t="n">
        <v>0</v>
      </c>
      <c r="N60" t="n">
        <v>0</v>
      </c>
      <c r="O60" t="n">
        <v>2</v>
      </c>
      <c r="P60" t="n">
        <v>0</v>
      </c>
      <c r="Q60" t="n">
        <v>3</v>
      </c>
      <c r="R60" s="2" t="inlineStr">
        <is>
          <t>Tallticka
Vedtrappmossa
Kornknutmossa</t>
        </is>
      </c>
      <c r="S60">
        <f>HYPERLINK("https://klasma.github.io/Logging_0188/artfynd/A 34524-2025 artfynd.xlsx", "A 34524-2025")</f>
        <v/>
      </c>
      <c r="T60">
        <f>HYPERLINK("https://klasma.github.io/Logging_0188/kartor/A 34524-2025 karta.png", "A 34524-2025")</f>
        <v/>
      </c>
      <c r="V60">
        <f>HYPERLINK("https://klasma.github.io/Logging_0188/klagomål/A 34524-2025 FSC-klagomål.docx", "A 34524-2025")</f>
        <v/>
      </c>
      <c r="W60">
        <f>HYPERLINK("https://klasma.github.io/Logging_0188/klagomålsmail/A 34524-2025 FSC-klagomål mail.docx", "A 34524-2025")</f>
        <v/>
      </c>
      <c r="X60">
        <f>HYPERLINK("https://klasma.github.io/Logging_0188/tillsyn/A 34524-2025 tillsynsbegäran.docx", "A 34524-2025")</f>
        <v/>
      </c>
      <c r="Y60">
        <f>HYPERLINK("https://klasma.github.io/Logging_0188/tillsynsmail/A 34524-2025 tillsynsbegäran mail.docx", "A 34524-2025")</f>
        <v/>
      </c>
    </row>
    <row r="61" ht="15" customHeight="1">
      <c r="A61" t="inlineStr">
        <is>
          <t>A 11031-2025</t>
        </is>
      </c>
      <c r="B61" s="1" t="n">
        <v>45723</v>
      </c>
      <c r="C61" s="1" t="n">
        <v>46167</v>
      </c>
      <c r="D61" t="inlineStr">
        <is>
          <t>STOCKHOLMS LÄN</t>
        </is>
      </c>
      <c r="E61" t="inlineStr">
        <is>
          <t>NORRTÄLJE</t>
        </is>
      </c>
      <c r="F61" t="inlineStr">
        <is>
          <t>Övriga Aktiebolag</t>
        </is>
      </c>
      <c r="G61" t="n">
        <v>13.2</v>
      </c>
      <c r="H61" t="n">
        <v>2</v>
      </c>
      <c r="I61" t="n">
        <v>0</v>
      </c>
      <c r="J61" t="n">
        <v>2</v>
      </c>
      <c r="K61" t="n">
        <v>0</v>
      </c>
      <c r="L61" t="n">
        <v>0</v>
      </c>
      <c r="M61" t="n">
        <v>0</v>
      </c>
      <c r="N61" t="n">
        <v>0</v>
      </c>
      <c r="O61" t="n">
        <v>2</v>
      </c>
      <c r="P61" t="n">
        <v>0</v>
      </c>
      <c r="Q61" t="n">
        <v>3</v>
      </c>
      <c r="R61" s="2" t="inlineStr">
        <is>
          <t>Järpe
Ullticka
Vanlig snok</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2851-2023</t>
        </is>
      </c>
      <c r="B62" s="1" t="n">
        <v>44945</v>
      </c>
      <c r="C62" s="1" t="n">
        <v>46167</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22190-2024</t>
        </is>
      </c>
      <c r="B63" s="1" t="n">
        <v>45446.35888888889</v>
      </c>
      <c r="C63" s="1" t="n">
        <v>46167</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52726-2025</t>
        </is>
      </c>
      <c r="B64" s="1" t="n">
        <v>45957.34722222222</v>
      </c>
      <c r="C64" s="1" t="n">
        <v>46167</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27870-2022</t>
        </is>
      </c>
      <c r="B65" s="1" t="n">
        <v>44743.64592592593</v>
      </c>
      <c r="C65" s="1" t="n">
        <v>46167</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50618-2022</t>
        </is>
      </c>
      <c r="B66" s="1" t="n">
        <v>44866</v>
      </c>
      <c r="C66" s="1" t="n">
        <v>46167</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46167</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46167</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46167</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46167</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52133-2022</t>
        </is>
      </c>
      <c r="B71" s="1" t="n">
        <v>44868</v>
      </c>
      <c r="C71" s="1" t="n">
        <v>46167</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46167</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46167</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46167</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46167</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23548-2026</t>
        </is>
      </c>
      <c r="B76" s="1" t="n">
        <v>46163.57045138889</v>
      </c>
      <c r="C76" s="1" t="n">
        <v>46167</v>
      </c>
      <c r="D76" t="inlineStr">
        <is>
          <t>STOCKHOLMS LÄN</t>
        </is>
      </c>
      <c r="E76" t="inlineStr">
        <is>
          <t>NORRTÄLJE</t>
        </is>
      </c>
      <c r="G76" t="n">
        <v>2.3</v>
      </c>
      <c r="H76" t="n">
        <v>2</v>
      </c>
      <c r="I76" t="n">
        <v>0</v>
      </c>
      <c r="J76" t="n">
        <v>0</v>
      </c>
      <c r="K76" t="n">
        <v>0</v>
      </c>
      <c r="L76" t="n">
        <v>0</v>
      </c>
      <c r="M76" t="n">
        <v>0</v>
      </c>
      <c r="N76" t="n">
        <v>0</v>
      </c>
      <c r="O76" t="n">
        <v>0</v>
      </c>
      <c r="P76" t="n">
        <v>0</v>
      </c>
      <c r="Q76" t="n">
        <v>2</v>
      </c>
      <c r="R76" s="2" t="inlineStr">
        <is>
          <t>Nattviol × grönvit nattviol
Ängsnattviol × grönvit nattviol</t>
        </is>
      </c>
      <c r="S76">
        <f>HYPERLINK("https://klasma.github.io/Logging_0188/artfynd/A 23548-2026 artfynd.xlsx", "A 23548-2026")</f>
        <v/>
      </c>
      <c r="T76">
        <f>HYPERLINK("https://klasma.github.io/Logging_0188/kartor/A 23548-2026 karta.png", "A 23548-2026")</f>
        <v/>
      </c>
      <c r="V76">
        <f>HYPERLINK("https://klasma.github.io/Logging_0188/klagomål/A 23548-2026 FSC-klagomål.docx", "A 23548-2026")</f>
        <v/>
      </c>
      <c r="W76">
        <f>HYPERLINK("https://klasma.github.io/Logging_0188/klagomålsmail/A 23548-2026 FSC-klagomål mail.docx", "A 23548-2026")</f>
        <v/>
      </c>
      <c r="X76">
        <f>HYPERLINK("https://klasma.github.io/Logging_0188/tillsyn/A 23548-2026 tillsynsbegäran.docx", "A 23548-2026")</f>
        <v/>
      </c>
      <c r="Y76">
        <f>HYPERLINK("https://klasma.github.io/Logging_0188/tillsynsmail/A 23548-2026 tillsynsbegäran mail.docx", "A 23548-2026")</f>
        <v/>
      </c>
    </row>
    <row r="77" ht="15" customHeight="1">
      <c r="A77" t="inlineStr">
        <is>
          <t>A 50697-2025</t>
        </is>
      </c>
      <c r="B77" s="1" t="n">
        <v>45945.90854166666</v>
      </c>
      <c r="C77" s="1" t="n">
        <v>46167</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17952-2022</t>
        </is>
      </c>
      <c r="B78" s="1" t="n">
        <v>44683</v>
      </c>
      <c r="C78" s="1" t="n">
        <v>46167</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46167</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46167</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46167</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46167</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46167</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53608-2025</t>
        </is>
      </c>
      <c r="B84" s="1" t="n">
        <v>45960</v>
      </c>
      <c r="C84" s="1" t="n">
        <v>46167</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52360-2024</t>
        </is>
      </c>
      <c r="B85" s="1" t="n">
        <v>45609.37094907407</v>
      </c>
      <c r="C85" s="1" t="n">
        <v>46167</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21781-2026</t>
        </is>
      </c>
      <c r="B86" s="1" t="n">
        <v>46150.37699074074</v>
      </c>
      <c r="C86" s="1" t="n">
        <v>46167</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33548-2025</t>
        </is>
      </c>
      <c r="B87" s="1" t="n">
        <v>45841.5721875</v>
      </c>
      <c r="C87" s="1" t="n">
        <v>46167</v>
      </c>
      <c r="D87" t="inlineStr">
        <is>
          <t>STOCKHOLMS LÄN</t>
        </is>
      </c>
      <c r="E87" t="inlineStr">
        <is>
          <t>NORRTÄLJE</t>
        </is>
      </c>
      <c r="G87" t="n">
        <v>12.2</v>
      </c>
      <c r="H87" t="n">
        <v>1</v>
      </c>
      <c r="I87" t="n">
        <v>0</v>
      </c>
      <c r="J87" t="n">
        <v>1</v>
      </c>
      <c r="K87" t="n">
        <v>0</v>
      </c>
      <c r="L87" t="n">
        <v>0</v>
      </c>
      <c r="M87" t="n">
        <v>0</v>
      </c>
      <c r="N87" t="n">
        <v>0</v>
      </c>
      <c r="O87" t="n">
        <v>1</v>
      </c>
      <c r="P87" t="n">
        <v>0</v>
      </c>
      <c r="Q87" t="n">
        <v>2</v>
      </c>
      <c r="R87" s="2" t="inlineStr">
        <is>
          <t>Dofttaggsvamp
Sparvuggla</t>
        </is>
      </c>
      <c r="S87">
        <f>HYPERLINK("https://klasma.github.io/Logging_0188/artfynd/A 33548-2025 artfynd.xlsx", "A 33548-2025")</f>
        <v/>
      </c>
      <c r="T87">
        <f>HYPERLINK("https://klasma.github.io/Logging_0188/kartor/A 33548-2025 karta.png", "A 33548-2025")</f>
        <v/>
      </c>
      <c r="V87">
        <f>HYPERLINK("https://klasma.github.io/Logging_0188/klagomål/A 33548-2025 FSC-klagomål.docx", "A 33548-2025")</f>
        <v/>
      </c>
      <c r="W87">
        <f>HYPERLINK("https://klasma.github.io/Logging_0188/klagomålsmail/A 33548-2025 FSC-klagomål mail.docx", "A 33548-2025")</f>
        <v/>
      </c>
      <c r="X87">
        <f>HYPERLINK("https://klasma.github.io/Logging_0188/tillsyn/A 33548-2025 tillsynsbegäran.docx", "A 33548-2025")</f>
        <v/>
      </c>
      <c r="Y87">
        <f>HYPERLINK("https://klasma.github.io/Logging_0188/tillsynsmail/A 33548-2025 tillsynsbegäran mail.docx", "A 33548-2025")</f>
        <v/>
      </c>
      <c r="Z87">
        <f>HYPERLINK("https://klasma.github.io/Logging_0188/fåglar/A 33548-2025 prioriterade fågelarter.docx", "A 33548-2025")</f>
        <v/>
      </c>
    </row>
    <row r="88" ht="15" customHeight="1">
      <c r="A88" t="inlineStr">
        <is>
          <t>A 1547-2022</t>
        </is>
      </c>
      <c r="B88" s="1" t="n">
        <v>44573</v>
      </c>
      <c r="C88" s="1" t="n">
        <v>46167</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46167</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46167</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46167</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46167</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46167</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46167</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46167</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46167</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4532-2025</t>
        </is>
      </c>
      <c r="B97" s="1" t="n">
        <v>45687.34177083334</v>
      </c>
      <c r="C97" s="1" t="n">
        <v>46167</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35691-2023</t>
        </is>
      </c>
      <c r="B98" s="1" t="n">
        <v>45147.65222222222</v>
      </c>
      <c r="C98" s="1" t="n">
        <v>46167</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46167</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50854-2022</t>
        </is>
      </c>
      <c r="B100" s="1" t="n">
        <v>44863</v>
      </c>
      <c r="C100" s="1" t="n">
        <v>46167</v>
      </c>
      <c r="D100" t="inlineStr">
        <is>
          <t>STOCKHOLMS LÄN</t>
        </is>
      </c>
      <c r="E100" t="inlineStr">
        <is>
          <t>NORRTÄLJE</t>
        </is>
      </c>
      <c r="G100" t="n">
        <v>2.9</v>
      </c>
      <c r="H100" t="n">
        <v>0</v>
      </c>
      <c r="I100" t="n">
        <v>1</v>
      </c>
      <c r="J100" t="n">
        <v>0</v>
      </c>
      <c r="K100" t="n">
        <v>0</v>
      </c>
      <c r="L100" t="n">
        <v>0</v>
      </c>
      <c r="M100" t="n">
        <v>0</v>
      </c>
      <c r="N100" t="n">
        <v>0</v>
      </c>
      <c r="O100" t="n">
        <v>0</v>
      </c>
      <c r="P100" t="n">
        <v>0</v>
      </c>
      <c r="Q100" t="n">
        <v>1</v>
      </c>
      <c r="R100" s="2" t="inlineStr">
        <is>
          <t>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row>
    <row r="101" ht="15" customHeight="1">
      <c r="A101" t="inlineStr">
        <is>
          <t>A 40861-2025</t>
        </is>
      </c>
      <c r="B101" s="1" t="n">
        <v>45897.56356481482</v>
      </c>
      <c r="C101" s="1" t="n">
        <v>46167</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46167</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8371-2025</t>
        </is>
      </c>
      <c r="B103" s="1" t="n">
        <v>45708</v>
      </c>
      <c r="C103" s="1" t="n">
        <v>46167</v>
      </c>
      <c r="D103" t="inlineStr">
        <is>
          <t>STOCKHOLMS LÄN</t>
        </is>
      </c>
      <c r="E103" t="inlineStr">
        <is>
          <t>NORRTÄLJE</t>
        </is>
      </c>
      <c r="F103" t="inlineStr">
        <is>
          <t>Övriga Aktiebolag</t>
        </is>
      </c>
      <c r="G103" t="n">
        <v>2.9</v>
      </c>
      <c r="H103" t="n">
        <v>1</v>
      </c>
      <c r="I103" t="n">
        <v>0</v>
      </c>
      <c r="J103" t="n">
        <v>1</v>
      </c>
      <c r="K103" t="n">
        <v>0</v>
      </c>
      <c r="L103" t="n">
        <v>0</v>
      </c>
      <c r="M103" t="n">
        <v>0</v>
      </c>
      <c r="N103" t="n">
        <v>0</v>
      </c>
      <c r="O103" t="n">
        <v>1</v>
      </c>
      <c r="P103" t="n">
        <v>0</v>
      </c>
      <c r="Q103" t="n">
        <v>1</v>
      </c>
      <c r="R103" s="2" t="inlineStr">
        <is>
          <t>Spillkråka</t>
        </is>
      </c>
      <c r="S103">
        <f>HYPERLINK("https://klasma.github.io/Logging_0188/artfynd/A 8371-2025 artfynd.xlsx", "A 8371-2025")</f>
        <v/>
      </c>
      <c r="T103">
        <f>HYPERLINK("https://klasma.github.io/Logging_0188/kartor/A 8371-2025 karta.png", "A 8371-2025")</f>
        <v/>
      </c>
      <c r="V103">
        <f>HYPERLINK("https://klasma.github.io/Logging_0188/klagomål/A 8371-2025 FSC-klagomål.docx", "A 8371-2025")</f>
        <v/>
      </c>
      <c r="W103">
        <f>HYPERLINK("https://klasma.github.io/Logging_0188/klagomålsmail/A 8371-2025 FSC-klagomål mail.docx", "A 8371-2025")</f>
        <v/>
      </c>
      <c r="X103">
        <f>HYPERLINK("https://klasma.github.io/Logging_0188/tillsyn/A 8371-2025 tillsynsbegäran.docx", "A 8371-2025")</f>
        <v/>
      </c>
      <c r="Y103">
        <f>HYPERLINK("https://klasma.github.io/Logging_0188/tillsynsmail/A 8371-2025 tillsynsbegäran mail.docx", "A 8371-2025")</f>
        <v/>
      </c>
      <c r="Z103">
        <f>HYPERLINK("https://klasma.github.io/Logging_0188/fåglar/A 8371-2025 prioriterade fågelarter.docx", "A 8371-2025")</f>
        <v/>
      </c>
    </row>
    <row r="104" ht="15" customHeight="1">
      <c r="A104" t="inlineStr">
        <is>
          <t>A 26120-2024</t>
        </is>
      </c>
      <c r="B104" s="1" t="n">
        <v>45468.45995370371</v>
      </c>
      <c r="C104" s="1" t="n">
        <v>46167</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42313-2025</t>
        </is>
      </c>
      <c r="B105" s="1" t="n">
        <v>45904.6575</v>
      </c>
      <c r="C105" s="1" t="n">
        <v>46167</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13291-2025</t>
        </is>
      </c>
      <c r="B106" s="1" t="n">
        <v>45735</v>
      </c>
      <c r="C106" s="1" t="n">
        <v>46167</v>
      </c>
      <c r="D106" t="inlineStr">
        <is>
          <t>STOCKHOLMS LÄN</t>
        </is>
      </c>
      <c r="E106" t="inlineStr">
        <is>
          <t>NORRTÄLJE</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HYPERLINK("https://klasma.github.io/Logging_0188/artfynd/A 13291-2025 artfynd.xlsx", "A 13291-2025")</f>
        <v/>
      </c>
      <c r="T106">
        <f>HYPERLINK("https://klasma.github.io/Logging_0188/kartor/A 13291-2025 karta.png", "A 13291-2025")</f>
        <v/>
      </c>
      <c r="V106">
        <f>HYPERLINK("https://klasma.github.io/Logging_0188/klagomål/A 13291-2025 FSC-klagomål.docx", "A 13291-2025")</f>
        <v/>
      </c>
      <c r="W106">
        <f>HYPERLINK("https://klasma.github.io/Logging_0188/klagomålsmail/A 13291-2025 FSC-klagomål mail.docx", "A 13291-2025")</f>
        <v/>
      </c>
      <c r="X106">
        <f>HYPERLINK("https://klasma.github.io/Logging_0188/tillsyn/A 13291-2025 tillsynsbegäran.docx", "A 13291-2025")</f>
        <v/>
      </c>
      <c r="Y106">
        <f>HYPERLINK("https://klasma.github.io/Logging_0188/tillsynsmail/A 13291-2025 tillsynsbegäran mail.docx", "A 13291-2025")</f>
        <v/>
      </c>
    </row>
    <row r="107" ht="15" customHeight="1">
      <c r="A107" t="inlineStr">
        <is>
          <t>A 64456-2023</t>
        </is>
      </c>
      <c r="B107" s="1" t="n">
        <v>45280</v>
      </c>
      <c r="C107" s="1" t="n">
        <v>46167</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39158-2025</t>
        </is>
      </c>
      <c r="B108" s="1" t="n">
        <v>45888</v>
      </c>
      <c r="C108" s="1" t="n">
        <v>46167</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24330-2023</t>
        </is>
      </c>
      <c r="B109" s="1" t="n">
        <v>45081</v>
      </c>
      <c r="C109" s="1" t="n">
        <v>46167</v>
      </c>
      <c r="D109" t="inlineStr">
        <is>
          <t>STOCKHOLMS LÄN</t>
        </is>
      </c>
      <c r="E109" t="inlineStr">
        <is>
          <t>NORRTÄLJE</t>
        </is>
      </c>
      <c r="G109" t="n">
        <v>5</v>
      </c>
      <c r="H109" t="n">
        <v>1</v>
      </c>
      <c r="I109" t="n">
        <v>0</v>
      </c>
      <c r="J109" t="n">
        <v>1</v>
      </c>
      <c r="K109" t="n">
        <v>0</v>
      </c>
      <c r="L109" t="n">
        <v>0</v>
      </c>
      <c r="M109" t="n">
        <v>0</v>
      </c>
      <c r="N109" t="n">
        <v>0</v>
      </c>
      <c r="O109" t="n">
        <v>1</v>
      </c>
      <c r="P109" t="n">
        <v>0</v>
      </c>
      <c r="Q109" t="n">
        <v>1</v>
      </c>
      <c r="R109" s="2" t="inlineStr">
        <is>
          <t>Mindre hackspett</t>
        </is>
      </c>
      <c r="S109">
        <f>HYPERLINK("https://klasma.github.io/Logging_0188/artfynd/A 24330-2023 artfynd.xlsx", "A 24330-2023")</f>
        <v/>
      </c>
      <c r="T109">
        <f>HYPERLINK("https://klasma.github.io/Logging_0188/kartor/A 24330-2023 karta.png", "A 24330-2023")</f>
        <v/>
      </c>
      <c r="V109">
        <f>HYPERLINK("https://klasma.github.io/Logging_0188/klagomål/A 24330-2023 FSC-klagomål.docx", "A 24330-2023")</f>
        <v/>
      </c>
      <c r="W109">
        <f>HYPERLINK("https://klasma.github.io/Logging_0188/klagomålsmail/A 24330-2023 FSC-klagomål mail.docx", "A 24330-2023")</f>
        <v/>
      </c>
      <c r="X109">
        <f>HYPERLINK("https://klasma.github.io/Logging_0188/tillsyn/A 24330-2023 tillsynsbegäran.docx", "A 24330-2023")</f>
        <v/>
      </c>
      <c r="Y109">
        <f>HYPERLINK("https://klasma.github.io/Logging_0188/tillsynsmail/A 24330-2023 tillsynsbegäran mail.docx", "A 24330-2023")</f>
        <v/>
      </c>
      <c r="Z109">
        <f>HYPERLINK("https://klasma.github.io/Logging_0188/fåglar/A 24330-2023 prioriterade fågelarter.docx", "A 24330-2023")</f>
        <v/>
      </c>
    </row>
    <row r="110" ht="15" customHeight="1">
      <c r="A110" t="inlineStr">
        <is>
          <t>A 21744-2023</t>
        </is>
      </c>
      <c r="B110" s="1" t="n">
        <v>45065</v>
      </c>
      <c r="C110" s="1" t="n">
        <v>46167</v>
      </c>
      <c r="D110" t="inlineStr">
        <is>
          <t>STOCKHOLMS LÄN</t>
        </is>
      </c>
      <c r="E110" t="inlineStr">
        <is>
          <t>NORRTÄLJE</t>
        </is>
      </c>
      <c r="F110" t="inlineStr">
        <is>
          <t>Holmen skog AB</t>
        </is>
      </c>
      <c r="G110" t="n">
        <v>4.2</v>
      </c>
      <c r="H110" t="n">
        <v>0</v>
      </c>
      <c r="I110" t="n">
        <v>1</v>
      </c>
      <c r="J110" t="n">
        <v>0</v>
      </c>
      <c r="K110" t="n">
        <v>0</v>
      </c>
      <c r="L110" t="n">
        <v>0</v>
      </c>
      <c r="M110" t="n">
        <v>0</v>
      </c>
      <c r="N110" t="n">
        <v>0</v>
      </c>
      <c r="O110" t="n">
        <v>0</v>
      </c>
      <c r="P110" t="n">
        <v>0</v>
      </c>
      <c r="Q110" t="n">
        <v>1</v>
      </c>
      <c r="R110" s="2" t="inlineStr">
        <is>
          <t>Korallblylav</t>
        </is>
      </c>
      <c r="S110">
        <f>HYPERLINK("https://klasma.github.io/Logging_0188/artfynd/A 21744-2023 artfynd.xlsx", "A 21744-2023")</f>
        <v/>
      </c>
      <c r="T110">
        <f>HYPERLINK("https://klasma.github.io/Logging_0188/kartor/A 21744-2023 karta.png", "A 21744-2023")</f>
        <v/>
      </c>
      <c r="V110">
        <f>HYPERLINK("https://klasma.github.io/Logging_0188/klagomål/A 21744-2023 FSC-klagomål.docx", "A 21744-2023")</f>
        <v/>
      </c>
      <c r="W110">
        <f>HYPERLINK("https://klasma.github.io/Logging_0188/klagomålsmail/A 21744-2023 FSC-klagomål mail.docx", "A 21744-2023")</f>
        <v/>
      </c>
      <c r="X110">
        <f>HYPERLINK("https://klasma.github.io/Logging_0188/tillsyn/A 21744-2023 tillsynsbegäran.docx", "A 21744-2023")</f>
        <v/>
      </c>
      <c r="Y110">
        <f>HYPERLINK("https://klasma.github.io/Logging_0188/tillsynsmail/A 21744-2023 tillsynsbegäran mail.docx", "A 21744-2023")</f>
        <v/>
      </c>
    </row>
    <row r="111" ht="15" customHeight="1">
      <c r="A111" t="inlineStr">
        <is>
          <t>A 52611-2024</t>
        </is>
      </c>
      <c r="B111" s="1" t="n">
        <v>45609.83747685186</v>
      </c>
      <c r="C111" s="1" t="n">
        <v>46167</v>
      </c>
      <c r="D111" t="inlineStr">
        <is>
          <t>STOCKHOLMS LÄN</t>
        </is>
      </c>
      <c r="E111" t="inlineStr">
        <is>
          <t>NORRTÄLJE</t>
        </is>
      </c>
      <c r="G111" t="n">
        <v>10.6</v>
      </c>
      <c r="H111" t="n">
        <v>1</v>
      </c>
      <c r="I111" t="n">
        <v>0</v>
      </c>
      <c r="J111" t="n">
        <v>0</v>
      </c>
      <c r="K111" t="n">
        <v>0</v>
      </c>
      <c r="L111" t="n">
        <v>0</v>
      </c>
      <c r="M111" t="n">
        <v>0</v>
      </c>
      <c r="N111" t="n">
        <v>0</v>
      </c>
      <c r="O111" t="n">
        <v>0</v>
      </c>
      <c r="P111" t="n">
        <v>0</v>
      </c>
      <c r="Q111" t="n">
        <v>1</v>
      </c>
      <c r="R111" s="2" t="inlineStr">
        <is>
          <t>Blåsippa</t>
        </is>
      </c>
      <c r="S111">
        <f>HYPERLINK("https://klasma.github.io/Logging_0188/artfynd/A 52611-2024 artfynd.xlsx", "A 52611-2024")</f>
        <v/>
      </c>
      <c r="T111">
        <f>HYPERLINK("https://klasma.github.io/Logging_0188/kartor/A 52611-2024 karta.png", "A 52611-2024")</f>
        <v/>
      </c>
      <c r="V111">
        <f>HYPERLINK("https://klasma.github.io/Logging_0188/klagomål/A 52611-2024 FSC-klagomål.docx", "A 52611-2024")</f>
        <v/>
      </c>
      <c r="W111">
        <f>HYPERLINK("https://klasma.github.io/Logging_0188/klagomålsmail/A 52611-2024 FSC-klagomål mail.docx", "A 52611-2024")</f>
        <v/>
      </c>
      <c r="X111">
        <f>HYPERLINK("https://klasma.github.io/Logging_0188/tillsyn/A 52611-2024 tillsynsbegäran.docx", "A 52611-2024")</f>
        <v/>
      </c>
      <c r="Y111">
        <f>HYPERLINK("https://klasma.github.io/Logging_0188/tillsynsmail/A 52611-2024 tillsynsbegäran mail.docx", "A 52611-2024")</f>
        <v/>
      </c>
    </row>
    <row r="112" ht="15" customHeight="1">
      <c r="A112" t="inlineStr">
        <is>
          <t>A 52775-2025</t>
        </is>
      </c>
      <c r="B112" s="1" t="n">
        <v>45957.41608796296</v>
      </c>
      <c r="C112" s="1" t="n">
        <v>46167</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40192-2023</t>
        </is>
      </c>
      <c r="B113" s="1" t="n">
        <v>45169</v>
      </c>
      <c r="C113" s="1" t="n">
        <v>46167</v>
      </c>
      <c r="D113" t="inlineStr">
        <is>
          <t>STOCKHOLMS LÄN</t>
        </is>
      </c>
      <c r="E113" t="inlineStr">
        <is>
          <t>NORRTÄLJE</t>
        </is>
      </c>
      <c r="F113" t="inlineStr">
        <is>
          <t>Kyrkan</t>
        </is>
      </c>
      <c r="G113" t="n">
        <v>0.7</v>
      </c>
      <c r="H113" t="n">
        <v>1</v>
      </c>
      <c r="I113" t="n">
        <v>0</v>
      </c>
      <c r="J113" t="n">
        <v>0</v>
      </c>
      <c r="K113" t="n">
        <v>0</v>
      </c>
      <c r="L113" t="n">
        <v>0</v>
      </c>
      <c r="M113" t="n">
        <v>0</v>
      </c>
      <c r="N113" t="n">
        <v>0</v>
      </c>
      <c r="O113" t="n">
        <v>0</v>
      </c>
      <c r="P113" t="n">
        <v>0</v>
      </c>
      <c r="Q113" t="n">
        <v>1</v>
      </c>
      <c r="R113" s="2" t="inlineStr">
        <is>
          <t>Skogsduva</t>
        </is>
      </c>
      <c r="S113">
        <f>HYPERLINK("https://klasma.github.io/Logging_0188/artfynd/A 40192-2023 artfynd.xlsx", "A 40192-2023")</f>
        <v/>
      </c>
      <c r="T113">
        <f>HYPERLINK("https://klasma.github.io/Logging_0188/kartor/A 40192-2023 karta.png", "A 40192-2023")</f>
        <v/>
      </c>
      <c r="V113">
        <f>HYPERLINK("https://klasma.github.io/Logging_0188/klagomål/A 40192-2023 FSC-klagomål.docx", "A 40192-2023")</f>
        <v/>
      </c>
      <c r="W113">
        <f>HYPERLINK("https://klasma.github.io/Logging_0188/klagomålsmail/A 40192-2023 FSC-klagomål mail.docx", "A 40192-2023")</f>
        <v/>
      </c>
      <c r="X113">
        <f>HYPERLINK("https://klasma.github.io/Logging_0188/tillsyn/A 40192-2023 tillsynsbegäran.docx", "A 40192-2023")</f>
        <v/>
      </c>
      <c r="Y113">
        <f>HYPERLINK("https://klasma.github.io/Logging_0188/tillsynsmail/A 40192-2023 tillsynsbegäran mail.docx", "A 40192-2023")</f>
        <v/>
      </c>
      <c r="Z113">
        <f>HYPERLINK("https://klasma.github.io/Logging_0188/fåglar/A 40192-2023 prioriterade fågelarter.docx", "A 40192-2023")</f>
        <v/>
      </c>
    </row>
    <row r="114" ht="15" customHeight="1">
      <c r="A114" t="inlineStr">
        <is>
          <t>A 53716-2025</t>
        </is>
      </c>
      <c r="B114" s="1" t="n">
        <v>45960.61782407408</v>
      </c>
      <c r="C114" s="1" t="n">
        <v>46167</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16870-2025</t>
        </is>
      </c>
      <c r="B115" s="1" t="n">
        <v>45754</v>
      </c>
      <c r="C115" s="1" t="n">
        <v>46167</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26635-2023</t>
        </is>
      </c>
      <c r="B116" s="1" t="n">
        <v>45092</v>
      </c>
      <c r="C116" s="1" t="n">
        <v>46167</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59682-2025</t>
        </is>
      </c>
      <c r="B117" s="1" t="n">
        <v>45992.47116898148</v>
      </c>
      <c r="C117" s="1" t="n">
        <v>46167</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62715-2025</t>
        </is>
      </c>
      <c r="B118" s="1" t="n">
        <v>46008.52034722222</v>
      </c>
      <c r="C118" s="1" t="n">
        <v>46167</v>
      </c>
      <c r="D118" t="inlineStr">
        <is>
          <t>STOCKHOLMS LÄN</t>
        </is>
      </c>
      <c r="E118" t="inlineStr">
        <is>
          <t>NORRTÄLJE</t>
        </is>
      </c>
      <c r="G118" t="n">
        <v>0.8</v>
      </c>
      <c r="H118" t="n">
        <v>0</v>
      </c>
      <c r="I118" t="n">
        <v>1</v>
      </c>
      <c r="J118" t="n">
        <v>0</v>
      </c>
      <c r="K118" t="n">
        <v>0</v>
      </c>
      <c r="L118" t="n">
        <v>0</v>
      </c>
      <c r="M118" t="n">
        <v>0</v>
      </c>
      <c r="N118" t="n">
        <v>0</v>
      </c>
      <c r="O118" t="n">
        <v>0</v>
      </c>
      <c r="P118" t="n">
        <v>0</v>
      </c>
      <c r="Q118" t="n">
        <v>1</v>
      </c>
      <c r="R118" s="2" t="inlineStr">
        <is>
          <t>Granbarkgnagare</t>
        </is>
      </c>
      <c r="S118">
        <f>HYPERLINK("https://klasma.github.io/Logging_0188/artfynd/A 62715-2025 artfynd.xlsx", "A 62715-2025")</f>
        <v/>
      </c>
      <c r="T118">
        <f>HYPERLINK("https://klasma.github.io/Logging_0188/kartor/A 62715-2025 karta.png", "A 62715-2025")</f>
        <v/>
      </c>
      <c r="V118">
        <f>HYPERLINK("https://klasma.github.io/Logging_0188/klagomål/A 62715-2025 FSC-klagomål.docx", "A 62715-2025")</f>
        <v/>
      </c>
      <c r="W118">
        <f>HYPERLINK("https://klasma.github.io/Logging_0188/klagomålsmail/A 62715-2025 FSC-klagomål mail.docx", "A 62715-2025")</f>
        <v/>
      </c>
      <c r="X118">
        <f>HYPERLINK("https://klasma.github.io/Logging_0188/tillsyn/A 62715-2025 tillsynsbegäran.docx", "A 62715-2025")</f>
        <v/>
      </c>
      <c r="Y118">
        <f>HYPERLINK("https://klasma.github.io/Logging_0188/tillsynsmail/A 62715-2025 tillsynsbegäran mail.docx", "A 62715-2025")</f>
        <v/>
      </c>
    </row>
    <row r="119" ht="15" customHeight="1">
      <c r="A119" t="inlineStr">
        <is>
          <t>A 47898-2022</t>
        </is>
      </c>
      <c r="B119" s="1" t="n">
        <v>44855</v>
      </c>
      <c r="C119" s="1" t="n">
        <v>46167</v>
      </c>
      <c r="D119" t="inlineStr">
        <is>
          <t>STOCKHOLMS LÄN</t>
        </is>
      </c>
      <c r="E119" t="inlineStr">
        <is>
          <t>NORRTÄLJE</t>
        </is>
      </c>
      <c r="G119" t="n">
        <v>6.7</v>
      </c>
      <c r="H119" t="n">
        <v>1</v>
      </c>
      <c r="I119" t="n">
        <v>1</v>
      </c>
      <c r="J119" t="n">
        <v>0</v>
      </c>
      <c r="K119" t="n">
        <v>0</v>
      </c>
      <c r="L119" t="n">
        <v>0</v>
      </c>
      <c r="M119" t="n">
        <v>0</v>
      </c>
      <c r="N119" t="n">
        <v>0</v>
      </c>
      <c r="O119" t="n">
        <v>0</v>
      </c>
      <c r="P119" t="n">
        <v>0</v>
      </c>
      <c r="Q119" t="n">
        <v>1</v>
      </c>
      <c r="R119" s="2" t="inlineStr">
        <is>
          <t>Guckusko</t>
        </is>
      </c>
      <c r="S119">
        <f>HYPERLINK("https://klasma.github.io/Logging_0188/artfynd/A 47898-2022 artfynd.xlsx", "A 47898-2022")</f>
        <v/>
      </c>
      <c r="T119">
        <f>HYPERLINK("https://klasma.github.io/Logging_0188/kartor/A 47898-2022 karta.png", "A 47898-2022")</f>
        <v/>
      </c>
      <c r="V119">
        <f>HYPERLINK("https://klasma.github.io/Logging_0188/klagomål/A 47898-2022 FSC-klagomål.docx", "A 47898-2022")</f>
        <v/>
      </c>
      <c r="W119">
        <f>HYPERLINK("https://klasma.github.io/Logging_0188/klagomålsmail/A 47898-2022 FSC-klagomål mail.docx", "A 47898-2022")</f>
        <v/>
      </c>
      <c r="X119">
        <f>HYPERLINK("https://klasma.github.io/Logging_0188/tillsyn/A 47898-2022 tillsynsbegäran.docx", "A 47898-2022")</f>
        <v/>
      </c>
      <c r="Y119">
        <f>HYPERLINK("https://klasma.github.io/Logging_0188/tillsynsmail/A 47898-2022 tillsynsbegäran mail.docx", "A 47898-2022")</f>
        <v/>
      </c>
    </row>
    <row r="120" ht="15" customHeight="1">
      <c r="A120" t="inlineStr">
        <is>
          <t>A 63292-2025</t>
        </is>
      </c>
      <c r="B120" s="1" t="n">
        <v>46010.59232638889</v>
      </c>
      <c r="C120" s="1" t="n">
        <v>46167</v>
      </c>
      <c r="D120" t="inlineStr">
        <is>
          <t>STOCKHOLMS LÄN</t>
        </is>
      </c>
      <c r="E120" t="inlineStr">
        <is>
          <t>NORRTÄLJE</t>
        </is>
      </c>
      <c r="G120" t="n">
        <v>11.1</v>
      </c>
      <c r="H120" t="n">
        <v>1</v>
      </c>
      <c r="I120" t="n">
        <v>1</v>
      </c>
      <c r="J120" t="n">
        <v>0</v>
      </c>
      <c r="K120" t="n">
        <v>0</v>
      </c>
      <c r="L120" t="n">
        <v>0</v>
      </c>
      <c r="M120" t="n">
        <v>0</v>
      </c>
      <c r="N120" t="n">
        <v>0</v>
      </c>
      <c r="O120" t="n">
        <v>0</v>
      </c>
      <c r="P120" t="n">
        <v>0</v>
      </c>
      <c r="Q120" t="n">
        <v>1</v>
      </c>
      <c r="R120" s="2" t="inlineStr">
        <is>
          <t>Nästrot</t>
        </is>
      </c>
      <c r="S120">
        <f>HYPERLINK("https://klasma.github.io/Logging_0188/artfynd/A 63292-2025 artfynd.xlsx", "A 63292-2025")</f>
        <v/>
      </c>
      <c r="T120">
        <f>HYPERLINK("https://klasma.github.io/Logging_0188/kartor/A 63292-2025 karta.png", "A 63292-2025")</f>
        <v/>
      </c>
      <c r="V120">
        <f>HYPERLINK("https://klasma.github.io/Logging_0188/klagomål/A 63292-2025 FSC-klagomål.docx", "A 63292-2025")</f>
        <v/>
      </c>
      <c r="W120">
        <f>HYPERLINK("https://klasma.github.io/Logging_0188/klagomålsmail/A 63292-2025 FSC-klagomål mail.docx", "A 63292-2025")</f>
        <v/>
      </c>
      <c r="X120">
        <f>HYPERLINK("https://klasma.github.io/Logging_0188/tillsyn/A 63292-2025 tillsynsbegäran.docx", "A 63292-2025")</f>
        <v/>
      </c>
      <c r="Y120">
        <f>HYPERLINK("https://klasma.github.io/Logging_0188/tillsynsmail/A 63292-2025 tillsynsbegäran mail.docx", "A 63292-2025")</f>
        <v/>
      </c>
    </row>
    <row r="121" ht="15" customHeight="1">
      <c r="A121" t="inlineStr">
        <is>
          <t>A 364-2026</t>
        </is>
      </c>
      <c r="B121" s="1" t="n">
        <v>46027.67134259259</v>
      </c>
      <c r="C121" s="1" t="n">
        <v>46167</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14365-2025</t>
        </is>
      </c>
      <c r="B122" s="1" t="n">
        <v>45741.38688657407</v>
      </c>
      <c r="C122" s="1" t="n">
        <v>46167</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32111-2022</t>
        </is>
      </c>
      <c r="B123" s="1" t="n">
        <v>44778.92797453704</v>
      </c>
      <c r="C123" s="1" t="n">
        <v>46167</v>
      </c>
      <c r="D123" t="inlineStr">
        <is>
          <t>STOCKHOLMS LÄN</t>
        </is>
      </c>
      <c r="E123" t="inlineStr">
        <is>
          <t>NORRTÄLJE</t>
        </is>
      </c>
      <c r="G123" t="n">
        <v>3.1</v>
      </c>
      <c r="H123" t="n">
        <v>0</v>
      </c>
      <c r="I123" t="n">
        <v>0</v>
      </c>
      <c r="J123" t="n">
        <v>1</v>
      </c>
      <c r="K123" t="n">
        <v>0</v>
      </c>
      <c r="L123" t="n">
        <v>0</v>
      </c>
      <c r="M123" t="n">
        <v>0</v>
      </c>
      <c r="N123" t="n">
        <v>0</v>
      </c>
      <c r="O123" t="n">
        <v>1</v>
      </c>
      <c r="P123" t="n">
        <v>0</v>
      </c>
      <c r="Q123" t="n">
        <v>1</v>
      </c>
      <c r="R123" s="2" t="inlineStr">
        <is>
          <t>Orange taggsvamp</t>
        </is>
      </c>
      <c r="S123">
        <f>HYPERLINK("https://klasma.github.io/Logging_0188/artfynd/A 32111-2022 artfynd.xlsx", "A 32111-2022")</f>
        <v/>
      </c>
      <c r="T123">
        <f>HYPERLINK("https://klasma.github.io/Logging_0188/kartor/A 32111-2022 karta.png", "A 32111-2022")</f>
        <v/>
      </c>
      <c r="V123">
        <f>HYPERLINK("https://klasma.github.io/Logging_0188/klagomål/A 32111-2022 FSC-klagomål.docx", "A 32111-2022")</f>
        <v/>
      </c>
      <c r="W123">
        <f>HYPERLINK("https://klasma.github.io/Logging_0188/klagomålsmail/A 32111-2022 FSC-klagomål mail.docx", "A 32111-2022")</f>
        <v/>
      </c>
      <c r="X123">
        <f>HYPERLINK("https://klasma.github.io/Logging_0188/tillsyn/A 32111-2022 tillsynsbegäran.docx", "A 32111-2022")</f>
        <v/>
      </c>
      <c r="Y123">
        <f>HYPERLINK("https://klasma.github.io/Logging_0188/tillsynsmail/A 32111-2022 tillsynsbegäran mail.docx", "A 32111-2022")</f>
        <v/>
      </c>
    </row>
    <row r="124" ht="15" customHeight="1">
      <c r="A124" t="inlineStr">
        <is>
          <t>A 4385-2023</t>
        </is>
      </c>
      <c r="B124" s="1" t="n">
        <v>44955.71322916666</v>
      </c>
      <c r="C124" s="1" t="n">
        <v>46167</v>
      </c>
      <c r="D124" t="inlineStr">
        <is>
          <t>STOCKHOLMS LÄN</t>
        </is>
      </c>
      <c r="E124" t="inlineStr">
        <is>
          <t>NORRTÄLJE</t>
        </is>
      </c>
      <c r="G124" t="n">
        <v>7.8</v>
      </c>
      <c r="H124" t="n">
        <v>1</v>
      </c>
      <c r="I124" t="n">
        <v>1</v>
      </c>
      <c r="J124" t="n">
        <v>0</v>
      </c>
      <c r="K124" t="n">
        <v>0</v>
      </c>
      <c r="L124" t="n">
        <v>0</v>
      </c>
      <c r="M124" t="n">
        <v>0</v>
      </c>
      <c r="N124" t="n">
        <v>0</v>
      </c>
      <c r="O124" t="n">
        <v>0</v>
      </c>
      <c r="P124" t="n">
        <v>0</v>
      </c>
      <c r="Q124" t="n">
        <v>1</v>
      </c>
      <c r="R124" s="2" t="inlineStr">
        <is>
          <t>Skogsknipprot</t>
        </is>
      </c>
      <c r="S124">
        <f>HYPERLINK("https://klasma.github.io/Logging_0188/artfynd/A 4385-2023 artfynd.xlsx", "A 4385-2023")</f>
        <v/>
      </c>
      <c r="T124">
        <f>HYPERLINK("https://klasma.github.io/Logging_0188/kartor/A 4385-2023 karta.png", "A 4385-2023")</f>
        <v/>
      </c>
      <c r="V124">
        <f>HYPERLINK("https://klasma.github.io/Logging_0188/klagomål/A 4385-2023 FSC-klagomål.docx", "A 4385-2023")</f>
        <v/>
      </c>
      <c r="W124">
        <f>HYPERLINK("https://klasma.github.io/Logging_0188/klagomålsmail/A 4385-2023 FSC-klagomål mail.docx", "A 4385-2023")</f>
        <v/>
      </c>
      <c r="X124">
        <f>HYPERLINK("https://klasma.github.io/Logging_0188/tillsyn/A 4385-2023 tillsynsbegäran.docx", "A 4385-2023")</f>
        <v/>
      </c>
      <c r="Y124">
        <f>HYPERLINK("https://klasma.github.io/Logging_0188/tillsynsmail/A 4385-2023 tillsynsbegäran mail.docx", "A 4385-2023")</f>
        <v/>
      </c>
    </row>
    <row r="125" ht="15" customHeight="1">
      <c r="A125" t="inlineStr">
        <is>
          <t>A 4860-2022</t>
        </is>
      </c>
      <c r="B125" s="1" t="n">
        <v>44592</v>
      </c>
      <c r="C125" s="1" t="n">
        <v>46167</v>
      </c>
      <c r="D125" t="inlineStr">
        <is>
          <t>STOCKHOLMS LÄN</t>
        </is>
      </c>
      <c r="E125" t="inlineStr">
        <is>
          <t>NORRTÄLJE</t>
        </is>
      </c>
      <c r="G125" t="n">
        <v>22.3</v>
      </c>
      <c r="H125" t="n">
        <v>0</v>
      </c>
      <c r="I125" t="n">
        <v>0</v>
      </c>
      <c r="J125" t="n">
        <v>1</v>
      </c>
      <c r="K125" t="n">
        <v>0</v>
      </c>
      <c r="L125" t="n">
        <v>0</v>
      </c>
      <c r="M125" t="n">
        <v>0</v>
      </c>
      <c r="N125" t="n">
        <v>0</v>
      </c>
      <c r="O125" t="n">
        <v>1</v>
      </c>
      <c r="P125" t="n">
        <v>0</v>
      </c>
      <c r="Q125" t="n">
        <v>1</v>
      </c>
      <c r="R125" s="2" t="inlineStr">
        <is>
          <t>Igelkott</t>
        </is>
      </c>
      <c r="S125">
        <f>HYPERLINK("https://klasma.github.io/Logging_0188/artfynd/A 4860-2022 artfynd.xlsx", "A 4860-2022")</f>
        <v/>
      </c>
      <c r="T125">
        <f>HYPERLINK("https://klasma.github.io/Logging_0188/kartor/A 4860-2022 karta.png", "A 4860-2022")</f>
        <v/>
      </c>
      <c r="V125">
        <f>HYPERLINK("https://klasma.github.io/Logging_0188/klagomål/A 4860-2022 FSC-klagomål.docx", "A 4860-2022")</f>
        <v/>
      </c>
      <c r="W125">
        <f>HYPERLINK("https://klasma.github.io/Logging_0188/klagomålsmail/A 4860-2022 FSC-klagomål mail.docx", "A 4860-2022")</f>
        <v/>
      </c>
      <c r="X125">
        <f>HYPERLINK("https://klasma.github.io/Logging_0188/tillsyn/A 4860-2022 tillsynsbegäran.docx", "A 4860-2022")</f>
        <v/>
      </c>
      <c r="Y125">
        <f>HYPERLINK("https://klasma.github.io/Logging_0188/tillsynsmail/A 4860-2022 tillsynsbegäran mail.docx", "A 4860-2022")</f>
        <v/>
      </c>
    </row>
    <row r="126" ht="15" customHeight="1">
      <c r="A126" t="inlineStr">
        <is>
          <t>A 19829-2022</t>
        </is>
      </c>
      <c r="B126" s="1" t="n">
        <v>44695.43527777777</v>
      </c>
      <c r="C126" s="1" t="n">
        <v>46167</v>
      </c>
      <c r="D126" t="inlineStr">
        <is>
          <t>STOCKHOLMS LÄN</t>
        </is>
      </c>
      <c r="E126" t="inlineStr">
        <is>
          <t>NORRTÄLJE</t>
        </is>
      </c>
      <c r="G126" t="n">
        <v>2</v>
      </c>
      <c r="H126" t="n">
        <v>1</v>
      </c>
      <c r="I126" t="n">
        <v>1</v>
      </c>
      <c r="J126" t="n">
        <v>0</v>
      </c>
      <c r="K126" t="n">
        <v>0</v>
      </c>
      <c r="L126" t="n">
        <v>0</v>
      </c>
      <c r="M126" t="n">
        <v>0</v>
      </c>
      <c r="N126" t="n">
        <v>0</v>
      </c>
      <c r="O126" t="n">
        <v>0</v>
      </c>
      <c r="P126" t="n">
        <v>0</v>
      </c>
      <c r="Q126" t="n">
        <v>1</v>
      </c>
      <c r="R126" s="2" t="inlineStr">
        <is>
          <t>Guckusko</t>
        </is>
      </c>
      <c r="S126">
        <f>HYPERLINK("https://klasma.github.io/Logging_0188/artfynd/A 19829-2022 artfynd.xlsx", "A 19829-2022")</f>
        <v/>
      </c>
      <c r="T126">
        <f>HYPERLINK("https://klasma.github.io/Logging_0188/kartor/A 19829-2022 karta.png", "A 19829-2022")</f>
        <v/>
      </c>
      <c r="V126">
        <f>HYPERLINK("https://klasma.github.io/Logging_0188/klagomål/A 19829-2022 FSC-klagomål.docx", "A 19829-2022")</f>
        <v/>
      </c>
      <c r="W126">
        <f>HYPERLINK("https://klasma.github.io/Logging_0188/klagomålsmail/A 19829-2022 FSC-klagomål mail.docx", "A 19829-2022")</f>
        <v/>
      </c>
      <c r="X126">
        <f>HYPERLINK("https://klasma.github.io/Logging_0188/tillsyn/A 19829-2022 tillsynsbegäran.docx", "A 19829-2022")</f>
        <v/>
      </c>
      <c r="Y126">
        <f>HYPERLINK("https://klasma.github.io/Logging_0188/tillsynsmail/A 19829-2022 tillsynsbegäran mail.docx", "A 19829-2022")</f>
        <v/>
      </c>
    </row>
    <row r="127" ht="15" customHeight="1">
      <c r="A127" t="inlineStr">
        <is>
          <t>A 7734-2026</t>
        </is>
      </c>
      <c r="B127" s="1" t="n">
        <v>46062.52902777777</v>
      </c>
      <c r="C127" s="1" t="n">
        <v>46167</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28816-2023</t>
        </is>
      </c>
      <c r="B128" s="1" t="n">
        <v>45104</v>
      </c>
      <c r="C128" s="1" t="n">
        <v>46167</v>
      </c>
      <c r="D128" t="inlineStr">
        <is>
          <t>STOCKHOLMS LÄN</t>
        </is>
      </c>
      <c r="E128" t="inlineStr">
        <is>
          <t>NORRTÄLJE</t>
        </is>
      </c>
      <c r="F128" t="inlineStr">
        <is>
          <t>Kommuner</t>
        </is>
      </c>
      <c r="G128" t="n">
        <v>0.5</v>
      </c>
      <c r="H128" t="n">
        <v>1</v>
      </c>
      <c r="I128" t="n">
        <v>0</v>
      </c>
      <c r="J128" t="n">
        <v>0</v>
      </c>
      <c r="K128" t="n">
        <v>0</v>
      </c>
      <c r="L128" t="n">
        <v>0</v>
      </c>
      <c r="M128" t="n">
        <v>0</v>
      </c>
      <c r="N128" t="n">
        <v>0</v>
      </c>
      <c r="O128" t="n">
        <v>0</v>
      </c>
      <c r="P128" t="n">
        <v>0</v>
      </c>
      <c r="Q128" t="n">
        <v>1</v>
      </c>
      <c r="R128" s="2" t="inlineStr">
        <is>
          <t>Kungsfågel</t>
        </is>
      </c>
      <c r="S128">
        <f>HYPERLINK("https://klasma.github.io/Logging_0188/artfynd/A 28816-2023 artfynd.xlsx", "A 28816-2023")</f>
        <v/>
      </c>
      <c r="T128">
        <f>HYPERLINK("https://klasma.github.io/Logging_0188/kartor/A 28816-2023 karta.png", "A 28816-2023")</f>
        <v/>
      </c>
      <c r="V128">
        <f>HYPERLINK("https://klasma.github.io/Logging_0188/klagomål/A 28816-2023 FSC-klagomål.docx", "A 28816-2023")</f>
        <v/>
      </c>
      <c r="W128">
        <f>HYPERLINK("https://klasma.github.io/Logging_0188/klagomålsmail/A 28816-2023 FSC-klagomål mail.docx", "A 28816-2023")</f>
        <v/>
      </c>
      <c r="X128">
        <f>HYPERLINK("https://klasma.github.io/Logging_0188/tillsyn/A 28816-2023 tillsynsbegäran.docx", "A 28816-2023")</f>
        <v/>
      </c>
      <c r="Y128">
        <f>HYPERLINK("https://klasma.github.io/Logging_0188/tillsynsmail/A 28816-2023 tillsynsbegäran mail.docx", "A 28816-2023")</f>
        <v/>
      </c>
      <c r="Z128">
        <f>HYPERLINK("https://klasma.github.io/Logging_0188/fåglar/A 28816-2023 prioriterade fågelarter.docx", "A 28816-2023")</f>
        <v/>
      </c>
    </row>
    <row r="129" ht="15" customHeight="1">
      <c r="A129" t="inlineStr">
        <is>
          <t>A 19355-2026</t>
        </is>
      </c>
      <c r="B129" s="1" t="n">
        <v>46133.49074074074</v>
      </c>
      <c r="C129" s="1" t="n">
        <v>46167</v>
      </c>
      <c r="D129" t="inlineStr">
        <is>
          <t>STOCKHOLMS LÄN</t>
        </is>
      </c>
      <c r="E129" t="inlineStr">
        <is>
          <t>NORRTÄLJE</t>
        </is>
      </c>
      <c r="G129" t="n">
        <v>22.5</v>
      </c>
      <c r="H129" t="n">
        <v>0</v>
      </c>
      <c r="I129" t="n">
        <v>1</v>
      </c>
      <c r="J129" t="n">
        <v>0</v>
      </c>
      <c r="K129" t="n">
        <v>0</v>
      </c>
      <c r="L129" t="n">
        <v>0</v>
      </c>
      <c r="M129" t="n">
        <v>0</v>
      </c>
      <c r="N129" t="n">
        <v>0</v>
      </c>
      <c r="O129" t="n">
        <v>0</v>
      </c>
      <c r="P129" t="n">
        <v>0</v>
      </c>
      <c r="Q129" t="n">
        <v>1</v>
      </c>
      <c r="R129" s="2" t="inlineStr">
        <is>
          <t>Mönjevaxing</t>
        </is>
      </c>
      <c r="S129">
        <f>HYPERLINK("https://klasma.github.io/Logging_0188/artfynd/A 19355-2026 artfynd.xlsx", "A 19355-2026")</f>
        <v/>
      </c>
      <c r="T129">
        <f>HYPERLINK("https://klasma.github.io/Logging_0188/kartor/A 19355-2026 karta.png", "A 19355-2026")</f>
        <v/>
      </c>
      <c r="V129">
        <f>HYPERLINK("https://klasma.github.io/Logging_0188/klagomål/A 19355-2026 FSC-klagomål.docx", "A 19355-2026")</f>
        <v/>
      </c>
      <c r="W129">
        <f>HYPERLINK("https://klasma.github.io/Logging_0188/klagomålsmail/A 19355-2026 FSC-klagomål mail.docx", "A 19355-2026")</f>
        <v/>
      </c>
      <c r="X129">
        <f>HYPERLINK("https://klasma.github.io/Logging_0188/tillsyn/A 19355-2026 tillsynsbegäran.docx", "A 19355-2026")</f>
        <v/>
      </c>
      <c r="Y129">
        <f>HYPERLINK("https://klasma.github.io/Logging_0188/tillsynsmail/A 19355-2026 tillsynsbegäran mail.docx", "A 19355-2026")</f>
        <v/>
      </c>
    </row>
    <row r="130" ht="15" customHeight="1">
      <c r="A130" t="inlineStr">
        <is>
          <t>A 52508-2023</t>
        </is>
      </c>
      <c r="B130" s="1" t="n">
        <v>45225</v>
      </c>
      <c r="C130" s="1" t="n">
        <v>46167</v>
      </c>
      <c r="D130" t="inlineStr">
        <is>
          <t>STOCKHOLMS LÄN</t>
        </is>
      </c>
      <c r="E130" t="inlineStr">
        <is>
          <t>NORRTÄLJE</t>
        </is>
      </c>
      <c r="G130" t="n">
        <v>19.7</v>
      </c>
      <c r="H130" t="n">
        <v>1</v>
      </c>
      <c r="I130" t="n">
        <v>0</v>
      </c>
      <c r="J130" t="n">
        <v>0</v>
      </c>
      <c r="K130" t="n">
        <v>1</v>
      </c>
      <c r="L130" t="n">
        <v>0</v>
      </c>
      <c r="M130" t="n">
        <v>0</v>
      </c>
      <c r="N130" t="n">
        <v>0</v>
      </c>
      <c r="O130" t="n">
        <v>1</v>
      </c>
      <c r="P130" t="n">
        <v>1</v>
      </c>
      <c r="Q130" t="n">
        <v>1</v>
      </c>
      <c r="R130" s="2" t="inlineStr">
        <is>
          <t>Svärta</t>
        </is>
      </c>
      <c r="S130">
        <f>HYPERLINK("https://klasma.github.io/Logging_0188/artfynd/A 52508-2023 artfynd.xlsx", "A 52508-2023")</f>
        <v/>
      </c>
      <c r="T130">
        <f>HYPERLINK("https://klasma.github.io/Logging_0188/kartor/A 52508-2023 karta.png", "A 52508-2023")</f>
        <v/>
      </c>
      <c r="V130">
        <f>HYPERLINK("https://klasma.github.io/Logging_0188/klagomål/A 52508-2023 FSC-klagomål.docx", "A 52508-2023")</f>
        <v/>
      </c>
      <c r="W130">
        <f>HYPERLINK("https://klasma.github.io/Logging_0188/klagomålsmail/A 52508-2023 FSC-klagomål mail.docx", "A 52508-2023")</f>
        <v/>
      </c>
      <c r="X130">
        <f>HYPERLINK("https://klasma.github.io/Logging_0188/tillsyn/A 52508-2023 tillsynsbegäran.docx", "A 52508-2023")</f>
        <v/>
      </c>
      <c r="Y130">
        <f>HYPERLINK("https://klasma.github.io/Logging_0188/tillsynsmail/A 52508-2023 tillsynsbegäran mail.docx", "A 52508-2023")</f>
        <v/>
      </c>
    </row>
    <row r="131" ht="15" customHeight="1">
      <c r="A131" t="inlineStr">
        <is>
          <t>A 15886-2026</t>
        </is>
      </c>
      <c r="B131" s="1" t="n">
        <v>46107</v>
      </c>
      <c r="C131" s="1" t="n">
        <v>46167</v>
      </c>
      <c r="D131" t="inlineStr">
        <is>
          <t>STOCKHOLMS LÄN</t>
        </is>
      </c>
      <c r="E131" t="inlineStr">
        <is>
          <t>NORRTÄLJE</t>
        </is>
      </c>
      <c r="G131" t="n">
        <v>1.3</v>
      </c>
      <c r="H131" t="n">
        <v>1</v>
      </c>
      <c r="I131" t="n">
        <v>0</v>
      </c>
      <c r="J131" t="n">
        <v>0</v>
      </c>
      <c r="K131" t="n">
        <v>0</v>
      </c>
      <c r="L131" t="n">
        <v>1</v>
      </c>
      <c r="M131" t="n">
        <v>0</v>
      </c>
      <c r="N131" t="n">
        <v>0</v>
      </c>
      <c r="O131" t="n">
        <v>1</v>
      </c>
      <c r="P131" t="n">
        <v>1</v>
      </c>
      <c r="Q131" t="n">
        <v>1</v>
      </c>
      <c r="R131" s="2" t="inlineStr">
        <is>
          <t>Grönfink</t>
        </is>
      </c>
      <c r="S131">
        <f>HYPERLINK("https://klasma.github.io/Logging_0188/artfynd/A 15886-2026 artfynd.xlsx", "A 15886-2026")</f>
        <v/>
      </c>
      <c r="T131">
        <f>HYPERLINK("https://klasma.github.io/Logging_0188/kartor/A 15886-2026 karta.png", "A 15886-2026")</f>
        <v/>
      </c>
      <c r="V131">
        <f>HYPERLINK("https://klasma.github.io/Logging_0188/klagomål/A 15886-2026 FSC-klagomål.docx", "A 15886-2026")</f>
        <v/>
      </c>
      <c r="W131">
        <f>HYPERLINK("https://klasma.github.io/Logging_0188/klagomålsmail/A 15886-2026 FSC-klagomål mail.docx", "A 15886-2026")</f>
        <v/>
      </c>
      <c r="X131">
        <f>HYPERLINK("https://klasma.github.io/Logging_0188/tillsyn/A 15886-2026 tillsynsbegäran.docx", "A 15886-2026")</f>
        <v/>
      </c>
      <c r="Y131">
        <f>HYPERLINK("https://klasma.github.io/Logging_0188/tillsynsmail/A 15886-2026 tillsynsbegäran mail.docx", "A 15886-2026")</f>
        <v/>
      </c>
      <c r="Z131">
        <f>HYPERLINK("https://klasma.github.io/Logging_0188/fåglar/A 15886-2026 prioriterade fågelarter.docx", "A 15886-2026")</f>
        <v/>
      </c>
    </row>
    <row r="132" ht="15" customHeight="1">
      <c r="A132" t="inlineStr">
        <is>
          <t>A 21821-2026</t>
        </is>
      </c>
      <c r="B132" s="1" t="n">
        <v>46150.48150462963</v>
      </c>
      <c r="C132" s="1" t="n">
        <v>46167</v>
      </c>
      <c r="D132" t="inlineStr">
        <is>
          <t>STOCKHOLMS LÄN</t>
        </is>
      </c>
      <c r="E132" t="inlineStr">
        <is>
          <t>NORRTÄLJE</t>
        </is>
      </c>
      <c r="G132" t="n">
        <v>2.6</v>
      </c>
      <c r="H132" t="n">
        <v>1</v>
      </c>
      <c r="I132" t="n">
        <v>0</v>
      </c>
      <c r="J132" t="n">
        <v>0</v>
      </c>
      <c r="K132" t="n">
        <v>0</v>
      </c>
      <c r="L132" t="n">
        <v>1</v>
      </c>
      <c r="M132" t="n">
        <v>0</v>
      </c>
      <c r="N132" t="n">
        <v>0</v>
      </c>
      <c r="O132" t="n">
        <v>1</v>
      </c>
      <c r="P132" t="n">
        <v>1</v>
      </c>
      <c r="Q132" t="n">
        <v>1</v>
      </c>
      <c r="R132" s="2" t="inlineStr">
        <is>
          <t>Bredgentiana</t>
        </is>
      </c>
      <c r="S132">
        <f>HYPERLINK("https://klasma.github.io/Logging_0188/artfynd/A 21821-2026 artfynd.xlsx", "A 21821-2026")</f>
        <v/>
      </c>
      <c r="T132">
        <f>HYPERLINK("https://klasma.github.io/Logging_0188/kartor/A 21821-2026 karta.png", "A 21821-2026")</f>
        <v/>
      </c>
      <c r="V132">
        <f>HYPERLINK("https://klasma.github.io/Logging_0188/klagomål/A 21821-2026 FSC-klagomål.docx", "A 21821-2026")</f>
        <v/>
      </c>
      <c r="W132">
        <f>HYPERLINK("https://klasma.github.io/Logging_0188/klagomålsmail/A 21821-2026 FSC-klagomål mail.docx", "A 21821-2026")</f>
        <v/>
      </c>
      <c r="X132">
        <f>HYPERLINK("https://klasma.github.io/Logging_0188/tillsyn/A 21821-2026 tillsynsbegäran.docx", "A 21821-2026")</f>
        <v/>
      </c>
      <c r="Y132">
        <f>HYPERLINK("https://klasma.github.io/Logging_0188/tillsynsmail/A 21821-2026 tillsynsbegäran mail.docx", "A 21821-2026")</f>
        <v/>
      </c>
    </row>
    <row r="133" ht="15" customHeight="1">
      <c r="A133" t="inlineStr">
        <is>
          <t>A 27827-2022</t>
        </is>
      </c>
      <c r="B133" s="1" t="n">
        <v>44743.59504629629</v>
      </c>
      <c r="C133" s="1" t="n">
        <v>46167</v>
      </c>
      <c r="D133" t="inlineStr">
        <is>
          <t>STOCKHOLMS LÄN</t>
        </is>
      </c>
      <c r="E133" t="inlineStr">
        <is>
          <t>NORRTÄLJE</t>
        </is>
      </c>
      <c r="F133" t="inlineStr">
        <is>
          <t>Holmen skog AB</t>
        </is>
      </c>
      <c r="G133" t="n">
        <v>4.7</v>
      </c>
      <c r="H133" t="n">
        <v>1</v>
      </c>
      <c r="I133" t="n">
        <v>0</v>
      </c>
      <c r="J133" t="n">
        <v>1</v>
      </c>
      <c r="K133" t="n">
        <v>0</v>
      </c>
      <c r="L133" t="n">
        <v>0</v>
      </c>
      <c r="M133" t="n">
        <v>0</v>
      </c>
      <c r="N133" t="n">
        <v>0</v>
      </c>
      <c r="O133" t="n">
        <v>1</v>
      </c>
      <c r="P133" t="n">
        <v>0</v>
      </c>
      <c r="Q133" t="n">
        <v>1</v>
      </c>
      <c r="R133" s="2" t="inlineStr">
        <is>
          <t>Nordfladdermus</t>
        </is>
      </c>
      <c r="S133">
        <f>HYPERLINK("https://klasma.github.io/Logging_0188/artfynd/A 27827-2022 artfynd.xlsx", "A 27827-2022")</f>
        <v/>
      </c>
      <c r="T133">
        <f>HYPERLINK("https://klasma.github.io/Logging_0188/kartor/A 27827-2022 karta.png", "A 27827-2022")</f>
        <v/>
      </c>
      <c r="V133">
        <f>HYPERLINK("https://klasma.github.io/Logging_0188/klagomål/A 27827-2022 FSC-klagomål.docx", "A 27827-2022")</f>
        <v/>
      </c>
      <c r="W133">
        <f>HYPERLINK("https://klasma.github.io/Logging_0188/klagomålsmail/A 27827-2022 FSC-klagomål mail.docx", "A 27827-2022")</f>
        <v/>
      </c>
      <c r="X133">
        <f>HYPERLINK("https://klasma.github.io/Logging_0188/tillsyn/A 27827-2022 tillsynsbegäran.docx", "A 27827-2022")</f>
        <v/>
      </c>
      <c r="Y133">
        <f>HYPERLINK("https://klasma.github.io/Logging_0188/tillsynsmail/A 27827-2022 tillsynsbegäran mail.docx", "A 27827-2022")</f>
        <v/>
      </c>
    </row>
    <row r="134" ht="15" customHeight="1">
      <c r="A134" t="inlineStr">
        <is>
          <t>A 23146-2024</t>
        </is>
      </c>
      <c r="B134" s="1" t="n">
        <v>45450.63958333333</v>
      </c>
      <c r="C134" s="1" t="n">
        <v>46167</v>
      </c>
      <c r="D134" t="inlineStr">
        <is>
          <t>STOCKHOLMS LÄN</t>
        </is>
      </c>
      <c r="E134" t="inlineStr">
        <is>
          <t>NORRTÄLJE</t>
        </is>
      </c>
      <c r="F134" t="inlineStr">
        <is>
          <t>Kommuner</t>
        </is>
      </c>
      <c r="G134" t="n">
        <v>6</v>
      </c>
      <c r="H134" t="n">
        <v>0</v>
      </c>
      <c r="I134" t="n">
        <v>0</v>
      </c>
      <c r="J134" t="n">
        <v>1</v>
      </c>
      <c r="K134" t="n">
        <v>0</v>
      </c>
      <c r="L134" t="n">
        <v>0</v>
      </c>
      <c r="M134" t="n">
        <v>0</v>
      </c>
      <c r="N134" t="n">
        <v>0</v>
      </c>
      <c r="O134" t="n">
        <v>1</v>
      </c>
      <c r="P134" t="n">
        <v>0</v>
      </c>
      <c r="Q134" t="n">
        <v>1</v>
      </c>
      <c r="R134" s="2" t="inlineStr">
        <is>
          <t>Motaggsvamp</t>
        </is>
      </c>
      <c r="S134">
        <f>HYPERLINK("https://klasma.github.io/Logging_0188/artfynd/A 23146-2024 artfynd.xlsx", "A 23146-2024")</f>
        <v/>
      </c>
      <c r="T134">
        <f>HYPERLINK("https://klasma.github.io/Logging_0188/kartor/A 23146-2024 karta.png", "A 23146-2024")</f>
        <v/>
      </c>
      <c r="V134">
        <f>HYPERLINK("https://klasma.github.io/Logging_0188/klagomål/A 23146-2024 FSC-klagomål.docx", "A 23146-2024")</f>
        <v/>
      </c>
      <c r="W134">
        <f>HYPERLINK("https://klasma.github.io/Logging_0188/klagomålsmail/A 23146-2024 FSC-klagomål mail.docx", "A 23146-2024")</f>
        <v/>
      </c>
      <c r="X134">
        <f>HYPERLINK("https://klasma.github.io/Logging_0188/tillsyn/A 23146-2024 tillsynsbegäran.docx", "A 23146-2024")</f>
        <v/>
      </c>
      <c r="Y134">
        <f>HYPERLINK("https://klasma.github.io/Logging_0188/tillsynsmail/A 23146-2024 tillsynsbegäran mail.docx", "A 23146-2024")</f>
        <v/>
      </c>
    </row>
    <row r="135" ht="15" customHeight="1">
      <c r="A135" t="inlineStr">
        <is>
          <t>A 27538-2024</t>
        </is>
      </c>
      <c r="B135" s="1" t="n">
        <v>45474</v>
      </c>
      <c r="C135" s="1" t="n">
        <v>46167</v>
      </c>
      <c r="D135" t="inlineStr">
        <is>
          <t>STOCKHOLMS LÄN</t>
        </is>
      </c>
      <c r="E135" t="inlineStr">
        <is>
          <t>NORRTÄLJE</t>
        </is>
      </c>
      <c r="G135" t="n">
        <v>1.5</v>
      </c>
      <c r="H135" t="n">
        <v>1</v>
      </c>
      <c r="I135" t="n">
        <v>1</v>
      </c>
      <c r="J135" t="n">
        <v>0</v>
      </c>
      <c r="K135" t="n">
        <v>0</v>
      </c>
      <c r="L135" t="n">
        <v>0</v>
      </c>
      <c r="M135" t="n">
        <v>0</v>
      </c>
      <c r="N135" t="n">
        <v>0</v>
      </c>
      <c r="O135" t="n">
        <v>0</v>
      </c>
      <c r="P135" t="n">
        <v>0</v>
      </c>
      <c r="Q135" t="n">
        <v>1</v>
      </c>
      <c r="R135" s="2" t="inlineStr">
        <is>
          <t>Skogsknipprot</t>
        </is>
      </c>
      <c r="S135">
        <f>HYPERLINK("https://klasma.github.io/Logging_0188/artfynd/A 27538-2024 artfynd.xlsx", "A 27538-2024")</f>
        <v/>
      </c>
      <c r="T135">
        <f>HYPERLINK("https://klasma.github.io/Logging_0188/kartor/A 27538-2024 karta.png", "A 27538-2024")</f>
        <v/>
      </c>
      <c r="V135">
        <f>HYPERLINK("https://klasma.github.io/Logging_0188/klagomål/A 27538-2024 FSC-klagomål.docx", "A 27538-2024")</f>
        <v/>
      </c>
      <c r="W135">
        <f>HYPERLINK("https://klasma.github.io/Logging_0188/klagomålsmail/A 27538-2024 FSC-klagomål mail.docx", "A 27538-2024")</f>
        <v/>
      </c>
      <c r="X135">
        <f>HYPERLINK("https://klasma.github.io/Logging_0188/tillsyn/A 27538-2024 tillsynsbegäran.docx", "A 27538-2024")</f>
        <v/>
      </c>
      <c r="Y135">
        <f>HYPERLINK("https://klasma.github.io/Logging_0188/tillsynsmail/A 27538-2024 tillsynsbegäran mail.docx", "A 27538-2024")</f>
        <v/>
      </c>
    </row>
    <row r="136" ht="15" customHeight="1">
      <c r="A136" t="inlineStr">
        <is>
          <t>A 48131-2023</t>
        </is>
      </c>
      <c r="B136" s="1" t="n">
        <v>45205</v>
      </c>
      <c r="C136" s="1" t="n">
        <v>46167</v>
      </c>
      <c r="D136" t="inlineStr">
        <is>
          <t>STOCKHOLMS LÄN</t>
        </is>
      </c>
      <c r="E136" t="inlineStr">
        <is>
          <t>NORRTÄLJE</t>
        </is>
      </c>
      <c r="G136" t="n">
        <v>2.3</v>
      </c>
      <c r="H136" t="n">
        <v>0</v>
      </c>
      <c r="I136" t="n">
        <v>0</v>
      </c>
      <c r="J136" t="n">
        <v>1</v>
      </c>
      <c r="K136" t="n">
        <v>0</v>
      </c>
      <c r="L136" t="n">
        <v>0</v>
      </c>
      <c r="M136" t="n">
        <v>0</v>
      </c>
      <c r="N136" t="n">
        <v>0</v>
      </c>
      <c r="O136" t="n">
        <v>1</v>
      </c>
      <c r="P136" t="n">
        <v>0</v>
      </c>
      <c r="Q136" t="n">
        <v>1</v>
      </c>
      <c r="R136" s="2" t="inlineStr">
        <is>
          <t>Slåtterfibbla</t>
        </is>
      </c>
      <c r="S136">
        <f>HYPERLINK("https://klasma.github.io/Logging_0188/artfynd/A 48131-2023 artfynd.xlsx", "A 48131-2023")</f>
        <v/>
      </c>
      <c r="T136">
        <f>HYPERLINK("https://klasma.github.io/Logging_0188/kartor/A 48131-2023 karta.png", "A 48131-2023")</f>
        <v/>
      </c>
      <c r="V136">
        <f>HYPERLINK("https://klasma.github.io/Logging_0188/klagomål/A 48131-2023 FSC-klagomål.docx", "A 48131-2023")</f>
        <v/>
      </c>
      <c r="W136">
        <f>HYPERLINK("https://klasma.github.io/Logging_0188/klagomålsmail/A 48131-2023 FSC-klagomål mail.docx", "A 48131-2023")</f>
        <v/>
      </c>
      <c r="X136">
        <f>HYPERLINK("https://klasma.github.io/Logging_0188/tillsyn/A 48131-2023 tillsynsbegäran.docx", "A 48131-2023")</f>
        <v/>
      </c>
      <c r="Y136">
        <f>HYPERLINK("https://klasma.github.io/Logging_0188/tillsynsmail/A 48131-2023 tillsynsbegäran mail.docx", "A 48131-2023")</f>
        <v/>
      </c>
    </row>
    <row r="137" ht="15" customHeight="1">
      <c r="A137" t="inlineStr">
        <is>
          <t>A 21150-2022</t>
        </is>
      </c>
      <c r="B137" s="1" t="n">
        <v>44704</v>
      </c>
      <c r="C137" s="1" t="n">
        <v>46167</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58888-2021</t>
        </is>
      </c>
      <c r="B138" s="1" t="n">
        <v>44489</v>
      </c>
      <c r="C138" s="1" t="n">
        <v>46167</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9955-2022</t>
        </is>
      </c>
      <c r="B139" s="1" t="n">
        <v>44620</v>
      </c>
      <c r="C139" s="1" t="n">
        <v>46167</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46167</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25669-2025</t>
        </is>
      </c>
      <c r="B141" s="1" t="n">
        <v>45803.62766203703</v>
      </c>
      <c r="C141" s="1" t="n">
        <v>46167</v>
      </c>
      <c r="D141" t="inlineStr">
        <is>
          <t>STOCKHOLMS LÄN</t>
        </is>
      </c>
      <c r="E141" t="inlineStr">
        <is>
          <t>NORRTÄLJE</t>
        </is>
      </c>
      <c r="F141" t="inlineStr">
        <is>
          <t>Holmen skog AB</t>
        </is>
      </c>
      <c r="G141" t="n">
        <v>3.1</v>
      </c>
      <c r="H141" t="n">
        <v>1</v>
      </c>
      <c r="I141" t="n">
        <v>0</v>
      </c>
      <c r="J141" t="n">
        <v>0</v>
      </c>
      <c r="K141" t="n">
        <v>0</v>
      </c>
      <c r="L141" t="n">
        <v>0</v>
      </c>
      <c r="M141" t="n">
        <v>0</v>
      </c>
      <c r="N141" t="n">
        <v>0</v>
      </c>
      <c r="O141" t="n">
        <v>0</v>
      </c>
      <c r="P141" t="n">
        <v>0</v>
      </c>
      <c r="Q141" t="n">
        <v>1</v>
      </c>
      <c r="R141" s="2" t="inlineStr">
        <is>
          <t>Tjäder</t>
        </is>
      </c>
      <c r="S141">
        <f>HYPERLINK("https://klasma.github.io/Logging_0188/artfynd/A 25669-2025 artfynd.xlsx", "A 25669-2025")</f>
        <v/>
      </c>
      <c r="T141">
        <f>HYPERLINK("https://klasma.github.io/Logging_0188/kartor/A 25669-2025 karta.png", "A 25669-2025")</f>
        <v/>
      </c>
      <c r="V141">
        <f>HYPERLINK("https://klasma.github.io/Logging_0188/klagomål/A 25669-2025 FSC-klagomål.docx", "A 25669-2025")</f>
        <v/>
      </c>
      <c r="W141">
        <f>HYPERLINK("https://klasma.github.io/Logging_0188/klagomålsmail/A 25669-2025 FSC-klagomål mail.docx", "A 25669-2025")</f>
        <v/>
      </c>
      <c r="X141">
        <f>HYPERLINK("https://klasma.github.io/Logging_0188/tillsyn/A 25669-2025 tillsynsbegäran.docx", "A 25669-2025")</f>
        <v/>
      </c>
      <c r="Y141">
        <f>HYPERLINK("https://klasma.github.io/Logging_0188/tillsynsmail/A 25669-2025 tillsynsbegäran mail.docx", "A 25669-2025")</f>
        <v/>
      </c>
      <c r="Z141">
        <f>HYPERLINK("https://klasma.github.io/Logging_0188/fåglar/A 25669-2025 prioriterade fågelarter.docx", "A 25669-2025")</f>
        <v/>
      </c>
    </row>
    <row r="142" ht="15" customHeight="1">
      <c r="A142" t="inlineStr">
        <is>
          <t>A 35764-2024</t>
        </is>
      </c>
      <c r="B142" s="1" t="n">
        <v>45532</v>
      </c>
      <c r="C142" s="1" t="n">
        <v>46167</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25725-2025</t>
        </is>
      </c>
      <c r="B143" s="1" t="n">
        <v>45800</v>
      </c>
      <c r="C143" s="1" t="n">
        <v>46167</v>
      </c>
      <c r="D143" t="inlineStr">
        <is>
          <t>STOCKHOLMS LÄN</t>
        </is>
      </c>
      <c r="E143" t="inlineStr">
        <is>
          <t>NORRTÄLJE</t>
        </is>
      </c>
      <c r="G143" t="n">
        <v>5.2</v>
      </c>
      <c r="H143" t="n">
        <v>0</v>
      </c>
      <c r="I143" t="n">
        <v>0</v>
      </c>
      <c r="J143" t="n">
        <v>1</v>
      </c>
      <c r="K143" t="n">
        <v>0</v>
      </c>
      <c r="L143" t="n">
        <v>0</v>
      </c>
      <c r="M143" t="n">
        <v>0</v>
      </c>
      <c r="N143" t="n">
        <v>0</v>
      </c>
      <c r="O143" t="n">
        <v>1</v>
      </c>
      <c r="P143" t="n">
        <v>0</v>
      </c>
      <c r="Q143" t="n">
        <v>1</v>
      </c>
      <c r="R143" s="2" t="inlineStr">
        <is>
          <t>Tallticka</t>
        </is>
      </c>
      <c r="S143">
        <f>HYPERLINK("https://klasma.github.io/Logging_0188/artfynd/A 25725-2025 artfynd.xlsx", "A 25725-2025")</f>
        <v/>
      </c>
      <c r="T143">
        <f>HYPERLINK("https://klasma.github.io/Logging_0188/kartor/A 25725-2025 karta.png", "A 25725-2025")</f>
        <v/>
      </c>
      <c r="V143">
        <f>HYPERLINK("https://klasma.github.io/Logging_0188/klagomål/A 25725-2025 FSC-klagomål.docx", "A 25725-2025")</f>
        <v/>
      </c>
      <c r="W143">
        <f>HYPERLINK("https://klasma.github.io/Logging_0188/klagomålsmail/A 25725-2025 FSC-klagomål mail.docx", "A 25725-2025")</f>
        <v/>
      </c>
      <c r="X143">
        <f>HYPERLINK("https://klasma.github.io/Logging_0188/tillsyn/A 25725-2025 tillsynsbegäran.docx", "A 25725-2025")</f>
        <v/>
      </c>
      <c r="Y143">
        <f>HYPERLINK("https://klasma.github.io/Logging_0188/tillsynsmail/A 25725-2025 tillsynsbegäran mail.docx", "A 25725-2025")</f>
        <v/>
      </c>
    </row>
    <row r="144" ht="15" customHeight="1">
      <c r="A144" t="inlineStr">
        <is>
          <t>A 25709-2025</t>
        </is>
      </c>
      <c r="B144" s="1" t="n">
        <v>45800</v>
      </c>
      <c r="C144" s="1" t="n">
        <v>46167</v>
      </c>
      <c r="D144" t="inlineStr">
        <is>
          <t>STOCKHOLMS LÄN</t>
        </is>
      </c>
      <c r="E144" t="inlineStr">
        <is>
          <t>NORRTÄLJE</t>
        </is>
      </c>
      <c r="G144" t="n">
        <v>4.6</v>
      </c>
      <c r="H144" t="n">
        <v>0</v>
      </c>
      <c r="I144" t="n">
        <v>0</v>
      </c>
      <c r="J144" t="n">
        <v>1</v>
      </c>
      <c r="K144" t="n">
        <v>0</v>
      </c>
      <c r="L144" t="n">
        <v>0</v>
      </c>
      <c r="M144" t="n">
        <v>0</v>
      </c>
      <c r="N144" t="n">
        <v>0</v>
      </c>
      <c r="O144" t="n">
        <v>1</v>
      </c>
      <c r="P144" t="n">
        <v>0</v>
      </c>
      <c r="Q144" t="n">
        <v>1</v>
      </c>
      <c r="R144" s="2" t="inlineStr">
        <is>
          <t>Ullticka</t>
        </is>
      </c>
      <c r="S144">
        <f>HYPERLINK("https://klasma.github.io/Logging_0188/artfynd/A 25709-2025 artfynd.xlsx", "A 25709-2025")</f>
        <v/>
      </c>
      <c r="T144">
        <f>HYPERLINK("https://klasma.github.io/Logging_0188/kartor/A 25709-2025 karta.png", "A 25709-2025")</f>
        <v/>
      </c>
      <c r="V144">
        <f>HYPERLINK("https://klasma.github.io/Logging_0188/klagomål/A 25709-2025 FSC-klagomål.docx", "A 25709-2025")</f>
        <v/>
      </c>
      <c r="W144">
        <f>HYPERLINK("https://klasma.github.io/Logging_0188/klagomålsmail/A 25709-2025 FSC-klagomål mail.docx", "A 25709-2025")</f>
        <v/>
      </c>
      <c r="X144">
        <f>HYPERLINK("https://klasma.github.io/Logging_0188/tillsyn/A 25709-2025 tillsynsbegäran.docx", "A 25709-2025")</f>
        <v/>
      </c>
      <c r="Y144">
        <f>HYPERLINK("https://klasma.github.io/Logging_0188/tillsynsmail/A 25709-2025 tillsynsbegäran mail.docx", "A 25709-2025")</f>
        <v/>
      </c>
    </row>
    <row r="145" ht="15" customHeight="1">
      <c r="A145" t="inlineStr">
        <is>
          <t>A 35649-2023</t>
        </is>
      </c>
      <c r="B145" s="1" t="n">
        <v>45146</v>
      </c>
      <c r="C145" s="1" t="n">
        <v>46167</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6381-2023</t>
        </is>
      </c>
      <c r="B146" s="1" t="n">
        <v>44965</v>
      </c>
      <c r="C146" s="1" t="n">
        <v>46167</v>
      </c>
      <c r="D146" t="inlineStr">
        <is>
          <t>STOCKHOLMS LÄN</t>
        </is>
      </c>
      <c r="E146" t="inlineStr">
        <is>
          <t>NORRTÄLJE</t>
        </is>
      </c>
      <c r="G146" t="n">
        <v>3.5</v>
      </c>
      <c r="H146" t="n">
        <v>1</v>
      </c>
      <c r="I146" t="n">
        <v>1</v>
      </c>
      <c r="J146" t="n">
        <v>0</v>
      </c>
      <c r="K146" t="n">
        <v>0</v>
      </c>
      <c r="L146" t="n">
        <v>0</v>
      </c>
      <c r="M146" t="n">
        <v>0</v>
      </c>
      <c r="N146" t="n">
        <v>0</v>
      </c>
      <c r="O146" t="n">
        <v>0</v>
      </c>
      <c r="P146" t="n">
        <v>0</v>
      </c>
      <c r="Q146" t="n">
        <v>1</v>
      </c>
      <c r="R146" s="2" t="inlineStr">
        <is>
          <t>Guckusko</t>
        </is>
      </c>
      <c r="S146">
        <f>HYPERLINK("https://klasma.github.io/Logging_0188/artfynd/A 6381-2023 artfynd.xlsx", "A 6381-2023")</f>
        <v/>
      </c>
      <c r="T146">
        <f>HYPERLINK("https://klasma.github.io/Logging_0188/kartor/A 6381-2023 karta.png", "A 6381-2023")</f>
        <v/>
      </c>
      <c r="V146">
        <f>HYPERLINK("https://klasma.github.io/Logging_0188/klagomål/A 6381-2023 FSC-klagomål.docx", "A 6381-2023")</f>
        <v/>
      </c>
      <c r="W146">
        <f>HYPERLINK("https://klasma.github.io/Logging_0188/klagomålsmail/A 6381-2023 FSC-klagomål mail.docx", "A 6381-2023")</f>
        <v/>
      </c>
      <c r="X146">
        <f>HYPERLINK("https://klasma.github.io/Logging_0188/tillsyn/A 6381-2023 tillsynsbegäran.docx", "A 6381-2023")</f>
        <v/>
      </c>
      <c r="Y146">
        <f>HYPERLINK("https://klasma.github.io/Logging_0188/tillsynsmail/A 6381-2023 tillsynsbegäran mail.docx", "A 6381-2023")</f>
        <v/>
      </c>
    </row>
    <row r="147" ht="15" customHeight="1">
      <c r="A147" t="inlineStr">
        <is>
          <t>A 29946-2025</t>
        </is>
      </c>
      <c r="B147" s="1" t="n">
        <v>45826.46392361111</v>
      </c>
      <c r="C147" s="1" t="n">
        <v>46167</v>
      </c>
      <c r="D147" t="inlineStr">
        <is>
          <t>STOCKHOLMS LÄN</t>
        </is>
      </c>
      <c r="E147" t="inlineStr">
        <is>
          <t>NORRTÄLJE</t>
        </is>
      </c>
      <c r="F147" t="inlineStr">
        <is>
          <t>Holmen skog AB</t>
        </is>
      </c>
      <c r="G147" t="n">
        <v>3.6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29946-2025 artfynd.xlsx", "A 29946-2025")</f>
        <v/>
      </c>
      <c r="T147">
        <f>HYPERLINK("https://klasma.github.io/Logging_0188/kartor/A 29946-2025 karta.png", "A 29946-2025")</f>
        <v/>
      </c>
      <c r="V147">
        <f>HYPERLINK("https://klasma.github.io/Logging_0188/klagomål/A 29946-2025 FSC-klagomål.docx", "A 29946-2025")</f>
        <v/>
      </c>
      <c r="W147">
        <f>HYPERLINK("https://klasma.github.io/Logging_0188/klagomålsmail/A 29946-2025 FSC-klagomål mail.docx", "A 29946-2025")</f>
        <v/>
      </c>
      <c r="X147">
        <f>HYPERLINK("https://klasma.github.io/Logging_0188/tillsyn/A 29946-2025 tillsynsbegäran.docx", "A 29946-2025")</f>
        <v/>
      </c>
      <c r="Y147">
        <f>HYPERLINK("https://klasma.github.io/Logging_0188/tillsynsmail/A 29946-2025 tillsynsbegäran mail.docx", "A 29946-2025")</f>
        <v/>
      </c>
    </row>
    <row r="148" ht="15" customHeight="1">
      <c r="A148" t="inlineStr">
        <is>
          <t>A 33546-2025</t>
        </is>
      </c>
      <c r="B148" s="1" t="n">
        <v>45841.56996527778</v>
      </c>
      <c r="C148" s="1" t="n">
        <v>46167</v>
      </c>
      <c r="D148" t="inlineStr">
        <is>
          <t>STOCKHOLMS LÄN</t>
        </is>
      </c>
      <c r="E148" t="inlineStr">
        <is>
          <t>NORRTÄLJE</t>
        </is>
      </c>
      <c r="G148" t="n">
        <v>7.2</v>
      </c>
      <c r="H148" t="n">
        <v>1</v>
      </c>
      <c r="I148" t="n">
        <v>1</v>
      </c>
      <c r="J148" t="n">
        <v>0</v>
      </c>
      <c r="K148" t="n">
        <v>0</v>
      </c>
      <c r="L148" t="n">
        <v>0</v>
      </c>
      <c r="M148" t="n">
        <v>0</v>
      </c>
      <c r="N148" t="n">
        <v>0</v>
      </c>
      <c r="O148" t="n">
        <v>0</v>
      </c>
      <c r="P148" t="n">
        <v>0</v>
      </c>
      <c r="Q148" t="n">
        <v>1</v>
      </c>
      <c r="R148" s="2" t="inlineStr">
        <is>
          <t>Nästrot</t>
        </is>
      </c>
      <c r="S148">
        <f>HYPERLINK("https://klasma.github.io/Logging_0188/artfynd/A 33546-2025 artfynd.xlsx", "A 33546-2025")</f>
        <v/>
      </c>
      <c r="T148">
        <f>HYPERLINK("https://klasma.github.io/Logging_0188/kartor/A 33546-2025 karta.png", "A 33546-2025")</f>
        <v/>
      </c>
      <c r="V148">
        <f>HYPERLINK("https://klasma.github.io/Logging_0188/klagomål/A 33546-2025 FSC-klagomål.docx", "A 33546-2025")</f>
        <v/>
      </c>
      <c r="W148">
        <f>HYPERLINK("https://klasma.github.io/Logging_0188/klagomålsmail/A 33546-2025 FSC-klagomål mail.docx", "A 33546-2025")</f>
        <v/>
      </c>
      <c r="X148">
        <f>HYPERLINK("https://klasma.github.io/Logging_0188/tillsyn/A 33546-2025 tillsynsbegäran.docx", "A 33546-2025")</f>
        <v/>
      </c>
      <c r="Y148">
        <f>HYPERLINK("https://klasma.github.io/Logging_0188/tillsynsmail/A 33546-2025 tillsynsbegäran mail.docx", "A 33546-2025")</f>
        <v/>
      </c>
    </row>
    <row r="149" ht="15" customHeight="1">
      <c r="A149" t="inlineStr">
        <is>
          <t>A 71543-2021</t>
        </is>
      </c>
      <c r="B149" s="1" t="n">
        <v>44540</v>
      </c>
      <c r="C149" s="1" t="n">
        <v>46167</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46167</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47344-2021</t>
        </is>
      </c>
      <c r="B151" s="1" t="n">
        <v>44447</v>
      </c>
      <c r="C151" s="1" t="n">
        <v>46167</v>
      </c>
      <c r="D151" t="inlineStr">
        <is>
          <t>STOCKHOLMS LÄN</t>
        </is>
      </c>
      <c r="E151" t="inlineStr">
        <is>
          <t>NORRTÄLJE</t>
        </is>
      </c>
      <c r="G151" t="n">
        <v>3.3</v>
      </c>
      <c r="H151" t="n">
        <v>0</v>
      </c>
      <c r="I151" t="n">
        <v>0</v>
      </c>
      <c r="J151" t="n">
        <v>0</v>
      </c>
      <c r="K151" t="n">
        <v>0</v>
      </c>
      <c r="L151" t="n">
        <v>0</v>
      </c>
      <c r="M151" t="n">
        <v>0</v>
      </c>
      <c r="N151" t="n">
        <v>0</v>
      </c>
      <c r="O151" t="n">
        <v>0</v>
      </c>
      <c r="P151" t="n">
        <v>0</v>
      </c>
      <c r="Q151" t="n">
        <v>0</v>
      </c>
      <c r="R151" s="2" t="inlineStr"/>
    </row>
    <row r="152" ht="15" customHeight="1">
      <c r="A152" t="inlineStr">
        <is>
          <t>A 12877-2022</t>
        </is>
      </c>
      <c r="B152" s="1" t="n">
        <v>44642</v>
      </c>
      <c r="C152" s="1" t="n">
        <v>46167</v>
      </c>
      <c r="D152" t="inlineStr">
        <is>
          <t>STOCKHOLMS LÄN</t>
        </is>
      </c>
      <c r="E152" t="inlineStr">
        <is>
          <t>NORRTÄLJE</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46167</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46167</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46167</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46167</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46167</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46167</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46167</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46167</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46167</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46167</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46167</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46167</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46167</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46167</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46167</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46167</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46167</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46167</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46167</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46167</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46167</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46167</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46167</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46167</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46167</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46167</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46167</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46167</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46167</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45539-2022</t>
        </is>
      </c>
      <c r="B182" s="1" t="n">
        <v>44845.47585648148</v>
      </c>
      <c r="C182" s="1" t="n">
        <v>46167</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46167</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46167</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46167</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46167</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24534-2022</t>
        </is>
      </c>
      <c r="B187" s="1" t="n">
        <v>44727</v>
      </c>
      <c r="C187" s="1" t="n">
        <v>46167</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46167</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46167</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46167</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46167</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46167</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46167</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46167</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46167</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46167</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46167</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46167</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46167</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46167</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46167</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46167</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46167</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46167</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46167</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46167</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46167</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46167</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46167</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46167</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46167</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46167</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46167</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46167</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46167</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46167</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46167</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46167</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46167</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46167</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46167</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46167</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46167</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46167</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46167</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46167</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46167</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46167</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46167</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46167</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46167</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46167</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46167</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46167</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46167</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46167</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46167</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46167</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46167</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46167</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46167</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46167</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46167</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46167</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46167</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46167</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46167</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46167</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12355-2022</t>
        </is>
      </c>
      <c r="B249" s="1" t="n">
        <v>44637</v>
      </c>
      <c r="C249" s="1" t="n">
        <v>46167</v>
      </c>
      <c r="D249" t="inlineStr">
        <is>
          <t>STOCKHOLMS LÄN</t>
        </is>
      </c>
      <c r="E249" t="inlineStr">
        <is>
          <t>NORRTÄLJE</t>
        </is>
      </c>
      <c r="G249" t="n">
        <v>10.4</v>
      </c>
      <c r="H249" t="n">
        <v>0</v>
      </c>
      <c r="I249" t="n">
        <v>0</v>
      </c>
      <c r="J249" t="n">
        <v>0</v>
      </c>
      <c r="K249" t="n">
        <v>0</v>
      </c>
      <c r="L249" t="n">
        <v>0</v>
      </c>
      <c r="M249" t="n">
        <v>0</v>
      </c>
      <c r="N249" t="n">
        <v>0</v>
      </c>
      <c r="O249" t="n">
        <v>0</v>
      </c>
      <c r="P249" t="n">
        <v>0</v>
      </c>
      <c r="Q249" t="n">
        <v>0</v>
      </c>
      <c r="R249" s="2" t="inlineStr"/>
    </row>
    <row r="250" ht="15" customHeight="1">
      <c r="A250" t="inlineStr">
        <is>
          <t>A 27214-2021</t>
        </is>
      </c>
      <c r="B250" s="1" t="n">
        <v>44350</v>
      </c>
      <c r="C250" s="1" t="n">
        <v>46167</v>
      </c>
      <c r="D250" t="inlineStr">
        <is>
          <t>STOCKHOLMS LÄN</t>
        </is>
      </c>
      <c r="E250" t="inlineStr">
        <is>
          <t>NORRTÄLJE</t>
        </is>
      </c>
      <c r="G250" t="n">
        <v>1</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46167</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46167</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46167</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46167</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46167</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30286-2022</t>
        </is>
      </c>
      <c r="B256" s="1" t="n">
        <v>44760</v>
      </c>
      <c r="C256" s="1" t="n">
        <v>46167</v>
      </c>
      <c r="D256" t="inlineStr">
        <is>
          <t>STOCKHOLMS LÄN</t>
        </is>
      </c>
      <c r="E256" t="inlineStr">
        <is>
          <t>NORRTÄLJE</t>
        </is>
      </c>
      <c r="G256" t="n">
        <v>0.3</v>
      </c>
      <c r="H256" t="n">
        <v>0</v>
      </c>
      <c r="I256" t="n">
        <v>0</v>
      </c>
      <c r="J256" t="n">
        <v>0</v>
      </c>
      <c r="K256" t="n">
        <v>0</v>
      </c>
      <c r="L256" t="n">
        <v>0</v>
      </c>
      <c r="M256" t="n">
        <v>0</v>
      </c>
      <c r="N256" t="n">
        <v>0</v>
      </c>
      <c r="O256" t="n">
        <v>0</v>
      </c>
      <c r="P256" t="n">
        <v>0</v>
      </c>
      <c r="Q256" t="n">
        <v>0</v>
      </c>
      <c r="R256" s="2" t="inlineStr"/>
    </row>
    <row r="257" ht="15" customHeight="1">
      <c r="A257" t="inlineStr">
        <is>
          <t>A 39319-2022</t>
        </is>
      </c>
      <c r="B257" s="1" t="n">
        <v>44817.70516203704</v>
      </c>
      <c r="C257" s="1" t="n">
        <v>46167</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56219-2021</t>
        </is>
      </c>
      <c r="B258" s="1" t="n">
        <v>44477</v>
      </c>
      <c r="C258" s="1" t="n">
        <v>46167</v>
      </c>
      <c r="D258" t="inlineStr">
        <is>
          <t>STOCKHOLMS LÄN</t>
        </is>
      </c>
      <c r="E258" t="inlineStr">
        <is>
          <t>NORRTÄLJE</t>
        </is>
      </c>
      <c r="F258" t="inlineStr">
        <is>
          <t>Kommuner</t>
        </is>
      </c>
      <c r="G258" t="n">
        <v>2.3</v>
      </c>
      <c r="H258" t="n">
        <v>0</v>
      </c>
      <c r="I258" t="n">
        <v>0</v>
      </c>
      <c r="J258" t="n">
        <v>0</v>
      </c>
      <c r="K258" t="n">
        <v>0</v>
      </c>
      <c r="L258" t="n">
        <v>0</v>
      </c>
      <c r="M258" t="n">
        <v>0</v>
      </c>
      <c r="N258" t="n">
        <v>0</v>
      </c>
      <c r="O258" t="n">
        <v>0</v>
      </c>
      <c r="P258" t="n">
        <v>0</v>
      </c>
      <c r="Q258" t="n">
        <v>0</v>
      </c>
      <c r="R258" s="2" t="inlineStr"/>
    </row>
    <row r="259" ht="15" customHeight="1">
      <c r="A259" t="inlineStr">
        <is>
          <t>A 8160-2022</t>
        </is>
      </c>
      <c r="B259" s="1" t="n">
        <v>44609</v>
      </c>
      <c r="C259" s="1" t="n">
        <v>46167</v>
      </c>
      <c r="D259" t="inlineStr">
        <is>
          <t>STOCKHOLMS LÄN</t>
        </is>
      </c>
      <c r="E259" t="inlineStr">
        <is>
          <t>NORRTÄLJE</t>
        </is>
      </c>
      <c r="G259" t="n">
        <v>3.9</v>
      </c>
      <c r="H259" t="n">
        <v>0</v>
      </c>
      <c r="I259" t="n">
        <v>0</v>
      </c>
      <c r="J259" t="n">
        <v>0</v>
      </c>
      <c r="K259" t="n">
        <v>0</v>
      </c>
      <c r="L259" t="n">
        <v>0</v>
      </c>
      <c r="M259" t="n">
        <v>0</v>
      </c>
      <c r="N259" t="n">
        <v>0</v>
      </c>
      <c r="O259" t="n">
        <v>0</v>
      </c>
      <c r="P259" t="n">
        <v>0</v>
      </c>
      <c r="Q259" t="n">
        <v>0</v>
      </c>
      <c r="R259" s="2" t="inlineStr"/>
    </row>
    <row r="260" ht="15" customHeight="1">
      <c r="A260" t="inlineStr">
        <is>
          <t>A 3300-2022</t>
        </is>
      </c>
      <c r="B260" s="1" t="n">
        <v>44584.91538194445</v>
      </c>
      <c r="C260" s="1" t="n">
        <v>46167</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17388-2022</t>
        </is>
      </c>
      <c r="B261" s="1" t="n">
        <v>44678</v>
      </c>
      <c r="C261" s="1" t="n">
        <v>46167</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46167</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46167</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46167</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46167</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46167</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46167</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46167</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25463-2021</t>
        </is>
      </c>
      <c r="B269" s="1" t="n">
        <v>44342</v>
      </c>
      <c r="C269" s="1" t="n">
        <v>46167</v>
      </c>
      <c r="D269" t="inlineStr">
        <is>
          <t>STOCKHOLMS LÄN</t>
        </is>
      </c>
      <c r="E269" t="inlineStr">
        <is>
          <t>NORRTÄLJE</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21102-2022</t>
        </is>
      </c>
      <c r="B270" s="1" t="n">
        <v>44704</v>
      </c>
      <c r="C270" s="1" t="n">
        <v>46167</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46167</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46167</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46167</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46167</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46167</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46167</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38721-2022</t>
        </is>
      </c>
      <c r="B277" s="1" t="n">
        <v>44815</v>
      </c>
      <c r="C277" s="1" t="n">
        <v>46167</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60184-2021</t>
        </is>
      </c>
      <c r="B278" s="1" t="n">
        <v>44495</v>
      </c>
      <c r="C278" s="1" t="n">
        <v>46167</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15915-2023</t>
        </is>
      </c>
      <c r="B279" s="1" t="n">
        <v>45022</v>
      </c>
      <c r="C279" s="1" t="n">
        <v>46167</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27828-2022</t>
        </is>
      </c>
      <c r="B280" s="1" t="n">
        <v>44743.59765046297</v>
      </c>
      <c r="C280" s="1" t="n">
        <v>46167</v>
      </c>
      <c r="D280" t="inlineStr">
        <is>
          <t>STOCKHOLMS LÄN</t>
        </is>
      </c>
      <c r="E280" t="inlineStr">
        <is>
          <t>NORRTÄLJE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16229-2022</t>
        </is>
      </c>
      <c r="B281" s="1" t="n">
        <v>44670.4190162037</v>
      </c>
      <c r="C281" s="1" t="n">
        <v>46167</v>
      </c>
      <c r="D281" t="inlineStr">
        <is>
          <t>STOCKHOLMS LÄN</t>
        </is>
      </c>
      <c r="E281" t="inlineStr">
        <is>
          <t>NORRTÄLJE</t>
        </is>
      </c>
      <c r="G281" t="n">
        <v>7.4</v>
      </c>
      <c r="H281" t="n">
        <v>0</v>
      </c>
      <c r="I281" t="n">
        <v>0</v>
      </c>
      <c r="J281" t="n">
        <v>0</v>
      </c>
      <c r="K281" t="n">
        <v>0</v>
      </c>
      <c r="L281" t="n">
        <v>0</v>
      </c>
      <c r="M281" t="n">
        <v>0</v>
      </c>
      <c r="N281" t="n">
        <v>0</v>
      </c>
      <c r="O281" t="n">
        <v>0</v>
      </c>
      <c r="P281" t="n">
        <v>0</v>
      </c>
      <c r="Q281" t="n">
        <v>0</v>
      </c>
      <c r="R281" s="2" t="inlineStr"/>
    </row>
    <row r="282" ht="15" customHeight="1">
      <c r="A282" t="inlineStr">
        <is>
          <t>A 33226-2024</t>
        </is>
      </c>
      <c r="B282" s="1" t="n">
        <v>45518</v>
      </c>
      <c r="C282" s="1" t="n">
        <v>46167</v>
      </c>
      <c r="D282" t="inlineStr">
        <is>
          <t>STOCKHOLMS LÄN</t>
        </is>
      </c>
      <c r="E282" t="inlineStr">
        <is>
          <t>NORRTÄLJE</t>
        </is>
      </c>
      <c r="G282" t="n">
        <v>13.8</v>
      </c>
      <c r="H282" t="n">
        <v>0</v>
      </c>
      <c r="I282" t="n">
        <v>0</v>
      </c>
      <c r="J282" t="n">
        <v>0</v>
      </c>
      <c r="K282" t="n">
        <v>0</v>
      </c>
      <c r="L282" t="n">
        <v>0</v>
      </c>
      <c r="M282" t="n">
        <v>0</v>
      </c>
      <c r="N282" t="n">
        <v>0</v>
      </c>
      <c r="O282" t="n">
        <v>0</v>
      </c>
      <c r="P282" t="n">
        <v>0</v>
      </c>
      <c r="Q282" t="n">
        <v>0</v>
      </c>
      <c r="R282" s="2" t="inlineStr"/>
    </row>
    <row r="283" ht="15" customHeight="1">
      <c r="A283" t="inlineStr">
        <is>
          <t>A 55243-2023</t>
        </is>
      </c>
      <c r="B283" s="1" t="n">
        <v>45237</v>
      </c>
      <c r="C283" s="1" t="n">
        <v>46167</v>
      </c>
      <c r="D283" t="inlineStr">
        <is>
          <t>STOCKHOLMS LÄN</t>
        </is>
      </c>
      <c r="E283" t="inlineStr">
        <is>
          <t>NORRTÄLJE</t>
        </is>
      </c>
      <c r="G283" t="n">
        <v>6.5</v>
      </c>
      <c r="H283" t="n">
        <v>0</v>
      </c>
      <c r="I283" t="n">
        <v>0</v>
      </c>
      <c r="J283" t="n">
        <v>0</v>
      </c>
      <c r="K283" t="n">
        <v>0</v>
      </c>
      <c r="L283" t="n">
        <v>0</v>
      </c>
      <c r="M283" t="n">
        <v>0</v>
      </c>
      <c r="N283" t="n">
        <v>0</v>
      </c>
      <c r="O283" t="n">
        <v>0</v>
      </c>
      <c r="P283" t="n">
        <v>0</v>
      </c>
      <c r="Q283" t="n">
        <v>0</v>
      </c>
      <c r="R283" s="2" t="inlineStr"/>
    </row>
    <row r="284" ht="15" customHeight="1">
      <c r="A284" t="inlineStr">
        <is>
          <t>A 22008-2024</t>
        </is>
      </c>
      <c r="B284" s="1" t="n">
        <v>45443</v>
      </c>
      <c r="C284" s="1" t="n">
        <v>46167</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52260-2022</t>
        </is>
      </c>
      <c r="B285" s="1" t="n">
        <v>44869</v>
      </c>
      <c r="C285" s="1" t="n">
        <v>46167</v>
      </c>
      <c r="D285" t="inlineStr">
        <is>
          <t>STOCKHOLMS LÄN</t>
        </is>
      </c>
      <c r="E285" t="inlineStr">
        <is>
          <t>NORRTÄLJE</t>
        </is>
      </c>
      <c r="G285" t="n">
        <v>3.1</v>
      </c>
      <c r="H285" t="n">
        <v>0</v>
      </c>
      <c r="I285" t="n">
        <v>0</v>
      </c>
      <c r="J285" t="n">
        <v>0</v>
      </c>
      <c r="K285" t="n">
        <v>0</v>
      </c>
      <c r="L285" t="n">
        <v>0</v>
      </c>
      <c r="M285" t="n">
        <v>0</v>
      </c>
      <c r="N285" t="n">
        <v>0</v>
      </c>
      <c r="O285" t="n">
        <v>0</v>
      </c>
      <c r="P285" t="n">
        <v>0</v>
      </c>
      <c r="Q285" t="n">
        <v>0</v>
      </c>
      <c r="R285" s="2" t="inlineStr"/>
    </row>
    <row r="286" ht="15" customHeight="1">
      <c r="A286" t="inlineStr">
        <is>
          <t>A 29972-2024</t>
        </is>
      </c>
      <c r="B286" s="1" t="n">
        <v>45485</v>
      </c>
      <c r="C286" s="1" t="n">
        <v>46167</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64137-2021</t>
        </is>
      </c>
      <c r="B287" s="1" t="n">
        <v>44510.51422453704</v>
      </c>
      <c r="C287" s="1" t="n">
        <v>46167</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25557-2023</t>
        </is>
      </c>
      <c r="B288" s="1" t="n">
        <v>45089</v>
      </c>
      <c r="C288" s="1" t="n">
        <v>46167</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27715-2022</t>
        </is>
      </c>
      <c r="B289" s="1" t="n">
        <v>44743.47407407407</v>
      </c>
      <c r="C289" s="1" t="n">
        <v>46167</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46167</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5027-2025</t>
        </is>
      </c>
      <c r="B291" s="1" t="n">
        <v>45691.41101851852</v>
      </c>
      <c r="C291" s="1" t="n">
        <v>46167</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12268-2022</t>
        </is>
      </c>
      <c r="B292" s="1" t="n">
        <v>44637</v>
      </c>
      <c r="C292" s="1" t="n">
        <v>46167</v>
      </c>
      <c r="D292" t="inlineStr">
        <is>
          <t>STOCKHOLMS LÄN</t>
        </is>
      </c>
      <c r="E292" t="inlineStr">
        <is>
          <t>NORRTÄLJE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20015-2023</t>
        </is>
      </c>
      <c r="B293" s="1" t="n">
        <v>45054</v>
      </c>
      <c r="C293" s="1" t="n">
        <v>46167</v>
      </c>
      <c r="D293" t="inlineStr">
        <is>
          <t>STOCKHOLMS LÄN</t>
        </is>
      </c>
      <c r="E293" t="inlineStr">
        <is>
          <t>NORRTÄLJE</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3273-2025</t>
        </is>
      </c>
      <c r="B294" s="1" t="n">
        <v>45679</v>
      </c>
      <c r="C294" s="1" t="n">
        <v>46167</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24245-2024</t>
        </is>
      </c>
      <c r="B295" s="1" t="n">
        <v>45457</v>
      </c>
      <c r="C295" s="1" t="n">
        <v>46167</v>
      </c>
      <c r="D295" t="inlineStr">
        <is>
          <t>STOCKHOLMS LÄN</t>
        </is>
      </c>
      <c r="E295" t="inlineStr">
        <is>
          <t>NORRTÄLJE</t>
        </is>
      </c>
      <c r="F295" t="inlineStr">
        <is>
          <t>Holmen skog AB</t>
        </is>
      </c>
      <c r="G295" t="n">
        <v>3.4</v>
      </c>
      <c r="H295" t="n">
        <v>0</v>
      </c>
      <c r="I295" t="n">
        <v>0</v>
      </c>
      <c r="J295" t="n">
        <v>0</v>
      </c>
      <c r="K295" t="n">
        <v>0</v>
      </c>
      <c r="L295" t="n">
        <v>0</v>
      </c>
      <c r="M295" t="n">
        <v>0</v>
      </c>
      <c r="N295" t="n">
        <v>0</v>
      </c>
      <c r="O295" t="n">
        <v>0</v>
      </c>
      <c r="P295" t="n">
        <v>0</v>
      </c>
      <c r="Q295" t="n">
        <v>0</v>
      </c>
      <c r="R295" s="2" t="inlineStr"/>
    </row>
    <row r="296" ht="15" customHeight="1">
      <c r="A296" t="inlineStr">
        <is>
          <t>A 15256-2023</t>
        </is>
      </c>
      <c r="B296" s="1" t="n">
        <v>45019.3959837963</v>
      </c>
      <c r="C296" s="1" t="n">
        <v>46167</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20428-2024</t>
        </is>
      </c>
      <c r="B297" s="1" t="n">
        <v>45435</v>
      </c>
      <c r="C297" s="1" t="n">
        <v>46167</v>
      </c>
      <c r="D297" t="inlineStr">
        <is>
          <t>STOCKHOLMS LÄN</t>
        </is>
      </c>
      <c r="E297" t="inlineStr">
        <is>
          <t>NORRTÄLJE</t>
        </is>
      </c>
      <c r="G297" t="n">
        <v>3.7</v>
      </c>
      <c r="H297" t="n">
        <v>0</v>
      </c>
      <c r="I297" t="n">
        <v>0</v>
      </c>
      <c r="J297" t="n">
        <v>0</v>
      </c>
      <c r="K297" t="n">
        <v>0</v>
      </c>
      <c r="L297" t="n">
        <v>0</v>
      </c>
      <c r="M297" t="n">
        <v>0</v>
      </c>
      <c r="N297" t="n">
        <v>0</v>
      </c>
      <c r="O297" t="n">
        <v>0</v>
      </c>
      <c r="P297" t="n">
        <v>0</v>
      </c>
      <c r="Q297" t="n">
        <v>0</v>
      </c>
      <c r="R297" s="2" t="inlineStr"/>
    </row>
    <row r="298" ht="15" customHeight="1">
      <c r="A298" t="inlineStr">
        <is>
          <t>A 13172-2025</t>
        </is>
      </c>
      <c r="B298" s="1" t="n">
        <v>45735.36873842592</v>
      </c>
      <c r="C298" s="1" t="n">
        <v>46167</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64145-2021</t>
        </is>
      </c>
      <c r="B299" s="1" t="n">
        <v>44510</v>
      </c>
      <c r="C299" s="1" t="n">
        <v>46167</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55696-2022</t>
        </is>
      </c>
      <c r="B300" s="1" t="n">
        <v>44888</v>
      </c>
      <c r="C300" s="1" t="n">
        <v>46167</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1740-2023</t>
        </is>
      </c>
      <c r="B301" s="1" t="n">
        <v>44938</v>
      </c>
      <c r="C301" s="1" t="n">
        <v>46167</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4596-2023</t>
        </is>
      </c>
      <c r="B302" s="1" t="n">
        <v>44956</v>
      </c>
      <c r="C302" s="1" t="n">
        <v>46167</v>
      </c>
      <c r="D302" t="inlineStr">
        <is>
          <t>STOCKHOLMS LÄN</t>
        </is>
      </c>
      <c r="E302" t="inlineStr">
        <is>
          <t>NORRTÄLJE</t>
        </is>
      </c>
      <c r="G302" t="n">
        <v>1.4</v>
      </c>
      <c r="H302" t="n">
        <v>0</v>
      </c>
      <c r="I302" t="n">
        <v>0</v>
      </c>
      <c r="J302" t="n">
        <v>0</v>
      </c>
      <c r="K302" t="n">
        <v>0</v>
      </c>
      <c r="L302" t="n">
        <v>0</v>
      </c>
      <c r="M302" t="n">
        <v>0</v>
      </c>
      <c r="N302" t="n">
        <v>0</v>
      </c>
      <c r="O302" t="n">
        <v>0</v>
      </c>
      <c r="P302" t="n">
        <v>0</v>
      </c>
      <c r="Q302" t="n">
        <v>0</v>
      </c>
      <c r="R302" s="2" t="inlineStr"/>
    </row>
    <row r="303" ht="15" customHeight="1">
      <c r="A303" t="inlineStr">
        <is>
          <t>A 22456-2023</t>
        </is>
      </c>
      <c r="B303" s="1" t="n">
        <v>45070</v>
      </c>
      <c r="C303" s="1" t="n">
        <v>46167</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17785-2024</t>
        </is>
      </c>
      <c r="B304" s="1" t="n">
        <v>45418.6968287037</v>
      </c>
      <c r="C304" s="1" t="n">
        <v>46167</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10676-2025</t>
        </is>
      </c>
      <c r="B305" s="1" t="n">
        <v>45721.88684027778</v>
      </c>
      <c r="C305" s="1" t="n">
        <v>46167</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6678-2025</t>
        </is>
      </c>
      <c r="B306" s="1" t="n">
        <v>45700</v>
      </c>
      <c r="C306" s="1" t="n">
        <v>46167</v>
      </c>
      <c r="D306" t="inlineStr">
        <is>
          <t>STOCKHOLMS LÄN</t>
        </is>
      </c>
      <c r="E306" t="inlineStr">
        <is>
          <t>NORRTÄLJE</t>
        </is>
      </c>
      <c r="F306" t="inlineStr">
        <is>
          <t>Övriga Aktiebolag</t>
        </is>
      </c>
      <c r="G306" t="n">
        <v>6.6</v>
      </c>
      <c r="H306" t="n">
        <v>0</v>
      </c>
      <c r="I306" t="n">
        <v>0</v>
      </c>
      <c r="J306" t="n">
        <v>0</v>
      </c>
      <c r="K306" t="n">
        <v>0</v>
      </c>
      <c r="L306" t="n">
        <v>0</v>
      </c>
      <c r="M306" t="n">
        <v>0</v>
      </c>
      <c r="N306" t="n">
        <v>0</v>
      </c>
      <c r="O306" t="n">
        <v>0</v>
      </c>
      <c r="P306" t="n">
        <v>0</v>
      </c>
      <c r="Q306" t="n">
        <v>0</v>
      </c>
      <c r="R306" s="2" t="inlineStr"/>
    </row>
    <row r="307" ht="15" customHeight="1">
      <c r="A307" t="inlineStr">
        <is>
          <t>A 20852-2023</t>
        </is>
      </c>
      <c r="B307" s="1" t="n">
        <v>45058.78607638889</v>
      </c>
      <c r="C307" s="1" t="n">
        <v>46167</v>
      </c>
      <c r="D307" t="inlineStr">
        <is>
          <t>STOCKHOLMS LÄN</t>
        </is>
      </c>
      <c r="E307" t="inlineStr">
        <is>
          <t>NORRTÄLJE</t>
        </is>
      </c>
      <c r="G307" t="n">
        <v>3.5</v>
      </c>
      <c r="H307" t="n">
        <v>0</v>
      </c>
      <c r="I307" t="n">
        <v>0</v>
      </c>
      <c r="J307" t="n">
        <v>0</v>
      </c>
      <c r="K307" t="n">
        <v>0</v>
      </c>
      <c r="L307" t="n">
        <v>0</v>
      </c>
      <c r="M307" t="n">
        <v>0</v>
      </c>
      <c r="N307" t="n">
        <v>0</v>
      </c>
      <c r="O307" t="n">
        <v>0</v>
      </c>
      <c r="P307" t="n">
        <v>0</v>
      </c>
      <c r="Q307" t="n">
        <v>0</v>
      </c>
      <c r="R307" s="2" t="inlineStr"/>
    </row>
    <row r="308" ht="15" customHeight="1">
      <c r="A308" t="inlineStr">
        <is>
          <t>A 19982-2022</t>
        </is>
      </c>
      <c r="B308" s="1" t="n">
        <v>44697</v>
      </c>
      <c r="C308" s="1" t="n">
        <v>46167</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42075-2023</t>
        </is>
      </c>
      <c r="B309" s="1" t="n">
        <v>45177</v>
      </c>
      <c r="C309" s="1" t="n">
        <v>46167</v>
      </c>
      <c r="D309" t="inlineStr">
        <is>
          <t>STOCKHOLMS LÄN</t>
        </is>
      </c>
      <c r="E309" t="inlineStr">
        <is>
          <t>NORRTÄLJE</t>
        </is>
      </c>
      <c r="G309" t="n">
        <v>2.5</v>
      </c>
      <c r="H309" t="n">
        <v>0</v>
      </c>
      <c r="I309" t="n">
        <v>0</v>
      </c>
      <c r="J309" t="n">
        <v>0</v>
      </c>
      <c r="K309" t="n">
        <v>0</v>
      </c>
      <c r="L309" t="n">
        <v>0</v>
      </c>
      <c r="M309" t="n">
        <v>0</v>
      </c>
      <c r="N309" t="n">
        <v>0</v>
      </c>
      <c r="O309" t="n">
        <v>0</v>
      </c>
      <c r="P309" t="n">
        <v>0</v>
      </c>
      <c r="Q309" t="n">
        <v>0</v>
      </c>
      <c r="R309" s="2" t="inlineStr"/>
    </row>
    <row r="310" ht="15" customHeight="1">
      <c r="A310" t="inlineStr">
        <is>
          <t>A 50108-2021</t>
        </is>
      </c>
      <c r="B310" s="1" t="n">
        <v>44456</v>
      </c>
      <c r="C310" s="1" t="n">
        <v>46167</v>
      </c>
      <c r="D310" t="inlineStr">
        <is>
          <t>STOCKHOLMS LÄN</t>
        </is>
      </c>
      <c r="E310" t="inlineStr">
        <is>
          <t>NORRTÄLJE</t>
        </is>
      </c>
      <c r="G310" t="n">
        <v>0.7</v>
      </c>
      <c r="H310" t="n">
        <v>0</v>
      </c>
      <c r="I310" t="n">
        <v>0</v>
      </c>
      <c r="J310" t="n">
        <v>0</v>
      </c>
      <c r="K310" t="n">
        <v>0</v>
      </c>
      <c r="L310" t="n">
        <v>0</v>
      </c>
      <c r="M310" t="n">
        <v>0</v>
      </c>
      <c r="N310" t="n">
        <v>0</v>
      </c>
      <c r="O310" t="n">
        <v>0</v>
      </c>
      <c r="P310" t="n">
        <v>0</v>
      </c>
      <c r="Q310" t="n">
        <v>0</v>
      </c>
      <c r="R310" s="2" t="inlineStr"/>
    </row>
    <row r="311" ht="15" customHeight="1">
      <c r="A311" t="inlineStr">
        <is>
          <t>A 44917-2022</t>
        </is>
      </c>
      <c r="B311" s="1" t="n">
        <v>44841.52804398148</v>
      </c>
      <c r="C311" s="1" t="n">
        <v>46167</v>
      </c>
      <c r="D311" t="inlineStr">
        <is>
          <t>STOCKHOLMS LÄN</t>
        </is>
      </c>
      <c r="E311" t="inlineStr">
        <is>
          <t>NORRTÄLJE</t>
        </is>
      </c>
      <c r="F311" t="inlineStr">
        <is>
          <t>Holmen skog AB</t>
        </is>
      </c>
      <c r="G311" t="n">
        <v>3.3</v>
      </c>
      <c r="H311" t="n">
        <v>0</v>
      </c>
      <c r="I311" t="n">
        <v>0</v>
      </c>
      <c r="J311" t="n">
        <v>0</v>
      </c>
      <c r="K311" t="n">
        <v>0</v>
      </c>
      <c r="L311" t="n">
        <v>0</v>
      </c>
      <c r="M311" t="n">
        <v>0</v>
      </c>
      <c r="N311" t="n">
        <v>0</v>
      </c>
      <c r="O311" t="n">
        <v>0</v>
      </c>
      <c r="P311" t="n">
        <v>0</v>
      </c>
      <c r="Q311" t="n">
        <v>0</v>
      </c>
      <c r="R311" s="2" t="inlineStr"/>
    </row>
    <row r="312" ht="15" customHeight="1">
      <c r="A312" t="inlineStr">
        <is>
          <t>A 50355-2024</t>
        </is>
      </c>
      <c r="B312" s="1" t="n">
        <v>45600.86128472222</v>
      </c>
      <c r="C312" s="1" t="n">
        <v>46167</v>
      </c>
      <c r="D312" t="inlineStr">
        <is>
          <t>STOCKHOLMS LÄN</t>
        </is>
      </c>
      <c r="E312" t="inlineStr">
        <is>
          <t>NORRTÄLJE</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55012-2024</t>
        </is>
      </c>
      <c r="B313" s="1" t="n">
        <v>45621.34813657407</v>
      </c>
      <c r="C313" s="1" t="n">
        <v>46167</v>
      </c>
      <c r="D313" t="inlineStr">
        <is>
          <t>STOCKHOLMS LÄN</t>
        </is>
      </c>
      <c r="E313" t="inlineStr">
        <is>
          <t>NORRTÄLJE</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55058-2021</t>
        </is>
      </c>
      <c r="B314" s="1" t="n">
        <v>44474.62141203704</v>
      </c>
      <c r="C314" s="1" t="n">
        <v>46167</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7413-2024</t>
        </is>
      </c>
      <c r="B315" s="1" t="n">
        <v>45345.6059837963</v>
      </c>
      <c r="C315" s="1" t="n">
        <v>46167</v>
      </c>
      <c r="D315" t="inlineStr">
        <is>
          <t>STOCKHOLMS LÄN</t>
        </is>
      </c>
      <c r="E315" t="inlineStr">
        <is>
          <t>NORRTÄLJE</t>
        </is>
      </c>
      <c r="G315" t="n">
        <v>1.8</v>
      </c>
      <c r="H315" t="n">
        <v>0</v>
      </c>
      <c r="I315" t="n">
        <v>0</v>
      </c>
      <c r="J315" t="n">
        <v>0</v>
      </c>
      <c r="K315" t="n">
        <v>0</v>
      </c>
      <c r="L315" t="n">
        <v>0</v>
      </c>
      <c r="M315" t="n">
        <v>0</v>
      </c>
      <c r="N315" t="n">
        <v>0</v>
      </c>
      <c r="O315" t="n">
        <v>0</v>
      </c>
      <c r="P315" t="n">
        <v>0</v>
      </c>
      <c r="Q315" t="n">
        <v>0</v>
      </c>
      <c r="R315" s="2" t="inlineStr"/>
    </row>
    <row r="316" ht="15" customHeight="1">
      <c r="A316" t="inlineStr">
        <is>
          <t>A 12251-2025</t>
        </is>
      </c>
      <c r="B316" s="1" t="n">
        <v>45729.60859953704</v>
      </c>
      <c r="C316" s="1" t="n">
        <v>46167</v>
      </c>
      <c r="D316" t="inlineStr">
        <is>
          <t>STOCKHOLMS LÄN</t>
        </is>
      </c>
      <c r="E316" t="inlineStr">
        <is>
          <t>NORRTÄLJE</t>
        </is>
      </c>
      <c r="F316" t="inlineStr">
        <is>
          <t>Holmen skog AB</t>
        </is>
      </c>
      <c r="G316" t="n">
        <v>5.9</v>
      </c>
      <c r="H316" t="n">
        <v>0</v>
      </c>
      <c r="I316" t="n">
        <v>0</v>
      </c>
      <c r="J316" t="n">
        <v>0</v>
      </c>
      <c r="K316" t="n">
        <v>0</v>
      </c>
      <c r="L316" t="n">
        <v>0</v>
      </c>
      <c r="M316" t="n">
        <v>0</v>
      </c>
      <c r="N316" t="n">
        <v>0</v>
      </c>
      <c r="O316" t="n">
        <v>0</v>
      </c>
      <c r="P316" t="n">
        <v>0</v>
      </c>
      <c r="Q316" t="n">
        <v>0</v>
      </c>
      <c r="R316" s="2" t="inlineStr"/>
    </row>
    <row r="317" ht="15" customHeight="1">
      <c r="A317" t="inlineStr">
        <is>
          <t>A 58863-2024</t>
        </is>
      </c>
      <c r="B317" s="1" t="n">
        <v>45636.41572916666</v>
      </c>
      <c r="C317" s="1" t="n">
        <v>46167</v>
      </c>
      <c r="D317" t="inlineStr">
        <is>
          <t>STOCKHOLMS LÄN</t>
        </is>
      </c>
      <c r="E317" t="inlineStr">
        <is>
          <t>NORRTÄLJE</t>
        </is>
      </c>
      <c r="G317" t="n">
        <v>0.7</v>
      </c>
      <c r="H317" t="n">
        <v>0</v>
      </c>
      <c r="I317" t="n">
        <v>0</v>
      </c>
      <c r="J317" t="n">
        <v>0</v>
      </c>
      <c r="K317" t="n">
        <v>0</v>
      </c>
      <c r="L317" t="n">
        <v>0</v>
      </c>
      <c r="M317" t="n">
        <v>0</v>
      </c>
      <c r="N317" t="n">
        <v>0</v>
      </c>
      <c r="O317" t="n">
        <v>0</v>
      </c>
      <c r="P317" t="n">
        <v>0</v>
      </c>
      <c r="Q317" t="n">
        <v>0</v>
      </c>
      <c r="R317" s="2" t="inlineStr"/>
    </row>
    <row r="318" ht="15" customHeight="1">
      <c r="A318" t="inlineStr">
        <is>
          <t>A 42867-2022</t>
        </is>
      </c>
      <c r="B318" s="1" t="n">
        <v>44832</v>
      </c>
      <c r="C318" s="1" t="n">
        <v>46167</v>
      </c>
      <c r="D318" t="inlineStr">
        <is>
          <t>STOCKHOLMS LÄN</t>
        </is>
      </c>
      <c r="E318" t="inlineStr">
        <is>
          <t>NORRTÄLJE</t>
        </is>
      </c>
      <c r="G318" t="n">
        <v>6.4</v>
      </c>
      <c r="H318" t="n">
        <v>0</v>
      </c>
      <c r="I318" t="n">
        <v>0</v>
      </c>
      <c r="J318" t="n">
        <v>0</v>
      </c>
      <c r="K318" t="n">
        <v>0</v>
      </c>
      <c r="L318" t="n">
        <v>0</v>
      </c>
      <c r="M318" t="n">
        <v>0</v>
      </c>
      <c r="N318" t="n">
        <v>0</v>
      </c>
      <c r="O318" t="n">
        <v>0</v>
      </c>
      <c r="P318" t="n">
        <v>0</v>
      </c>
      <c r="Q318" t="n">
        <v>0</v>
      </c>
      <c r="R318" s="2" t="inlineStr"/>
    </row>
    <row r="319" ht="15" customHeight="1">
      <c r="A319" t="inlineStr">
        <is>
          <t>A 50154-2024</t>
        </is>
      </c>
      <c r="B319" s="1" t="n">
        <v>45600.4558912037</v>
      </c>
      <c r="C319" s="1" t="n">
        <v>46167</v>
      </c>
      <c r="D319" t="inlineStr">
        <is>
          <t>STOCKHOLMS LÄN</t>
        </is>
      </c>
      <c r="E319" t="inlineStr">
        <is>
          <t>NORRTÄLJE</t>
        </is>
      </c>
      <c r="G319" t="n">
        <v>2.5</v>
      </c>
      <c r="H319" t="n">
        <v>0</v>
      </c>
      <c r="I319" t="n">
        <v>0</v>
      </c>
      <c r="J319" t="n">
        <v>0</v>
      </c>
      <c r="K319" t="n">
        <v>0</v>
      </c>
      <c r="L319" t="n">
        <v>0</v>
      </c>
      <c r="M319" t="n">
        <v>0</v>
      </c>
      <c r="N319" t="n">
        <v>0</v>
      </c>
      <c r="O319" t="n">
        <v>0</v>
      </c>
      <c r="P319" t="n">
        <v>0</v>
      </c>
      <c r="Q319" t="n">
        <v>0</v>
      </c>
      <c r="R319" s="2" t="inlineStr"/>
    </row>
    <row r="320" ht="15" customHeight="1">
      <c r="A320" t="inlineStr">
        <is>
          <t>A 11900-2024</t>
        </is>
      </c>
      <c r="B320" s="1" t="n">
        <v>45376.55484953704</v>
      </c>
      <c r="C320" s="1" t="n">
        <v>46167</v>
      </c>
      <c r="D320" t="inlineStr">
        <is>
          <t>STOCKHOLMS LÄN</t>
        </is>
      </c>
      <c r="E320" t="inlineStr">
        <is>
          <t>NORRTÄLJE</t>
        </is>
      </c>
      <c r="G320" t="n">
        <v>4.2</v>
      </c>
      <c r="H320" t="n">
        <v>0</v>
      </c>
      <c r="I320" t="n">
        <v>0</v>
      </c>
      <c r="J320" t="n">
        <v>0</v>
      </c>
      <c r="K320" t="n">
        <v>0</v>
      </c>
      <c r="L320" t="n">
        <v>0</v>
      </c>
      <c r="M320" t="n">
        <v>0</v>
      </c>
      <c r="N320" t="n">
        <v>0</v>
      </c>
      <c r="O320" t="n">
        <v>0</v>
      </c>
      <c r="P320" t="n">
        <v>0</v>
      </c>
      <c r="Q320" t="n">
        <v>0</v>
      </c>
      <c r="R320" s="2" t="inlineStr"/>
    </row>
    <row r="321" ht="15" customHeight="1">
      <c r="A321" t="inlineStr">
        <is>
          <t>A 58277-2023</t>
        </is>
      </c>
      <c r="B321" s="1" t="n">
        <v>45245</v>
      </c>
      <c r="C321" s="1" t="n">
        <v>46167</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32705-2022</t>
        </is>
      </c>
      <c r="B322" s="1" t="n">
        <v>44783</v>
      </c>
      <c r="C322" s="1" t="n">
        <v>46167</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23749-2024</t>
        </is>
      </c>
      <c r="B323" s="1" t="n">
        <v>45455.33037037037</v>
      </c>
      <c r="C323" s="1" t="n">
        <v>46167</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11940-2023</t>
        </is>
      </c>
      <c r="B324" s="1" t="n">
        <v>44995</v>
      </c>
      <c r="C324" s="1" t="n">
        <v>46167</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47481-2024</t>
        </is>
      </c>
      <c r="B325" s="1" t="n">
        <v>45587</v>
      </c>
      <c r="C325" s="1" t="n">
        <v>46167</v>
      </c>
      <c r="D325" t="inlineStr">
        <is>
          <t>STOCKHOLMS LÄN</t>
        </is>
      </c>
      <c r="E325" t="inlineStr">
        <is>
          <t>NORRTÄLJE</t>
        </is>
      </c>
      <c r="G325" t="n">
        <v>0.5</v>
      </c>
      <c r="H325" t="n">
        <v>0</v>
      </c>
      <c r="I325" t="n">
        <v>0</v>
      </c>
      <c r="J325" t="n">
        <v>0</v>
      </c>
      <c r="K325" t="n">
        <v>0</v>
      </c>
      <c r="L325" t="n">
        <v>0</v>
      </c>
      <c r="M325" t="n">
        <v>0</v>
      </c>
      <c r="N325" t="n">
        <v>0</v>
      </c>
      <c r="O325" t="n">
        <v>0</v>
      </c>
      <c r="P325" t="n">
        <v>0</v>
      </c>
      <c r="Q325" t="n">
        <v>0</v>
      </c>
      <c r="R325" s="2" t="inlineStr"/>
    </row>
    <row r="326" ht="15" customHeight="1">
      <c r="A326" t="inlineStr">
        <is>
          <t>A 13053-2022</t>
        </is>
      </c>
      <c r="B326" s="1" t="n">
        <v>44643</v>
      </c>
      <c r="C326" s="1" t="n">
        <v>46167</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57037-2022</t>
        </is>
      </c>
      <c r="B327" s="1" t="n">
        <v>44895</v>
      </c>
      <c r="C327" s="1" t="n">
        <v>46167</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51325-2023</t>
        </is>
      </c>
      <c r="B328" s="1" t="n">
        <v>45219</v>
      </c>
      <c r="C328" s="1" t="n">
        <v>46167</v>
      </c>
      <c r="D328" t="inlineStr">
        <is>
          <t>STOCKHOLMS LÄN</t>
        </is>
      </c>
      <c r="E328" t="inlineStr">
        <is>
          <t>NORRTÄLJE</t>
        </is>
      </c>
      <c r="G328" t="n">
        <v>2.2</v>
      </c>
      <c r="H328" t="n">
        <v>0</v>
      </c>
      <c r="I328" t="n">
        <v>0</v>
      </c>
      <c r="J328" t="n">
        <v>0</v>
      </c>
      <c r="K328" t="n">
        <v>0</v>
      </c>
      <c r="L328" t="n">
        <v>0</v>
      </c>
      <c r="M328" t="n">
        <v>0</v>
      </c>
      <c r="N328" t="n">
        <v>0</v>
      </c>
      <c r="O328" t="n">
        <v>0</v>
      </c>
      <c r="P328" t="n">
        <v>0</v>
      </c>
      <c r="Q328" t="n">
        <v>0</v>
      </c>
      <c r="R328" s="2" t="inlineStr"/>
    </row>
    <row r="329" ht="15" customHeight="1">
      <c r="A329" t="inlineStr">
        <is>
          <t>A 2281-2024</t>
        </is>
      </c>
      <c r="B329" s="1" t="n">
        <v>45310.40628472222</v>
      </c>
      <c r="C329" s="1" t="n">
        <v>46167</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59534-2024</t>
        </is>
      </c>
      <c r="B330" s="1" t="n">
        <v>45638.5987037037</v>
      </c>
      <c r="C330" s="1" t="n">
        <v>46167</v>
      </c>
      <c r="D330" t="inlineStr">
        <is>
          <t>STOCKHOLMS LÄN</t>
        </is>
      </c>
      <c r="E330" t="inlineStr">
        <is>
          <t>NORRTÄLJE</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31107-2022</t>
        </is>
      </c>
      <c r="B331" s="1" t="n">
        <v>44769.66864583334</v>
      </c>
      <c r="C331" s="1" t="n">
        <v>46167</v>
      </c>
      <c r="D331" t="inlineStr">
        <is>
          <t>STOCKHOLMS LÄN</t>
        </is>
      </c>
      <c r="E331" t="inlineStr">
        <is>
          <t>NORRTÄLJE</t>
        </is>
      </c>
      <c r="G331" t="n">
        <v>3.8</v>
      </c>
      <c r="H331" t="n">
        <v>0</v>
      </c>
      <c r="I331" t="n">
        <v>0</v>
      </c>
      <c r="J331" t="n">
        <v>0</v>
      </c>
      <c r="K331" t="n">
        <v>0</v>
      </c>
      <c r="L331" t="n">
        <v>0</v>
      </c>
      <c r="M331" t="n">
        <v>0</v>
      </c>
      <c r="N331" t="n">
        <v>0</v>
      </c>
      <c r="O331" t="n">
        <v>0</v>
      </c>
      <c r="P331" t="n">
        <v>0</v>
      </c>
      <c r="Q331" t="n">
        <v>0</v>
      </c>
      <c r="R331" s="2" t="inlineStr"/>
    </row>
    <row r="332" ht="15" customHeight="1">
      <c r="A332" t="inlineStr">
        <is>
          <t>A 13860-2023</t>
        </is>
      </c>
      <c r="B332" s="1" t="n">
        <v>45007</v>
      </c>
      <c r="C332" s="1" t="n">
        <v>46167</v>
      </c>
      <c r="D332" t="inlineStr">
        <is>
          <t>STOCKHOLMS LÄN</t>
        </is>
      </c>
      <c r="E332" t="inlineStr">
        <is>
          <t>NORRTÄLJE</t>
        </is>
      </c>
      <c r="G332" t="n">
        <v>1.6</v>
      </c>
      <c r="H332" t="n">
        <v>0</v>
      </c>
      <c r="I332" t="n">
        <v>0</v>
      </c>
      <c r="J332" t="n">
        <v>0</v>
      </c>
      <c r="K332" t="n">
        <v>0</v>
      </c>
      <c r="L332" t="n">
        <v>0</v>
      </c>
      <c r="M332" t="n">
        <v>0</v>
      </c>
      <c r="N332" t="n">
        <v>0</v>
      </c>
      <c r="O332" t="n">
        <v>0</v>
      </c>
      <c r="P332" t="n">
        <v>0</v>
      </c>
      <c r="Q332" t="n">
        <v>0</v>
      </c>
      <c r="R332" s="2" t="inlineStr"/>
    </row>
    <row r="333" ht="15" customHeight="1">
      <c r="A333" t="inlineStr">
        <is>
          <t>A 60525-2022</t>
        </is>
      </c>
      <c r="B333" s="1" t="n">
        <v>44904</v>
      </c>
      <c r="C333" s="1" t="n">
        <v>46167</v>
      </c>
      <c r="D333" t="inlineStr">
        <is>
          <t>STOCKHOLMS LÄN</t>
        </is>
      </c>
      <c r="E333" t="inlineStr">
        <is>
          <t>NORRTÄLJE</t>
        </is>
      </c>
      <c r="G333" t="n">
        <v>13.4</v>
      </c>
      <c r="H333" t="n">
        <v>0</v>
      </c>
      <c r="I333" t="n">
        <v>0</v>
      </c>
      <c r="J333" t="n">
        <v>0</v>
      </c>
      <c r="K333" t="n">
        <v>0</v>
      </c>
      <c r="L333" t="n">
        <v>0</v>
      </c>
      <c r="M333" t="n">
        <v>0</v>
      </c>
      <c r="N333" t="n">
        <v>0</v>
      </c>
      <c r="O333" t="n">
        <v>0</v>
      </c>
      <c r="P333" t="n">
        <v>0</v>
      </c>
      <c r="Q333" t="n">
        <v>0</v>
      </c>
      <c r="R333" s="2" t="inlineStr"/>
    </row>
    <row r="334" ht="15" customHeight="1">
      <c r="A334" t="inlineStr">
        <is>
          <t>A 6855-2025</t>
        </is>
      </c>
      <c r="B334" s="1" t="n">
        <v>45700</v>
      </c>
      <c r="C334" s="1" t="n">
        <v>46167</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34432-2021</t>
        </is>
      </c>
      <c r="B335" s="1" t="n">
        <v>44380.77346064815</v>
      </c>
      <c r="C335" s="1" t="n">
        <v>46167</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13314-2025</t>
        </is>
      </c>
      <c r="B336" s="1" t="n">
        <v>45735.59287037037</v>
      </c>
      <c r="C336" s="1" t="n">
        <v>46167</v>
      </c>
      <c r="D336" t="inlineStr">
        <is>
          <t>STOCKHOLMS LÄN</t>
        </is>
      </c>
      <c r="E336" t="inlineStr">
        <is>
          <t>NORRTÄLJE</t>
        </is>
      </c>
      <c r="G336" t="n">
        <v>2.4</v>
      </c>
      <c r="H336" t="n">
        <v>0</v>
      </c>
      <c r="I336" t="n">
        <v>0</v>
      </c>
      <c r="J336" t="n">
        <v>0</v>
      </c>
      <c r="K336" t="n">
        <v>0</v>
      </c>
      <c r="L336" t="n">
        <v>0</v>
      </c>
      <c r="M336" t="n">
        <v>0</v>
      </c>
      <c r="N336" t="n">
        <v>0</v>
      </c>
      <c r="O336" t="n">
        <v>0</v>
      </c>
      <c r="P336" t="n">
        <v>0</v>
      </c>
      <c r="Q336" t="n">
        <v>0</v>
      </c>
      <c r="R336" s="2" t="inlineStr"/>
    </row>
    <row r="337" ht="15" customHeight="1">
      <c r="A337" t="inlineStr">
        <is>
          <t>A 23149-2024</t>
        </is>
      </c>
      <c r="B337" s="1" t="n">
        <v>45450.64208333333</v>
      </c>
      <c r="C337" s="1" t="n">
        <v>46167</v>
      </c>
      <c r="D337" t="inlineStr">
        <is>
          <t>STOCKHOLMS LÄN</t>
        </is>
      </c>
      <c r="E337" t="inlineStr">
        <is>
          <t>NORRTÄLJE</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23151-2024</t>
        </is>
      </c>
      <c r="B338" s="1" t="n">
        <v>45450</v>
      </c>
      <c r="C338" s="1" t="n">
        <v>46167</v>
      </c>
      <c r="D338" t="inlineStr">
        <is>
          <t>STOCKHOLMS LÄN</t>
        </is>
      </c>
      <c r="E338" t="inlineStr">
        <is>
          <t>NORRTÄLJE</t>
        </is>
      </c>
      <c r="F338" t="inlineStr">
        <is>
          <t>Kommuner</t>
        </is>
      </c>
      <c r="G338" t="n">
        <v>1.2</v>
      </c>
      <c r="H338" t="n">
        <v>0</v>
      </c>
      <c r="I338" t="n">
        <v>0</v>
      </c>
      <c r="J338" t="n">
        <v>0</v>
      </c>
      <c r="K338" t="n">
        <v>0</v>
      </c>
      <c r="L338" t="n">
        <v>0</v>
      </c>
      <c r="M338" t="n">
        <v>0</v>
      </c>
      <c r="N338" t="n">
        <v>0</v>
      </c>
      <c r="O338" t="n">
        <v>0</v>
      </c>
      <c r="P338" t="n">
        <v>0</v>
      </c>
      <c r="Q338" t="n">
        <v>0</v>
      </c>
      <c r="R338" s="2" t="inlineStr"/>
    </row>
    <row r="339" ht="15" customHeight="1">
      <c r="A339" t="inlineStr">
        <is>
          <t>A 52001-2023</t>
        </is>
      </c>
      <c r="B339" s="1" t="n">
        <v>45223</v>
      </c>
      <c r="C339" s="1" t="n">
        <v>46167</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21726-2022</t>
        </is>
      </c>
      <c r="B340" s="1" t="n">
        <v>44708</v>
      </c>
      <c r="C340" s="1" t="n">
        <v>46167</v>
      </c>
      <c r="D340" t="inlineStr">
        <is>
          <t>STOCKHOLMS LÄN</t>
        </is>
      </c>
      <c r="E340" t="inlineStr">
        <is>
          <t>NORRTÄLJE</t>
        </is>
      </c>
      <c r="G340" t="n">
        <v>0.2</v>
      </c>
      <c r="H340" t="n">
        <v>0</v>
      </c>
      <c r="I340" t="n">
        <v>0</v>
      </c>
      <c r="J340" t="n">
        <v>0</v>
      </c>
      <c r="K340" t="n">
        <v>0</v>
      </c>
      <c r="L340" t="n">
        <v>0</v>
      </c>
      <c r="M340" t="n">
        <v>0</v>
      </c>
      <c r="N340" t="n">
        <v>0</v>
      </c>
      <c r="O340" t="n">
        <v>0</v>
      </c>
      <c r="P340" t="n">
        <v>0</v>
      </c>
      <c r="Q340" t="n">
        <v>0</v>
      </c>
      <c r="R340" s="2" t="inlineStr"/>
    </row>
    <row r="341" ht="15" customHeight="1">
      <c r="A341" t="inlineStr">
        <is>
          <t>A 21739-2022</t>
        </is>
      </c>
      <c r="B341" s="1" t="n">
        <v>44708.36708333333</v>
      </c>
      <c r="C341" s="1" t="n">
        <v>46167</v>
      </c>
      <c r="D341" t="inlineStr">
        <is>
          <t>STOCKHOLMS LÄN</t>
        </is>
      </c>
      <c r="E341" t="inlineStr">
        <is>
          <t>NORRTÄLJE</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35210-2023</t>
        </is>
      </c>
      <c r="B342" s="1" t="n">
        <v>45145.63584490741</v>
      </c>
      <c r="C342" s="1" t="n">
        <v>46167</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60185-2024</t>
        </is>
      </c>
      <c r="B343" s="1" t="n">
        <v>45642.64634259259</v>
      </c>
      <c r="C343" s="1" t="n">
        <v>46167</v>
      </c>
      <c r="D343" t="inlineStr">
        <is>
          <t>STOCKHOLMS LÄN</t>
        </is>
      </c>
      <c r="E343" t="inlineStr">
        <is>
          <t>NORRTÄLJE</t>
        </is>
      </c>
      <c r="G343" t="n">
        <v>0.3</v>
      </c>
      <c r="H343" t="n">
        <v>0</v>
      </c>
      <c r="I343" t="n">
        <v>0</v>
      </c>
      <c r="J343" t="n">
        <v>0</v>
      </c>
      <c r="K343" t="n">
        <v>0</v>
      </c>
      <c r="L343" t="n">
        <v>0</v>
      </c>
      <c r="M343" t="n">
        <v>0</v>
      </c>
      <c r="N343" t="n">
        <v>0</v>
      </c>
      <c r="O343" t="n">
        <v>0</v>
      </c>
      <c r="P343" t="n">
        <v>0</v>
      </c>
      <c r="Q343" t="n">
        <v>0</v>
      </c>
      <c r="R343" s="2" t="inlineStr"/>
    </row>
    <row r="344" ht="15" customHeight="1">
      <c r="A344" t="inlineStr">
        <is>
          <t>A 48686-2023</t>
        </is>
      </c>
      <c r="B344" s="1" t="n">
        <v>45208</v>
      </c>
      <c r="C344" s="1" t="n">
        <v>46167</v>
      </c>
      <c r="D344" t="inlineStr">
        <is>
          <t>STOCKHOLMS LÄN</t>
        </is>
      </c>
      <c r="E344" t="inlineStr">
        <is>
          <t>NORRTÄLJE</t>
        </is>
      </c>
      <c r="G344" t="n">
        <v>6</v>
      </c>
      <c r="H344" t="n">
        <v>0</v>
      </c>
      <c r="I344" t="n">
        <v>0</v>
      </c>
      <c r="J344" t="n">
        <v>0</v>
      </c>
      <c r="K344" t="n">
        <v>0</v>
      </c>
      <c r="L344" t="n">
        <v>0</v>
      </c>
      <c r="M344" t="n">
        <v>0</v>
      </c>
      <c r="N344" t="n">
        <v>0</v>
      </c>
      <c r="O344" t="n">
        <v>0</v>
      </c>
      <c r="P344" t="n">
        <v>0</v>
      </c>
      <c r="Q344" t="n">
        <v>0</v>
      </c>
      <c r="R344" s="2" t="inlineStr"/>
    </row>
    <row r="345" ht="15" customHeight="1">
      <c r="A345" t="inlineStr">
        <is>
          <t>A 48691-2023</t>
        </is>
      </c>
      <c r="B345" s="1" t="n">
        <v>45208</v>
      </c>
      <c r="C345" s="1" t="n">
        <v>46167</v>
      </c>
      <c r="D345" t="inlineStr">
        <is>
          <t>STOCKHOLMS LÄN</t>
        </is>
      </c>
      <c r="E345" t="inlineStr">
        <is>
          <t>NORRTÄLJE</t>
        </is>
      </c>
      <c r="G345" t="n">
        <v>5.8</v>
      </c>
      <c r="H345" t="n">
        <v>0</v>
      </c>
      <c r="I345" t="n">
        <v>0</v>
      </c>
      <c r="J345" t="n">
        <v>0</v>
      </c>
      <c r="K345" t="n">
        <v>0</v>
      </c>
      <c r="L345" t="n">
        <v>0</v>
      </c>
      <c r="M345" t="n">
        <v>0</v>
      </c>
      <c r="N345" t="n">
        <v>0</v>
      </c>
      <c r="O345" t="n">
        <v>0</v>
      </c>
      <c r="P345" t="n">
        <v>0</v>
      </c>
      <c r="Q345" t="n">
        <v>0</v>
      </c>
      <c r="R345" s="2" t="inlineStr"/>
    </row>
    <row r="346" ht="15" customHeight="1">
      <c r="A346" t="inlineStr">
        <is>
          <t>A 59767-2022</t>
        </is>
      </c>
      <c r="B346" s="1" t="n">
        <v>44900</v>
      </c>
      <c r="C346" s="1" t="n">
        <v>46167</v>
      </c>
      <c r="D346" t="inlineStr">
        <is>
          <t>STOCKHOLMS LÄN</t>
        </is>
      </c>
      <c r="E346" t="inlineStr">
        <is>
          <t>NORRTÄLJE</t>
        </is>
      </c>
      <c r="G346" t="n">
        <v>2.2</v>
      </c>
      <c r="H346" t="n">
        <v>0</v>
      </c>
      <c r="I346" t="n">
        <v>0</v>
      </c>
      <c r="J346" t="n">
        <v>0</v>
      </c>
      <c r="K346" t="n">
        <v>0</v>
      </c>
      <c r="L346" t="n">
        <v>0</v>
      </c>
      <c r="M346" t="n">
        <v>0</v>
      </c>
      <c r="N346" t="n">
        <v>0</v>
      </c>
      <c r="O346" t="n">
        <v>0</v>
      </c>
      <c r="P346" t="n">
        <v>0</v>
      </c>
      <c r="Q346" t="n">
        <v>0</v>
      </c>
      <c r="R346" s="2" t="inlineStr"/>
    </row>
    <row r="347" ht="15" customHeight="1">
      <c r="A347" t="inlineStr">
        <is>
          <t>A 50143-2023</t>
        </is>
      </c>
      <c r="B347" s="1" t="n">
        <v>45215</v>
      </c>
      <c r="C347" s="1" t="n">
        <v>46167</v>
      </c>
      <c r="D347" t="inlineStr">
        <is>
          <t>STOCKHOLMS LÄN</t>
        </is>
      </c>
      <c r="E347" t="inlineStr">
        <is>
          <t>NORRTÄLJE</t>
        </is>
      </c>
      <c r="G347" t="n">
        <v>10.3</v>
      </c>
      <c r="H347" t="n">
        <v>0</v>
      </c>
      <c r="I347" t="n">
        <v>0</v>
      </c>
      <c r="J347" t="n">
        <v>0</v>
      </c>
      <c r="K347" t="n">
        <v>0</v>
      </c>
      <c r="L347" t="n">
        <v>0</v>
      </c>
      <c r="M347" t="n">
        <v>0</v>
      </c>
      <c r="N347" t="n">
        <v>0</v>
      </c>
      <c r="O347" t="n">
        <v>0</v>
      </c>
      <c r="P347" t="n">
        <v>0</v>
      </c>
      <c r="Q347" t="n">
        <v>0</v>
      </c>
      <c r="R347" s="2" t="inlineStr"/>
    </row>
    <row r="348" ht="15" customHeight="1">
      <c r="A348" t="inlineStr">
        <is>
          <t>A 5823-2023</t>
        </is>
      </c>
      <c r="B348" s="1" t="n">
        <v>44963</v>
      </c>
      <c r="C348" s="1" t="n">
        <v>46167</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19915-2024</t>
        </is>
      </c>
      <c r="B349" s="1" t="n">
        <v>45433.58431712963</v>
      </c>
      <c r="C349" s="1" t="n">
        <v>46167</v>
      </c>
      <c r="D349" t="inlineStr">
        <is>
          <t>STOCKHOLMS LÄN</t>
        </is>
      </c>
      <c r="E349" t="inlineStr">
        <is>
          <t>NORRTÄLJE</t>
        </is>
      </c>
      <c r="G349" t="n">
        <v>2</v>
      </c>
      <c r="H349" t="n">
        <v>0</v>
      </c>
      <c r="I349" t="n">
        <v>0</v>
      </c>
      <c r="J349" t="n">
        <v>0</v>
      </c>
      <c r="K349" t="n">
        <v>0</v>
      </c>
      <c r="L349" t="n">
        <v>0</v>
      </c>
      <c r="M349" t="n">
        <v>0</v>
      </c>
      <c r="N349" t="n">
        <v>0</v>
      </c>
      <c r="O349" t="n">
        <v>0</v>
      </c>
      <c r="P349" t="n">
        <v>0</v>
      </c>
      <c r="Q349" t="n">
        <v>0</v>
      </c>
      <c r="R349" s="2" t="inlineStr"/>
    </row>
    <row r="350" ht="15" customHeight="1">
      <c r="A350" t="inlineStr">
        <is>
          <t>A 15217-2023</t>
        </is>
      </c>
      <c r="B350" s="1" t="n">
        <v>45019.28847222222</v>
      </c>
      <c r="C350" s="1" t="n">
        <v>46167</v>
      </c>
      <c r="D350" t="inlineStr">
        <is>
          <t>STOCKHOLMS LÄN</t>
        </is>
      </c>
      <c r="E350" t="inlineStr">
        <is>
          <t>NORRTÄLJE</t>
        </is>
      </c>
      <c r="G350" t="n">
        <v>3.6</v>
      </c>
      <c r="H350" t="n">
        <v>0</v>
      </c>
      <c r="I350" t="n">
        <v>0</v>
      </c>
      <c r="J350" t="n">
        <v>0</v>
      </c>
      <c r="K350" t="n">
        <v>0</v>
      </c>
      <c r="L350" t="n">
        <v>0</v>
      </c>
      <c r="M350" t="n">
        <v>0</v>
      </c>
      <c r="N350" t="n">
        <v>0</v>
      </c>
      <c r="O350" t="n">
        <v>0</v>
      </c>
      <c r="P350" t="n">
        <v>0</v>
      </c>
      <c r="Q350" t="n">
        <v>0</v>
      </c>
      <c r="R350" s="2" t="inlineStr"/>
    </row>
    <row r="351" ht="15" customHeight="1">
      <c r="A351" t="inlineStr">
        <is>
          <t>A 29176-2024</t>
        </is>
      </c>
      <c r="B351" s="1" t="n">
        <v>45482.53388888889</v>
      </c>
      <c r="C351" s="1" t="n">
        <v>46167</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36430-2024</t>
        </is>
      </c>
      <c r="B352" s="1" t="n">
        <v>45536</v>
      </c>
      <c r="C352" s="1" t="n">
        <v>46167</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51312-2023</t>
        </is>
      </c>
      <c r="B353" s="1" t="n">
        <v>45219.56697916667</v>
      </c>
      <c r="C353" s="1" t="n">
        <v>46167</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35640-2024</t>
        </is>
      </c>
      <c r="B354" s="1" t="n">
        <v>45531</v>
      </c>
      <c r="C354" s="1" t="n">
        <v>46167</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4322-2023</t>
        </is>
      </c>
      <c r="B355" s="1" t="n">
        <v>44953.69298611111</v>
      </c>
      <c r="C355" s="1" t="n">
        <v>46167</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43212-2022</t>
        </is>
      </c>
      <c r="B356" s="1" t="n">
        <v>44834.38636574074</v>
      </c>
      <c r="C356" s="1" t="n">
        <v>46167</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51653-2022</t>
        </is>
      </c>
      <c r="B357" s="1" t="n">
        <v>44867</v>
      </c>
      <c r="C357" s="1" t="n">
        <v>46167</v>
      </c>
      <c r="D357" t="inlineStr">
        <is>
          <t>STOCKHOLMS LÄN</t>
        </is>
      </c>
      <c r="E357" t="inlineStr">
        <is>
          <t>NORRTÄLJE</t>
        </is>
      </c>
      <c r="G357" t="n">
        <v>6.6</v>
      </c>
      <c r="H357" t="n">
        <v>0</v>
      </c>
      <c r="I357" t="n">
        <v>0</v>
      </c>
      <c r="J357" t="n">
        <v>0</v>
      </c>
      <c r="K357" t="n">
        <v>0</v>
      </c>
      <c r="L357" t="n">
        <v>0</v>
      </c>
      <c r="M357" t="n">
        <v>0</v>
      </c>
      <c r="N357" t="n">
        <v>0</v>
      </c>
      <c r="O357" t="n">
        <v>0</v>
      </c>
      <c r="P357" t="n">
        <v>0</v>
      </c>
      <c r="Q357" t="n">
        <v>0</v>
      </c>
      <c r="R357" s="2" t="inlineStr"/>
    </row>
    <row r="358" ht="15" customHeight="1">
      <c r="A358" t="inlineStr">
        <is>
          <t>A 38990-2022</t>
        </is>
      </c>
      <c r="B358" s="1" t="n">
        <v>44816</v>
      </c>
      <c r="C358" s="1" t="n">
        <v>46167</v>
      </c>
      <c r="D358" t="inlineStr">
        <is>
          <t>STOCKHOLMS LÄN</t>
        </is>
      </c>
      <c r="E358" t="inlineStr">
        <is>
          <t>NORRTÄLJE</t>
        </is>
      </c>
      <c r="G358" t="n">
        <v>5.7</v>
      </c>
      <c r="H358" t="n">
        <v>0</v>
      </c>
      <c r="I358" t="n">
        <v>0</v>
      </c>
      <c r="J358" t="n">
        <v>0</v>
      </c>
      <c r="K358" t="n">
        <v>0</v>
      </c>
      <c r="L358" t="n">
        <v>0</v>
      </c>
      <c r="M358" t="n">
        <v>0</v>
      </c>
      <c r="N358" t="n">
        <v>0</v>
      </c>
      <c r="O358" t="n">
        <v>0</v>
      </c>
      <c r="P358" t="n">
        <v>0</v>
      </c>
      <c r="Q358" t="n">
        <v>0</v>
      </c>
      <c r="R358" s="2" t="inlineStr"/>
    </row>
    <row r="359" ht="15" customHeight="1">
      <c r="A359" t="inlineStr">
        <is>
          <t>A 17956-2025</t>
        </is>
      </c>
      <c r="B359" s="1" t="n">
        <v>45760.91174768518</v>
      </c>
      <c r="C359" s="1" t="n">
        <v>46167</v>
      </c>
      <c r="D359" t="inlineStr">
        <is>
          <t>STOCKHOLMS LÄN</t>
        </is>
      </c>
      <c r="E359" t="inlineStr">
        <is>
          <t>NORRTÄLJE</t>
        </is>
      </c>
      <c r="G359" t="n">
        <v>4.3</v>
      </c>
      <c r="H359" t="n">
        <v>0</v>
      </c>
      <c r="I359" t="n">
        <v>0</v>
      </c>
      <c r="J359" t="n">
        <v>0</v>
      </c>
      <c r="K359" t="n">
        <v>0</v>
      </c>
      <c r="L359" t="n">
        <v>0</v>
      </c>
      <c r="M359" t="n">
        <v>0</v>
      </c>
      <c r="N359" t="n">
        <v>0</v>
      </c>
      <c r="O359" t="n">
        <v>0</v>
      </c>
      <c r="P359" t="n">
        <v>0</v>
      </c>
      <c r="Q359" t="n">
        <v>0</v>
      </c>
      <c r="R359" s="2" t="inlineStr"/>
    </row>
    <row r="360" ht="15" customHeight="1">
      <c r="A360" t="inlineStr">
        <is>
          <t>A 39213-2022</t>
        </is>
      </c>
      <c r="B360" s="1" t="n">
        <v>44817.56120370371</v>
      </c>
      <c r="C360" s="1" t="n">
        <v>46167</v>
      </c>
      <c r="D360" t="inlineStr">
        <is>
          <t>STOCKHOLMS LÄN</t>
        </is>
      </c>
      <c r="E360" t="inlineStr">
        <is>
          <t>NORRTÄLJE</t>
        </is>
      </c>
      <c r="G360" t="n">
        <v>3.4</v>
      </c>
      <c r="H360" t="n">
        <v>0</v>
      </c>
      <c r="I360" t="n">
        <v>0</v>
      </c>
      <c r="J360" t="n">
        <v>0</v>
      </c>
      <c r="K360" t="n">
        <v>0</v>
      </c>
      <c r="L360" t="n">
        <v>0</v>
      </c>
      <c r="M360" t="n">
        <v>0</v>
      </c>
      <c r="N360" t="n">
        <v>0</v>
      </c>
      <c r="O360" t="n">
        <v>0</v>
      </c>
      <c r="P360" t="n">
        <v>0</v>
      </c>
      <c r="Q360" t="n">
        <v>0</v>
      </c>
      <c r="R360" s="2" t="inlineStr"/>
    </row>
    <row r="361" ht="15" customHeight="1">
      <c r="A361" t="inlineStr">
        <is>
          <t>A 875-2023</t>
        </is>
      </c>
      <c r="B361" s="1" t="n">
        <v>44931.65626157408</v>
      </c>
      <c r="C361" s="1" t="n">
        <v>46167</v>
      </c>
      <c r="D361" t="inlineStr">
        <is>
          <t>STOCKHOLMS LÄN</t>
        </is>
      </c>
      <c r="E361" t="inlineStr">
        <is>
          <t>NORRTÄLJE</t>
        </is>
      </c>
      <c r="G361" t="n">
        <v>2.2</v>
      </c>
      <c r="H361" t="n">
        <v>0</v>
      </c>
      <c r="I361" t="n">
        <v>0</v>
      </c>
      <c r="J361" t="n">
        <v>0</v>
      </c>
      <c r="K361" t="n">
        <v>0</v>
      </c>
      <c r="L361" t="n">
        <v>0</v>
      </c>
      <c r="M361" t="n">
        <v>0</v>
      </c>
      <c r="N361" t="n">
        <v>0</v>
      </c>
      <c r="O361" t="n">
        <v>0</v>
      </c>
      <c r="P361" t="n">
        <v>0</v>
      </c>
      <c r="Q361" t="n">
        <v>0</v>
      </c>
      <c r="R361" s="2" t="inlineStr"/>
    </row>
    <row r="362" ht="15" customHeight="1">
      <c r="A362" t="inlineStr">
        <is>
          <t>A 31236-2022</t>
        </is>
      </c>
      <c r="B362" s="1" t="n">
        <v>44771</v>
      </c>
      <c r="C362" s="1" t="n">
        <v>46167</v>
      </c>
      <c r="D362" t="inlineStr">
        <is>
          <t>STOCKHOLMS LÄN</t>
        </is>
      </c>
      <c r="E362" t="inlineStr">
        <is>
          <t>NORRTÄLJE</t>
        </is>
      </c>
      <c r="G362" t="n">
        <v>1.7</v>
      </c>
      <c r="H362" t="n">
        <v>0</v>
      </c>
      <c r="I362" t="n">
        <v>0</v>
      </c>
      <c r="J362" t="n">
        <v>0</v>
      </c>
      <c r="K362" t="n">
        <v>0</v>
      </c>
      <c r="L362" t="n">
        <v>0</v>
      </c>
      <c r="M362" t="n">
        <v>0</v>
      </c>
      <c r="N362" t="n">
        <v>0</v>
      </c>
      <c r="O362" t="n">
        <v>0</v>
      </c>
      <c r="P362" t="n">
        <v>0</v>
      </c>
      <c r="Q362" t="n">
        <v>0</v>
      </c>
      <c r="R362" s="2" t="inlineStr"/>
    </row>
    <row r="363" ht="15" customHeight="1">
      <c r="A363" t="inlineStr">
        <is>
          <t>A 8315-2025</t>
        </is>
      </c>
      <c r="B363" s="1" t="n">
        <v>45708.61761574074</v>
      </c>
      <c r="C363" s="1" t="n">
        <v>46167</v>
      </c>
      <c r="D363" t="inlineStr">
        <is>
          <t>STOCKHOLMS LÄN</t>
        </is>
      </c>
      <c r="E363" t="inlineStr">
        <is>
          <t>NORRTÄLJE</t>
        </is>
      </c>
      <c r="G363" t="n">
        <v>3.9</v>
      </c>
      <c r="H363" t="n">
        <v>0</v>
      </c>
      <c r="I363" t="n">
        <v>0</v>
      </c>
      <c r="J363" t="n">
        <v>0</v>
      </c>
      <c r="K363" t="n">
        <v>0</v>
      </c>
      <c r="L363" t="n">
        <v>0</v>
      </c>
      <c r="M363" t="n">
        <v>0</v>
      </c>
      <c r="N363" t="n">
        <v>0</v>
      </c>
      <c r="O363" t="n">
        <v>0</v>
      </c>
      <c r="P363" t="n">
        <v>0</v>
      </c>
      <c r="Q363" t="n">
        <v>0</v>
      </c>
      <c r="R363" s="2" t="inlineStr"/>
    </row>
    <row r="364" ht="15" customHeight="1">
      <c r="A364" t="inlineStr">
        <is>
          <t>A 18665-2022</t>
        </is>
      </c>
      <c r="B364" s="1" t="n">
        <v>44687</v>
      </c>
      <c r="C364" s="1" t="n">
        <v>46167</v>
      </c>
      <c r="D364" t="inlineStr">
        <is>
          <t>STOCKHOLMS LÄN</t>
        </is>
      </c>
      <c r="E364" t="inlineStr">
        <is>
          <t>NORRTÄLJE</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52686-2024</t>
        </is>
      </c>
      <c r="B365" s="1" t="n">
        <v>45610.39271990741</v>
      </c>
      <c r="C365" s="1" t="n">
        <v>46167</v>
      </c>
      <c r="D365" t="inlineStr">
        <is>
          <t>STOCKHOLMS LÄN</t>
        </is>
      </c>
      <c r="E365" t="inlineStr">
        <is>
          <t>NORRTÄLJE</t>
        </is>
      </c>
      <c r="G365" t="n">
        <v>5.7</v>
      </c>
      <c r="H365" t="n">
        <v>0</v>
      </c>
      <c r="I365" t="n">
        <v>0</v>
      </c>
      <c r="J365" t="n">
        <v>0</v>
      </c>
      <c r="K365" t="n">
        <v>0</v>
      </c>
      <c r="L365" t="n">
        <v>0</v>
      </c>
      <c r="M365" t="n">
        <v>0</v>
      </c>
      <c r="N365" t="n">
        <v>0</v>
      </c>
      <c r="O365" t="n">
        <v>0</v>
      </c>
      <c r="P365" t="n">
        <v>0</v>
      </c>
      <c r="Q365" t="n">
        <v>0</v>
      </c>
      <c r="R365" s="2" t="inlineStr"/>
    </row>
    <row r="366" ht="15" customHeight="1">
      <c r="A366" t="inlineStr">
        <is>
          <t>A 58302-2022</t>
        </is>
      </c>
      <c r="B366" s="1" t="n">
        <v>44901</v>
      </c>
      <c r="C366" s="1" t="n">
        <v>46167</v>
      </c>
      <c r="D366" t="inlineStr">
        <is>
          <t>STOCKHOLMS LÄN</t>
        </is>
      </c>
      <c r="E366" t="inlineStr">
        <is>
          <t>NORRTÄLJE</t>
        </is>
      </c>
      <c r="G366" t="n">
        <v>3.9</v>
      </c>
      <c r="H366" t="n">
        <v>0</v>
      </c>
      <c r="I366" t="n">
        <v>0</v>
      </c>
      <c r="J366" t="n">
        <v>0</v>
      </c>
      <c r="K366" t="n">
        <v>0</v>
      </c>
      <c r="L366" t="n">
        <v>0</v>
      </c>
      <c r="M366" t="n">
        <v>0</v>
      </c>
      <c r="N366" t="n">
        <v>0</v>
      </c>
      <c r="O366" t="n">
        <v>0</v>
      </c>
      <c r="P366" t="n">
        <v>0</v>
      </c>
      <c r="Q366" t="n">
        <v>0</v>
      </c>
      <c r="R366" s="2" t="inlineStr"/>
    </row>
    <row r="367" ht="15" customHeight="1">
      <c r="A367" t="inlineStr">
        <is>
          <t>A 20343-2024</t>
        </is>
      </c>
      <c r="B367" s="1" t="n">
        <v>45435.43466435185</v>
      </c>
      <c r="C367" s="1" t="n">
        <v>46167</v>
      </c>
      <c r="D367" t="inlineStr">
        <is>
          <t>STOCKHOLMS LÄN</t>
        </is>
      </c>
      <c r="E367" t="inlineStr">
        <is>
          <t>NORRTÄLJE</t>
        </is>
      </c>
      <c r="G367" t="n">
        <v>2.8</v>
      </c>
      <c r="H367" t="n">
        <v>0</v>
      </c>
      <c r="I367" t="n">
        <v>0</v>
      </c>
      <c r="J367" t="n">
        <v>0</v>
      </c>
      <c r="K367" t="n">
        <v>0</v>
      </c>
      <c r="L367" t="n">
        <v>0</v>
      </c>
      <c r="M367" t="n">
        <v>0</v>
      </c>
      <c r="N367" t="n">
        <v>0</v>
      </c>
      <c r="O367" t="n">
        <v>0</v>
      </c>
      <c r="P367" t="n">
        <v>0</v>
      </c>
      <c r="Q367" t="n">
        <v>0</v>
      </c>
      <c r="R367" s="2" t="inlineStr"/>
    </row>
    <row r="368" ht="15" customHeight="1">
      <c r="A368" t="inlineStr">
        <is>
          <t>A 20345-2024</t>
        </is>
      </c>
      <c r="B368" s="1" t="n">
        <v>45435.43820601852</v>
      </c>
      <c r="C368" s="1" t="n">
        <v>46167</v>
      </c>
      <c r="D368" t="inlineStr">
        <is>
          <t>STOCKHOLMS LÄN</t>
        </is>
      </c>
      <c r="E368" t="inlineStr">
        <is>
          <t>NORRTÄLJE</t>
        </is>
      </c>
      <c r="G368" t="n">
        <v>3.8</v>
      </c>
      <c r="H368" t="n">
        <v>0</v>
      </c>
      <c r="I368" t="n">
        <v>0</v>
      </c>
      <c r="J368" t="n">
        <v>0</v>
      </c>
      <c r="K368" t="n">
        <v>0</v>
      </c>
      <c r="L368" t="n">
        <v>0</v>
      </c>
      <c r="M368" t="n">
        <v>0</v>
      </c>
      <c r="N368" t="n">
        <v>0</v>
      </c>
      <c r="O368" t="n">
        <v>0</v>
      </c>
      <c r="P368" t="n">
        <v>0</v>
      </c>
      <c r="Q368" t="n">
        <v>0</v>
      </c>
      <c r="R368" s="2" t="inlineStr"/>
    </row>
    <row r="369" ht="15" customHeight="1">
      <c r="A369" t="inlineStr">
        <is>
          <t>A 9765-2024</t>
        </is>
      </c>
      <c r="B369" s="1" t="n">
        <v>45362.62811342593</v>
      </c>
      <c r="C369" s="1" t="n">
        <v>46167</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59875-2024</t>
        </is>
      </c>
      <c r="B370" s="1" t="n">
        <v>45640.58716435185</v>
      </c>
      <c r="C370" s="1" t="n">
        <v>46167</v>
      </c>
      <c r="D370" t="inlineStr">
        <is>
          <t>STOCKHOLMS LÄN</t>
        </is>
      </c>
      <c r="E370" t="inlineStr">
        <is>
          <t>NORRTÄLJE</t>
        </is>
      </c>
      <c r="G370" t="n">
        <v>0.3</v>
      </c>
      <c r="H370" t="n">
        <v>0</v>
      </c>
      <c r="I370" t="n">
        <v>0</v>
      </c>
      <c r="J370" t="n">
        <v>0</v>
      </c>
      <c r="K370" t="n">
        <v>0</v>
      </c>
      <c r="L370" t="n">
        <v>0</v>
      </c>
      <c r="M370" t="n">
        <v>0</v>
      </c>
      <c r="N370" t="n">
        <v>0</v>
      </c>
      <c r="O370" t="n">
        <v>0</v>
      </c>
      <c r="P370" t="n">
        <v>0</v>
      </c>
      <c r="Q370" t="n">
        <v>0</v>
      </c>
      <c r="R370" s="2" t="inlineStr"/>
    </row>
    <row r="371" ht="15" customHeight="1">
      <c r="A371" t="inlineStr">
        <is>
          <t>A 41976-2024</t>
        </is>
      </c>
      <c r="B371" s="1" t="n">
        <v>45561.62141203704</v>
      </c>
      <c r="C371" s="1" t="n">
        <v>46167</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25525-2022</t>
        </is>
      </c>
      <c r="B372" s="1" t="n">
        <v>44732</v>
      </c>
      <c r="C372" s="1" t="n">
        <v>46167</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11-2024</t>
        </is>
      </c>
      <c r="B373" s="1" t="n">
        <v>45293</v>
      </c>
      <c r="C373" s="1" t="n">
        <v>46167</v>
      </c>
      <c r="D373" t="inlineStr">
        <is>
          <t>STOCKHOLMS LÄN</t>
        </is>
      </c>
      <c r="E373" t="inlineStr">
        <is>
          <t>NORRTÄLJE</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12302-2025</t>
        </is>
      </c>
      <c r="B374" s="1" t="n">
        <v>45729.72851851852</v>
      </c>
      <c r="C374" s="1" t="n">
        <v>46167</v>
      </c>
      <c r="D374" t="inlineStr">
        <is>
          <t>STOCKHOLMS LÄN</t>
        </is>
      </c>
      <c r="E374" t="inlineStr">
        <is>
          <t>NORRTÄLJE</t>
        </is>
      </c>
      <c r="F374" t="inlineStr">
        <is>
          <t>Holmen skog AB</t>
        </is>
      </c>
      <c r="G374" t="n">
        <v>0.8</v>
      </c>
      <c r="H374" t="n">
        <v>0</v>
      </c>
      <c r="I374" t="n">
        <v>0</v>
      </c>
      <c r="J374" t="n">
        <v>0</v>
      </c>
      <c r="K374" t="n">
        <v>0</v>
      </c>
      <c r="L374" t="n">
        <v>0</v>
      </c>
      <c r="M374" t="n">
        <v>0</v>
      </c>
      <c r="N374" t="n">
        <v>0</v>
      </c>
      <c r="O374" t="n">
        <v>0</v>
      </c>
      <c r="P374" t="n">
        <v>0</v>
      </c>
      <c r="Q374" t="n">
        <v>0</v>
      </c>
      <c r="R374" s="2" t="inlineStr"/>
    </row>
    <row r="375" ht="15" customHeight="1">
      <c r="A375" t="inlineStr">
        <is>
          <t>A 14559-2024</t>
        </is>
      </c>
      <c r="B375" s="1" t="n">
        <v>45394.72869212963</v>
      </c>
      <c r="C375" s="1" t="n">
        <v>46167</v>
      </c>
      <c r="D375" t="inlineStr">
        <is>
          <t>STOCKHOLMS LÄN</t>
        </is>
      </c>
      <c r="E375" t="inlineStr">
        <is>
          <t>NORRTÄLJE</t>
        </is>
      </c>
      <c r="G375" t="n">
        <v>4.2</v>
      </c>
      <c r="H375" t="n">
        <v>0</v>
      </c>
      <c r="I375" t="n">
        <v>0</v>
      </c>
      <c r="J375" t="n">
        <v>0</v>
      </c>
      <c r="K375" t="n">
        <v>0</v>
      </c>
      <c r="L375" t="n">
        <v>0</v>
      </c>
      <c r="M375" t="n">
        <v>0</v>
      </c>
      <c r="N375" t="n">
        <v>0</v>
      </c>
      <c r="O375" t="n">
        <v>0</v>
      </c>
      <c r="P375" t="n">
        <v>0</v>
      </c>
      <c r="Q375" t="n">
        <v>0</v>
      </c>
      <c r="R375" s="2" t="inlineStr"/>
    </row>
    <row r="376" ht="15" customHeight="1">
      <c r="A376" t="inlineStr">
        <is>
          <t>A 8433-2022</t>
        </is>
      </c>
      <c r="B376" s="1" t="n">
        <v>44611</v>
      </c>
      <c r="C376" s="1" t="n">
        <v>46167</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38591-2023</t>
        </is>
      </c>
      <c r="B377" s="1" t="n">
        <v>45162</v>
      </c>
      <c r="C377" s="1" t="n">
        <v>46167</v>
      </c>
      <c r="D377" t="inlineStr">
        <is>
          <t>STOCKHOLMS LÄN</t>
        </is>
      </c>
      <c r="E377" t="inlineStr">
        <is>
          <t>NORRTÄLJE</t>
        </is>
      </c>
      <c r="F377" t="inlineStr">
        <is>
          <t>Övriga Aktiebolag</t>
        </is>
      </c>
      <c r="G377" t="n">
        <v>3.1</v>
      </c>
      <c r="H377" t="n">
        <v>0</v>
      </c>
      <c r="I377" t="n">
        <v>0</v>
      </c>
      <c r="J377" t="n">
        <v>0</v>
      </c>
      <c r="K377" t="n">
        <v>0</v>
      </c>
      <c r="L377" t="n">
        <v>0</v>
      </c>
      <c r="M377" t="n">
        <v>0</v>
      </c>
      <c r="N377" t="n">
        <v>0</v>
      </c>
      <c r="O377" t="n">
        <v>0</v>
      </c>
      <c r="P377" t="n">
        <v>0</v>
      </c>
      <c r="Q377" t="n">
        <v>0</v>
      </c>
      <c r="R377" s="2" t="inlineStr"/>
    </row>
    <row r="378" ht="15" customHeight="1">
      <c r="A378" t="inlineStr">
        <is>
          <t>A 38889-2024</t>
        </is>
      </c>
      <c r="B378" s="1" t="n">
        <v>45547</v>
      </c>
      <c r="C378" s="1" t="n">
        <v>46167</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45451-2024</t>
        </is>
      </c>
      <c r="B379" s="1" t="n">
        <v>45576</v>
      </c>
      <c r="C379" s="1" t="n">
        <v>46167</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30338-2022</t>
        </is>
      </c>
      <c r="B380" s="1" t="n">
        <v>44760</v>
      </c>
      <c r="C380" s="1" t="n">
        <v>46167</v>
      </c>
      <c r="D380" t="inlineStr">
        <is>
          <t>STOCKHOLMS LÄN</t>
        </is>
      </c>
      <c r="E380" t="inlineStr">
        <is>
          <t>NORRTÄLJE</t>
        </is>
      </c>
      <c r="G380" t="n">
        <v>0.3</v>
      </c>
      <c r="H380" t="n">
        <v>0</v>
      </c>
      <c r="I380" t="n">
        <v>0</v>
      </c>
      <c r="J380" t="n">
        <v>0</v>
      </c>
      <c r="K380" t="n">
        <v>0</v>
      </c>
      <c r="L380" t="n">
        <v>0</v>
      </c>
      <c r="M380" t="n">
        <v>0</v>
      </c>
      <c r="N380" t="n">
        <v>0</v>
      </c>
      <c r="O380" t="n">
        <v>0</v>
      </c>
      <c r="P380" t="n">
        <v>0</v>
      </c>
      <c r="Q380" t="n">
        <v>0</v>
      </c>
      <c r="R380" s="2" t="inlineStr"/>
    </row>
    <row r="381" ht="15" customHeight="1">
      <c r="A381" t="inlineStr">
        <is>
          <t>A 2888-2022</t>
        </is>
      </c>
      <c r="B381" s="1" t="n">
        <v>44581</v>
      </c>
      <c r="C381" s="1" t="n">
        <v>46167</v>
      </c>
      <c r="D381" t="inlineStr">
        <is>
          <t>STOCKHOLMS LÄN</t>
        </is>
      </c>
      <c r="E381" t="inlineStr">
        <is>
          <t>NORRTÄLJE</t>
        </is>
      </c>
      <c r="G381" t="n">
        <v>2.4</v>
      </c>
      <c r="H381" t="n">
        <v>0</v>
      </c>
      <c r="I381" t="n">
        <v>0</v>
      </c>
      <c r="J381" t="n">
        <v>0</v>
      </c>
      <c r="K381" t="n">
        <v>0</v>
      </c>
      <c r="L381" t="n">
        <v>0</v>
      </c>
      <c r="M381" t="n">
        <v>0</v>
      </c>
      <c r="N381" t="n">
        <v>0</v>
      </c>
      <c r="O381" t="n">
        <v>0</v>
      </c>
      <c r="P381" t="n">
        <v>0</v>
      </c>
      <c r="Q381" t="n">
        <v>0</v>
      </c>
      <c r="R381" s="2" t="inlineStr"/>
    </row>
    <row r="382" ht="15" customHeight="1">
      <c r="A382" t="inlineStr">
        <is>
          <t>A 13718-2022</t>
        </is>
      </c>
      <c r="B382" s="1" t="n">
        <v>44649</v>
      </c>
      <c r="C382" s="1" t="n">
        <v>46167</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25621-2022</t>
        </is>
      </c>
      <c r="B383" s="1" t="n">
        <v>44732</v>
      </c>
      <c r="C383" s="1" t="n">
        <v>46167</v>
      </c>
      <c r="D383" t="inlineStr">
        <is>
          <t>STOCKHOLMS LÄN</t>
        </is>
      </c>
      <c r="E383" t="inlineStr">
        <is>
          <t>NORRTÄLJE</t>
        </is>
      </c>
      <c r="G383" t="n">
        <v>3.1</v>
      </c>
      <c r="H383" t="n">
        <v>0</v>
      </c>
      <c r="I383" t="n">
        <v>0</v>
      </c>
      <c r="J383" t="n">
        <v>0</v>
      </c>
      <c r="K383" t="n">
        <v>0</v>
      </c>
      <c r="L383" t="n">
        <v>0</v>
      </c>
      <c r="M383" t="n">
        <v>0</v>
      </c>
      <c r="N383" t="n">
        <v>0</v>
      </c>
      <c r="O383" t="n">
        <v>0</v>
      </c>
      <c r="P383" t="n">
        <v>0</v>
      </c>
      <c r="Q383" t="n">
        <v>0</v>
      </c>
      <c r="R383" s="2" t="inlineStr"/>
    </row>
    <row r="384" ht="15" customHeight="1">
      <c r="A384" t="inlineStr">
        <is>
          <t>A 2982-2023</t>
        </is>
      </c>
      <c r="B384" s="1" t="n">
        <v>44945.67409722223</v>
      </c>
      <c r="C384" s="1" t="n">
        <v>46167</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12535-2025</t>
        </is>
      </c>
      <c r="B385" s="1" t="n">
        <v>45730.69502314815</v>
      </c>
      <c r="C385" s="1" t="n">
        <v>46167</v>
      </c>
      <c r="D385" t="inlineStr">
        <is>
          <t>STOCKHOLMS LÄN</t>
        </is>
      </c>
      <c r="E385" t="inlineStr">
        <is>
          <t>NORRTÄLJE</t>
        </is>
      </c>
      <c r="G385" t="n">
        <v>7.1</v>
      </c>
      <c r="H385" t="n">
        <v>0</v>
      </c>
      <c r="I385" t="n">
        <v>0</v>
      </c>
      <c r="J385" t="n">
        <v>0</v>
      </c>
      <c r="K385" t="n">
        <v>0</v>
      </c>
      <c r="L385" t="n">
        <v>0</v>
      </c>
      <c r="M385" t="n">
        <v>0</v>
      </c>
      <c r="N385" t="n">
        <v>0</v>
      </c>
      <c r="O385" t="n">
        <v>0</v>
      </c>
      <c r="P385" t="n">
        <v>0</v>
      </c>
      <c r="Q385" t="n">
        <v>0</v>
      </c>
      <c r="R385" s="2" t="inlineStr"/>
    </row>
    <row r="386" ht="15" customHeight="1">
      <c r="A386" t="inlineStr">
        <is>
          <t>A 26644-2024</t>
        </is>
      </c>
      <c r="B386" s="1" t="n">
        <v>45469</v>
      </c>
      <c r="C386" s="1" t="n">
        <v>46167</v>
      </c>
      <c r="D386" t="inlineStr">
        <is>
          <t>STOCKHOLMS LÄN</t>
        </is>
      </c>
      <c r="E386" t="inlineStr">
        <is>
          <t>NORRTÄLJE</t>
        </is>
      </c>
      <c r="G386" t="n">
        <v>4.3</v>
      </c>
      <c r="H386" t="n">
        <v>0</v>
      </c>
      <c r="I386" t="n">
        <v>0</v>
      </c>
      <c r="J386" t="n">
        <v>0</v>
      </c>
      <c r="K386" t="n">
        <v>0</v>
      </c>
      <c r="L386" t="n">
        <v>0</v>
      </c>
      <c r="M386" t="n">
        <v>0</v>
      </c>
      <c r="N386" t="n">
        <v>0</v>
      </c>
      <c r="O386" t="n">
        <v>0</v>
      </c>
      <c r="P386" t="n">
        <v>0</v>
      </c>
      <c r="Q386" t="n">
        <v>0</v>
      </c>
      <c r="R386" s="2" t="inlineStr"/>
    </row>
    <row r="387" ht="15" customHeight="1">
      <c r="A387" t="inlineStr">
        <is>
          <t>A 37136-2023</t>
        </is>
      </c>
      <c r="B387" s="1" t="n">
        <v>45155</v>
      </c>
      <c r="C387" s="1" t="n">
        <v>46167</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6919-2025</t>
        </is>
      </c>
      <c r="B388" s="1" t="n">
        <v>45701.44372685185</v>
      </c>
      <c r="C388" s="1" t="n">
        <v>46167</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32100-2022</t>
        </is>
      </c>
      <c r="B389" s="1" t="n">
        <v>44778</v>
      </c>
      <c r="C389" s="1" t="n">
        <v>46167</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36269-2022</t>
        </is>
      </c>
      <c r="B390" s="1" t="n">
        <v>44803</v>
      </c>
      <c r="C390" s="1" t="n">
        <v>46167</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36308-2022</t>
        </is>
      </c>
      <c r="B391" s="1" t="n">
        <v>44803</v>
      </c>
      <c r="C391" s="1" t="n">
        <v>46167</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11332-2025</t>
        </is>
      </c>
      <c r="B392" s="1" t="n">
        <v>45726.48152777777</v>
      </c>
      <c r="C392" s="1" t="n">
        <v>46167</v>
      </c>
      <c r="D392" t="inlineStr">
        <is>
          <t>STOCKHOLMS LÄN</t>
        </is>
      </c>
      <c r="E392" t="inlineStr">
        <is>
          <t>NORRTÄLJE</t>
        </is>
      </c>
      <c r="G392" t="n">
        <v>4.6</v>
      </c>
      <c r="H392" t="n">
        <v>0</v>
      </c>
      <c r="I392" t="n">
        <v>0</v>
      </c>
      <c r="J392" t="n">
        <v>0</v>
      </c>
      <c r="K392" t="n">
        <v>0</v>
      </c>
      <c r="L392" t="n">
        <v>0</v>
      </c>
      <c r="M392" t="n">
        <v>0</v>
      </c>
      <c r="N392" t="n">
        <v>0</v>
      </c>
      <c r="O392" t="n">
        <v>0</v>
      </c>
      <c r="P392" t="n">
        <v>0</v>
      </c>
      <c r="Q392" t="n">
        <v>0</v>
      </c>
      <c r="R392" s="2" t="inlineStr"/>
    </row>
    <row r="393" ht="15" customHeight="1">
      <c r="A393" t="inlineStr">
        <is>
          <t>A 37444-2021</t>
        </is>
      </c>
      <c r="B393" s="1" t="n">
        <v>44398</v>
      </c>
      <c r="C393" s="1" t="n">
        <v>46167</v>
      </c>
      <c r="D393" t="inlineStr">
        <is>
          <t>STOCKHOLMS LÄN</t>
        </is>
      </c>
      <c r="E393" t="inlineStr">
        <is>
          <t>NORRTÄLJE</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30886-2022</t>
        </is>
      </c>
      <c r="B394" s="1" t="n">
        <v>44767.60601851852</v>
      </c>
      <c r="C394" s="1" t="n">
        <v>46167</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18787-2022</t>
        </is>
      </c>
      <c r="B395" s="1" t="n">
        <v>44687</v>
      </c>
      <c r="C395" s="1" t="n">
        <v>46167</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1453-2025</t>
        </is>
      </c>
      <c r="B396" s="1" t="n">
        <v>45670.3079050926</v>
      </c>
      <c r="C396" s="1" t="n">
        <v>46167</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9654-2022</t>
        </is>
      </c>
      <c r="B397" s="1" t="n">
        <v>44617</v>
      </c>
      <c r="C397" s="1" t="n">
        <v>46167</v>
      </c>
      <c r="D397" t="inlineStr">
        <is>
          <t>STOCKHOLMS LÄN</t>
        </is>
      </c>
      <c r="E397" t="inlineStr">
        <is>
          <t>NORRTÄLJE</t>
        </is>
      </c>
      <c r="G397" t="n">
        <v>6.4</v>
      </c>
      <c r="H397" t="n">
        <v>0</v>
      </c>
      <c r="I397" t="n">
        <v>0</v>
      </c>
      <c r="J397" t="n">
        <v>0</v>
      </c>
      <c r="K397" t="n">
        <v>0</v>
      </c>
      <c r="L397" t="n">
        <v>0</v>
      </c>
      <c r="M397" t="n">
        <v>0</v>
      </c>
      <c r="N397" t="n">
        <v>0</v>
      </c>
      <c r="O397" t="n">
        <v>0</v>
      </c>
      <c r="P397" t="n">
        <v>0</v>
      </c>
      <c r="Q397" t="n">
        <v>0</v>
      </c>
      <c r="R397" s="2" t="inlineStr"/>
    </row>
    <row r="398" ht="15" customHeight="1">
      <c r="A398" t="inlineStr">
        <is>
          <t>A 5804-2025</t>
        </is>
      </c>
      <c r="B398" s="1" t="n">
        <v>45694.68207175926</v>
      </c>
      <c r="C398" s="1" t="n">
        <v>46167</v>
      </c>
      <c r="D398" t="inlineStr">
        <is>
          <t>STOCKHOLMS LÄN</t>
        </is>
      </c>
      <c r="E398" t="inlineStr">
        <is>
          <t>NORRTÄLJE</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14127-2025</t>
        </is>
      </c>
      <c r="B399" s="1" t="n">
        <v>45740.47055555556</v>
      </c>
      <c r="C399" s="1" t="n">
        <v>46167</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16980-2023</t>
        </is>
      </c>
      <c r="B400" s="1" t="n">
        <v>45033</v>
      </c>
      <c r="C400" s="1" t="n">
        <v>46167</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50907-2022</t>
        </is>
      </c>
      <c r="B401" s="1" t="n">
        <v>44867.62090277778</v>
      </c>
      <c r="C401" s="1" t="n">
        <v>46167</v>
      </c>
      <c r="D401" t="inlineStr">
        <is>
          <t>STOCKHOLMS LÄN</t>
        </is>
      </c>
      <c r="E401" t="inlineStr">
        <is>
          <t>NORRTÄLJE</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37550-2022</t>
        </is>
      </c>
      <c r="B402" s="1" t="n">
        <v>44809</v>
      </c>
      <c r="C402" s="1" t="n">
        <v>46167</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29003-2023</t>
        </is>
      </c>
      <c r="B403" s="1" t="n">
        <v>45104</v>
      </c>
      <c r="C403" s="1" t="n">
        <v>46167</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33295-2023</t>
        </is>
      </c>
      <c r="B404" s="1" t="n">
        <v>45127.69371527778</v>
      </c>
      <c r="C404" s="1" t="n">
        <v>46167</v>
      </c>
      <c r="D404" t="inlineStr">
        <is>
          <t>STOCKHOLMS LÄN</t>
        </is>
      </c>
      <c r="E404" t="inlineStr">
        <is>
          <t>NORRTÄLJE</t>
        </is>
      </c>
      <c r="F404" t="inlineStr">
        <is>
          <t>Holmen skog AB</t>
        </is>
      </c>
      <c r="G404" t="n">
        <v>2</v>
      </c>
      <c r="H404" t="n">
        <v>0</v>
      </c>
      <c r="I404" t="n">
        <v>0</v>
      </c>
      <c r="J404" t="n">
        <v>0</v>
      </c>
      <c r="K404" t="n">
        <v>0</v>
      </c>
      <c r="L404" t="n">
        <v>0</v>
      </c>
      <c r="M404" t="n">
        <v>0</v>
      </c>
      <c r="N404" t="n">
        <v>0</v>
      </c>
      <c r="O404" t="n">
        <v>0</v>
      </c>
      <c r="P404" t="n">
        <v>0</v>
      </c>
      <c r="Q404" t="n">
        <v>0</v>
      </c>
      <c r="R404" s="2" t="inlineStr"/>
    </row>
    <row r="405" ht="15" customHeight="1">
      <c r="A405" t="inlineStr">
        <is>
          <t>A 32595-2023</t>
        </is>
      </c>
      <c r="B405" s="1" t="n">
        <v>45121</v>
      </c>
      <c r="C405" s="1" t="n">
        <v>46167</v>
      </c>
      <c r="D405" t="inlineStr">
        <is>
          <t>STOCKHOLMS LÄN</t>
        </is>
      </c>
      <c r="E405" t="inlineStr">
        <is>
          <t>NORRTÄLJE</t>
        </is>
      </c>
      <c r="G405" t="n">
        <v>2.4</v>
      </c>
      <c r="H405" t="n">
        <v>0</v>
      </c>
      <c r="I405" t="n">
        <v>0</v>
      </c>
      <c r="J405" t="n">
        <v>0</v>
      </c>
      <c r="K405" t="n">
        <v>0</v>
      </c>
      <c r="L405" t="n">
        <v>0</v>
      </c>
      <c r="M405" t="n">
        <v>0</v>
      </c>
      <c r="N405" t="n">
        <v>0</v>
      </c>
      <c r="O405" t="n">
        <v>0</v>
      </c>
      <c r="P405" t="n">
        <v>0</v>
      </c>
      <c r="Q405" t="n">
        <v>0</v>
      </c>
      <c r="R405" s="2" t="inlineStr"/>
    </row>
    <row r="406" ht="15" customHeight="1">
      <c r="A406" t="inlineStr">
        <is>
          <t>A 48161-2022</t>
        </is>
      </c>
      <c r="B406" s="1" t="n">
        <v>44858</v>
      </c>
      <c r="C406" s="1" t="n">
        <v>46167</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48798-2021</t>
        </is>
      </c>
      <c r="B407" s="1" t="n">
        <v>44452</v>
      </c>
      <c r="C407" s="1" t="n">
        <v>46167</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57442-2021</t>
        </is>
      </c>
      <c r="B408" s="1" t="n">
        <v>44483</v>
      </c>
      <c r="C408" s="1" t="n">
        <v>46167</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54776-2023</t>
        </is>
      </c>
      <c r="B409" s="1" t="n">
        <v>45236.46369212963</v>
      </c>
      <c r="C409" s="1" t="n">
        <v>46167</v>
      </c>
      <c r="D409" t="inlineStr">
        <is>
          <t>STOCKHOLMS LÄN</t>
        </is>
      </c>
      <c r="E409" t="inlineStr">
        <is>
          <t>NORRTÄLJE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55952-2024</t>
        </is>
      </c>
      <c r="B410" s="1" t="n">
        <v>45623.62563657408</v>
      </c>
      <c r="C410" s="1" t="n">
        <v>46167</v>
      </c>
      <c r="D410" t="inlineStr">
        <is>
          <t>STOCKHOLMS LÄN</t>
        </is>
      </c>
      <c r="E410" t="inlineStr">
        <is>
          <t>NORRTÄLJE</t>
        </is>
      </c>
      <c r="F410" t="inlineStr">
        <is>
          <t>Holmen skog AB</t>
        </is>
      </c>
      <c r="G410" t="n">
        <v>2.8</v>
      </c>
      <c r="H410" t="n">
        <v>0</v>
      </c>
      <c r="I410" t="n">
        <v>0</v>
      </c>
      <c r="J410" t="n">
        <v>0</v>
      </c>
      <c r="K410" t="n">
        <v>0</v>
      </c>
      <c r="L410" t="n">
        <v>0</v>
      </c>
      <c r="M410" t="n">
        <v>0</v>
      </c>
      <c r="N410" t="n">
        <v>0</v>
      </c>
      <c r="O410" t="n">
        <v>0</v>
      </c>
      <c r="P410" t="n">
        <v>0</v>
      </c>
      <c r="Q410" t="n">
        <v>0</v>
      </c>
      <c r="R410" s="2" t="inlineStr"/>
    </row>
    <row r="411" ht="15" customHeight="1">
      <c r="A411" t="inlineStr">
        <is>
          <t>A 8135-2025</t>
        </is>
      </c>
      <c r="B411" s="1" t="n">
        <v>45707.84997685185</v>
      </c>
      <c r="C411" s="1" t="n">
        <v>46167</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3383-2023</t>
        </is>
      </c>
      <c r="B412" s="1" t="n">
        <v>44949</v>
      </c>
      <c r="C412" s="1" t="n">
        <v>46167</v>
      </c>
      <c r="D412" t="inlineStr">
        <is>
          <t>STOCKHOLMS LÄN</t>
        </is>
      </c>
      <c r="E412" t="inlineStr">
        <is>
          <t>NORRTÄLJE</t>
        </is>
      </c>
      <c r="G412" t="n">
        <v>14.6</v>
      </c>
      <c r="H412" t="n">
        <v>0</v>
      </c>
      <c r="I412" t="n">
        <v>0</v>
      </c>
      <c r="J412" t="n">
        <v>0</v>
      </c>
      <c r="K412" t="n">
        <v>0</v>
      </c>
      <c r="L412" t="n">
        <v>0</v>
      </c>
      <c r="M412" t="n">
        <v>0</v>
      </c>
      <c r="N412" t="n">
        <v>0</v>
      </c>
      <c r="O412" t="n">
        <v>0</v>
      </c>
      <c r="P412" t="n">
        <v>0</v>
      </c>
      <c r="Q412" t="n">
        <v>0</v>
      </c>
      <c r="R412" s="2" t="inlineStr"/>
    </row>
    <row r="413" ht="15" customHeight="1">
      <c r="A413" t="inlineStr">
        <is>
          <t>A 21732-2023</t>
        </is>
      </c>
      <c r="B413" s="1" t="n">
        <v>45063</v>
      </c>
      <c r="C413" s="1" t="n">
        <v>46167</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23307-2024</t>
        </is>
      </c>
      <c r="B414" s="1" t="n">
        <v>45453</v>
      </c>
      <c r="C414" s="1" t="n">
        <v>46167</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16243-2026</t>
        </is>
      </c>
      <c r="B415" s="1" t="n">
        <v>46111.45902777778</v>
      </c>
      <c r="C415" s="1" t="n">
        <v>46167</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16229-2026</t>
        </is>
      </c>
      <c r="B416" s="1" t="n">
        <v>46111.45084490741</v>
      </c>
      <c r="C416" s="1" t="n">
        <v>46167</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38593-2025</t>
        </is>
      </c>
      <c r="B417" s="1" t="n">
        <v>45884.48696759259</v>
      </c>
      <c r="C417" s="1" t="n">
        <v>46167</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35110-2025</t>
        </is>
      </c>
      <c r="B418" s="1" t="n">
        <v>45852.58030092593</v>
      </c>
      <c r="C418" s="1" t="n">
        <v>46167</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35254-2025</t>
        </is>
      </c>
      <c r="B419" s="1" t="n">
        <v>45853</v>
      </c>
      <c r="C419" s="1" t="n">
        <v>46167</v>
      </c>
      <c r="D419" t="inlineStr">
        <is>
          <t>STOCKHOLMS LÄN</t>
        </is>
      </c>
      <c r="E419" t="inlineStr">
        <is>
          <t>NORRTÄLJE</t>
        </is>
      </c>
      <c r="G419" t="n">
        <v>6.5</v>
      </c>
      <c r="H419" t="n">
        <v>0</v>
      </c>
      <c r="I419" t="n">
        <v>0</v>
      </c>
      <c r="J419" t="n">
        <v>0</v>
      </c>
      <c r="K419" t="n">
        <v>0</v>
      </c>
      <c r="L419" t="n">
        <v>0</v>
      </c>
      <c r="M419" t="n">
        <v>0</v>
      </c>
      <c r="N419" t="n">
        <v>0</v>
      </c>
      <c r="O419" t="n">
        <v>0</v>
      </c>
      <c r="P419" t="n">
        <v>0</v>
      </c>
      <c r="Q419" t="n">
        <v>0</v>
      </c>
      <c r="R419" s="2" t="inlineStr"/>
    </row>
    <row r="420" ht="15" customHeight="1">
      <c r="A420" t="inlineStr">
        <is>
          <t>A 37085-2021</t>
        </is>
      </c>
      <c r="B420" s="1" t="n">
        <v>44395</v>
      </c>
      <c r="C420" s="1" t="n">
        <v>46167</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56428-2023</t>
        </is>
      </c>
      <c r="B421" s="1" t="n">
        <v>45243.45289351852</v>
      </c>
      <c r="C421" s="1" t="n">
        <v>46167</v>
      </c>
      <c r="D421" t="inlineStr">
        <is>
          <t>STOCKHOLMS LÄN</t>
        </is>
      </c>
      <c r="E421" t="inlineStr">
        <is>
          <t>NORRTÄLJE</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35479-2025</t>
        </is>
      </c>
      <c r="B422" s="1" t="n">
        <v>45855.69387731481</v>
      </c>
      <c r="C422" s="1" t="n">
        <v>46167</v>
      </c>
      <c r="D422" t="inlineStr">
        <is>
          <t>STOCKHOLMS LÄN</t>
        </is>
      </c>
      <c r="E422" t="inlineStr">
        <is>
          <t>NORRTÄLJE</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27677-2025</t>
        </is>
      </c>
      <c r="B423" s="1" t="n">
        <v>45813.63650462963</v>
      </c>
      <c r="C423" s="1" t="n">
        <v>46167</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35451-2025</t>
        </is>
      </c>
      <c r="B424" s="1" t="n">
        <v>45855.57033564815</v>
      </c>
      <c r="C424" s="1" t="n">
        <v>46167</v>
      </c>
      <c r="D424" t="inlineStr">
        <is>
          <t>STOCKHOLMS LÄN</t>
        </is>
      </c>
      <c r="E424" t="inlineStr">
        <is>
          <t>NORRTÄLJE</t>
        </is>
      </c>
      <c r="F424" t="inlineStr">
        <is>
          <t>Holmen skog AB</t>
        </is>
      </c>
      <c r="G424" t="n">
        <v>7.4</v>
      </c>
      <c r="H424" t="n">
        <v>0</v>
      </c>
      <c r="I424" t="n">
        <v>0</v>
      </c>
      <c r="J424" t="n">
        <v>0</v>
      </c>
      <c r="K424" t="n">
        <v>0</v>
      </c>
      <c r="L424" t="n">
        <v>0</v>
      </c>
      <c r="M424" t="n">
        <v>0</v>
      </c>
      <c r="N424" t="n">
        <v>0</v>
      </c>
      <c r="O424" t="n">
        <v>0</v>
      </c>
      <c r="P424" t="n">
        <v>0</v>
      </c>
      <c r="Q424" t="n">
        <v>0</v>
      </c>
      <c r="R424" s="2" t="inlineStr"/>
    </row>
    <row r="425" ht="15" customHeight="1">
      <c r="A425" t="inlineStr">
        <is>
          <t>A 35478-2025</t>
        </is>
      </c>
      <c r="B425" s="1" t="n">
        <v>45855.68413194444</v>
      </c>
      <c r="C425" s="1" t="n">
        <v>46167</v>
      </c>
      <c r="D425" t="inlineStr">
        <is>
          <t>STOCKHOLMS LÄN</t>
        </is>
      </c>
      <c r="E425" t="inlineStr">
        <is>
          <t>NORRTÄLJE</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39152-2025</t>
        </is>
      </c>
      <c r="B426" s="1" t="n">
        <v>45888</v>
      </c>
      <c r="C426" s="1" t="n">
        <v>46167</v>
      </c>
      <c r="D426" t="inlineStr">
        <is>
          <t>STOCKHOLMS LÄN</t>
        </is>
      </c>
      <c r="E426" t="inlineStr">
        <is>
          <t>NORRTÄLJE</t>
        </is>
      </c>
      <c r="G426" t="n">
        <v>4.6</v>
      </c>
      <c r="H426" t="n">
        <v>0</v>
      </c>
      <c r="I426" t="n">
        <v>0</v>
      </c>
      <c r="J426" t="n">
        <v>0</v>
      </c>
      <c r="K426" t="n">
        <v>0</v>
      </c>
      <c r="L426" t="n">
        <v>0</v>
      </c>
      <c r="M426" t="n">
        <v>0</v>
      </c>
      <c r="N426" t="n">
        <v>0</v>
      </c>
      <c r="O426" t="n">
        <v>0</v>
      </c>
      <c r="P426" t="n">
        <v>0</v>
      </c>
      <c r="Q426" t="n">
        <v>0</v>
      </c>
      <c r="R426" s="2" t="inlineStr"/>
    </row>
    <row r="427" ht="15" customHeight="1">
      <c r="A427" t="inlineStr">
        <is>
          <t>A 17556-2025</t>
        </is>
      </c>
      <c r="B427" s="1" t="n">
        <v>45757.62482638889</v>
      </c>
      <c r="C427" s="1" t="n">
        <v>46167</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39149-2025</t>
        </is>
      </c>
      <c r="B428" s="1" t="n">
        <v>45888.60714120371</v>
      </c>
      <c r="C428" s="1" t="n">
        <v>46167</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39692-2025</t>
        </is>
      </c>
      <c r="B429" s="1" t="n">
        <v>45890.68083333333</v>
      </c>
      <c r="C429" s="1" t="n">
        <v>46167</v>
      </c>
      <c r="D429" t="inlineStr">
        <is>
          <t>STOCKHOLMS LÄN</t>
        </is>
      </c>
      <c r="E429" t="inlineStr">
        <is>
          <t>NORRTÄLJE</t>
        </is>
      </c>
      <c r="G429" t="n">
        <v>10.5</v>
      </c>
      <c r="H429" t="n">
        <v>0</v>
      </c>
      <c r="I429" t="n">
        <v>0</v>
      </c>
      <c r="J429" t="n">
        <v>0</v>
      </c>
      <c r="K429" t="n">
        <v>0</v>
      </c>
      <c r="L429" t="n">
        <v>0</v>
      </c>
      <c r="M429" t="n">
        <v>0</v>
      </c>
      <c r="N429" t="n">
        <v>0</v>
      </c>
      <c r="O429" t="n">
        <v>0</v>
      </c>
      <c r="P429" t="n">
        <v>0</v>
      </c>
      <c r="Q429" t="n">
        <v>0</v>
      </c>
      <c r="R429" s="2" t="inlineStr"/>
    </row>
    <row r="430" ht="15" customHeight="1">
      <c r="A430" t="inlineStr">
        <is>
          <t>A 42094-2023</t>
        </is>
      </c>
      <c r="B430" s="1" t="n">
        <v>45177.61498842593</v>
      </c>
      <c r="C430" s="1" t="n">
        <v>46167</v>
      </c>
      <c r="D430" t="inlineStr">
        <is>
          <t>STOCKHOLMS LÄN</t>
        </is>
      </c>
      <c r="E430" t="inlineStr">
        <is>
          <t>NORRTÄLJE</t>
        </is>
      </c>
      <c r="G430" t="n">
        <v>0.3</v>
      </c>
      <c r="H430" t="n">
        <v>0</v>
      </c>
      <c r="I430" t="n">
        <v>0</v>
      </c>
      <c r="J430" t="n">
        <v>0</v>
      </c>
      <c r="K430" t="n">
        <v>0</v>
      </c>
      <c r="L430" t="n">
        <v>0</v>
      </c>
      <c r="M430" t="n">
        <v>0</v>
      </c>
      <c r="N430" t="n">
        <v>0</v>
      </c>
      <c r="O430" t="n">
        <v>0</v>
      </c>
      <c r="P430" t="n">
        <v>0</v>
      </c>
      <c r="Q430" t="n">
        <v>0</v>
      </c>
      <c r="R430" s="2" t="inlineStr"/>
    </row>
    <row r="431" ht="15" customHeight="1">
      <c r="A431" t="inlineStr">
        <is>
          <t>A 17025-2026</t>
        </is>
      </c>
      <c r="B431" s="1" t="n">
        <v>46113</v>
      </c>
      <c r="C431" s="1" t="n">
        <v>46167</v>
      </c>
      <c r="D431" t="inlineStr">
        <is>
          <t>STOCKHOLMS LÄN</t>
        </is>
      </c>
      <c r="E431" t="inlineStr">
        <is>
          <t>NORRTÄLJE</t>
        </is>
      </c>
      <c r="G431" t="n">
        <v>5.4</v>
      </c>
      <c r="H431" t="n">
        <v>0</v>
      </c>
      <c r="I431" t="n">
        <v>0</v>
      </c>
      <c r="J431" t="n">
        <v>0</v>
      </c>
      <c r="K431" t="n">
        <v>0</v>
      </c>
      <c r="L431" t="n">
        <v>0</v>
      </c>
      <c r="M431" t="n">
        <v>0</v>
      </c>
      <c r="N431" t="n">
        <v>0</v>
      </c>
      <c r="O431" t="n">
        <v>0</v>
      </c>
      <c r="P431" t="n">
        <v>0</v>
      </c>
      <c r="Q431" t="n">
        <v>0</v>
      </c>
      <c r="R431" s="2" t="inlineStr"/>
    </row>
    <row r="432" ht="15" customHeight="1">
      <c r="A432" t="inlineStr">
        <is>
          <t>A 35639-2025</t>
        </is>
      </c>
      <c r="B432" s="1" t="n">
        <v>45859</v>
      </c>
      <c r="C432" s="1" t="n">
        <v>46167</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34444-2024</t>
        </is>
      </c>
      <c r="B433" s="1" t="n">
        <v>45525</v>
      </c>
      <c r="C433" s="1" t="n">
        <v>46167</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35636-2025</t>
        </is>
      </c>
      <c r="B434" s="1" t="n">
        <v>45859</v>
      </c>
      <c r="C434" s="1" t="n">
        <v>46167</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20698-2025</t>
        </is>
      </c>
      <c r="B435" s="1" t="n">
        <v>45776.47122685185</v>
      </c>
      <c r="C435" s="1" t="n">
        <v>46167</v>
      </c>
      <c r="D435" t="inlineStr">
        <is>
          <t>STOCKHOLMS LÄN</t>
        </is>
      </c>
      <c r="E435" t="inlineStr">
        <is>
          <t>NORRTÄLJE</t>
        </is>
      </c>
      <c r="G435" t="n">
        <v>1.7</v>
      </c>
      <c r="H435" t="n">
        <v>0</v>
      </c>
      <c r="I435" t="n">
        <v>0</v>
      </c>
      <c r="J435" t="n">
        <v>0</v>
      </c>
      <c r="K435" t="n">
        <v>0</v>
      </c>
      <c r="L435" t="n">
        <v>0</v>
      </c>
      <c r="M435" t="n">
        <v>0</v>
      </c>
      <c r="N435" t="n">
        <v>0</v>
      </c>
      <c r="O435" t="n">
        <v>0</v>
      </c>
      <c r="P435" t="n">
        <v>0</v>
      </c>
      <c r="Q435" t="n">
        <v>0</v>
      </c>
      <c r="R435" s="2" t="inlineStr"/>
    </row>
    <row r="436" ht="15" customHeight="1">
      <c r="A436" t="inlineStr">
        <is>
          <t>A 40172-2025</t>
        </is>
      </c>
      <c r="B436" s="1" t="n">
        <v>45894.6353125</v>
      </c>
      <c r="C436" s="1" t="n">
        <v>46167</v>
      </c>
      <c r="D436" t="inlineStr">
        <is>
          <t>STOCKHOLMS LÄN</t>
        </is>
      </c>
      <c r="E436" t="inlineStr">
        <is>
          <t>NORRTÄLJE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40033-2025</t>
        </is>
      </c>
      <c r="B437" s="1" t="n">
        <v>45893</v>
      </c>
      <c r="C437" s="1" t="n">
        <v>46167</v>
      </c>
      <c r="D437" t="inlineStr">
        <is>
          <t>STOCKHOLMS LÄN</t>
        </is>
      </c>
      <c r="E437" t="inlineStr">
        <is>
          <t>NORRTÄLJE</t>
        </is>
      </c>
      <c r="G437" t="n">
        <v>1.7</v>
      </c>
      <c r="H437" t="n">
        <v>0</v>
      </c>
      <c r="I437" t="n">
        <v>0</v>
      </c>
      <c r="J437" t="n">
        <v>0</v>
      </c>
      <c r="K437" t="n">
        <v>0</v>
      </c>
      <c r="L437" t="n">
        <v>0</v>
      </c>
      <c r="M437" t="n">
        <v>0</v>
      </c>
      <c r="N437" t="n">
        <v>0</v>
      </c>
      <c r="O437" t="n">
        <v>0</v>
      </c>
      <c r="P437" t="n">
        <v>0</v>
      </c>
      <c r="Q437" t="n">
        <v>0</v>
      </c>
      <c r="R437" s="2" t="inlineStr"/>
    </row>
    <row r="438" ht="15" customHeight="1">
      <c r="A438" t="inlineStr">
        <is>
          <t>A 40032-2025</t>
        </is>
      </c>
      <c r="B438" s="1" t="n">
        <v>45893</v>
      </c>
      <c r="C438" s="1" t="n">
        <v>46167</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40292-2025</t>
        </is>
      </c>
      <c r="B439" s="1" t="n">
        <v>45895.3867824074</v>
      </c>
      <c r="C439" s="1" t="n">
        <v>46167</v>
      </c>
      <c r="D439" t="inlineStr">
        <is>
          <t>STOCKHOLMS LÄN</t>
        </is>
      </c>
      <c r="E439" t="inlineStr">
        <is>
          <t>NORRTÄLJE</t>
        </is>
      </c>
      <c r="G439" t="n">
        <v>3.5</v>
      </c>
      <c r="H439" t="n">
        <v>0</v>
      </c>
      <c r="I439" t="n">
        <v>0</v>
      </c>
      <c r="J439" t="n">
        <v>0</v>
      </c>
      <c r="K439" t="n">
        <v>0</v>
      </c>
      <c r="L439" t="n">
        <v>0</v>
      </c>
      <c r="M439" t="n">
        <v>0</v>
      </c>
      <c r="N439" t="n">
        <v>0</v>
      </c>
      <c r="O439" t="n">
        <v>0</v>
      </c>
      <c r="P439" t="n">
        <v>0</v>
      </c>
      <c r="Q439" t="n">
        <v>0</v>
      </c>
      <c r="R439" s="2" t="inlineStr"/>
    </row>
    <row r="440" ht="15" customHeight="1">
      <c r="A440" t="inlineStr">
        <is>
          <t>A 40294-2025</t>
        </is>
      </c>
      <c r="B440" s="1" t="n">
        <v>45895.38778935185</v>
      </c>
      <c r="C440" s="1" t="n">
        <v>46167</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40228-2025</t>
        </is>
      </c>
      <c r="B441" s="1" t="n">
        <v>45894.70854166667</v>
      </c>
      <c r="C441" s="1" t="n">
        <v>46167</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22618-2026</t>
        </is>
      </c>
      <c r="B442" s="1" t="n">
        <v>46155.61440972222</v>
      </c>
      <c r="C442" s="1" t="n">
        <v>46167</v>
      </c>
      <c r="D442" t="inlineStr">
        <is>
          <t>STOCKHOLMS LÄN</t>
        </is>
      </c>
      <c r="E442" t="inlineStr">
        <is>
          <t>NORRTÄLJE</t>
        </is>
      </c>
      <c r="G442" t="n">
        <v>1.7</v>
      </c>
      <c r="H442" t="n">
        <v>0</v>
      </c>
      <c r="I442" t="n">
        <v>0</v>
      </c>
      <c r="J442" t="n">
        <v>0</v>
      </c>
      <c r="K442" t="n">
        <v>0</v>
      </c>
      <c r="L442" t="n">
        <v>0</v>
      </c>
      <c r="M442" t="n">
        <v>0</v>
      </c>
      <c r="N442" t="n">
        <v>0</v>
      </c>
      <c r="O442" t="n">
        <v>0</v>
      </c>
      <c r="P442" t="n">
        <v>0</v>
      </c>
      <c r="Q442" t="n">
        <v>0</v>
      </c>
      <c r="R442" s="2" t="inlineStr"/>
    </row>
    <row r="443" ht="15" customHeight="1">
      <c r="A443" t="inlineStr">
        <is>
          <t>A 22232-2024</t>
        </is>
      </c>
      <c r="B443" s="1" t="n">
        <v>45446.4287962963</v>
      </c>
      <c r="C443" s="1" t="n">
        <v>46167</v>
      </c>
      <c r="D443" t="inlineStr">
        <is>
          <t>STOCKHOLMS LÄN</t>
        </is>
      </c>
      <c r="E443" t="inlineStr">
        <is>
          <t>NORRTÄLJE</t>
        </is>
      </c>
      <c r="G443" t="n">
        <v>12.8</v>
      </c>
      <c r="H443" t="n">
        <v>0</v>
      </c>
      <c r="I443" t="n">
        <v>0</v>
      </c>
      <c r="J443" t="n">
        <v>0</v>
      </c>
      <c r="K443" t="n">
        <v>0</v>
      </c>
      <c r="L443" t="n">
        <v>0</v>
      </c>
      <c r="M443" t="n">
        <v>0</v>
      </c>
      <c r="N443" t="n">
        <v>0</v>
      </c>
      <c r="O443" t="n">
        <v>0</v>
      </c>
      <c r="P443" t="n">
        <v>0</v>
      </c>
      <c r="Q443" t="n">
        <v>0</v>
      </c>
      <c r="R443" s="2" t="inlineStr"/>
    </row>
    <row r="444" ht="15" customHeight="1">
      <c r="A444" t="inlineStr">
        <is>
          <t>A 40230-2025</t>
        </is>
      </c>
      <c r="B444" s="1" t="n">
        <v>45894.71101851852</v>
      </c>
      <c r="C444" s="1" t="n">
        <v>46167</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36396-2025</t>
        </is>
      </c>
      <c r="B445" s="1" t="n">
        <v>45868.62267361111</v>
      </c>
      <c r="C445" s="1" t="n">
        <v>46167</v>
      </c>
      <c r="D445" t="inlineStr">
        <is>
          <t>STOCKHOLMS LÄN</t>
        </is>
      </c>
      <c r="E445" t="inlineStr">
        <is>
          <t>NORRTÄLJE</t>
        </is>
      </c>
      <c r="G445" t="n">
        <v>4.1</v>
      </c>
      <c r="H445" t="n">
        <v>0</v>
      </c>
      <c r="I445" t="n">
        <v>0</v>
      </c>
      <c r="J445" t="n">
        <v>0</v>
      </c>
      <c r="K445" t="n">
        <v>0</v>
      </c>
      <c r="L445" t="n">
        <v>0</v>
      </c>
      <c r="M445" t="n">
        <v>0</v>
      </c>
      <c r="N445" t="n">
        <v>0</v>
      </c>
      <c r="O445" t="n">
        <v>0</v>
      </c>
      <c r="P445" t="n">
        <v>0</v>
      </c>
      <c r="Q445" t="n">
        <v>0</v>
      </c>
      <c r="R445" s="2" t="inlineStr"/>
    </row>
    <row r="446" ht="15" customHeight="1">
      <c r="A446" t="inlineStr">
        <is>
          <t>A 40217-2025</t>
        </is>
      </c>
      <c r="B446" s="1" t="n">
        <v>45894.68864583333</v>
      </c>
      <c r="C446" s="1" t="n">
        <v>46167</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8370-2025</t>
        </is>
      </c>
      <c r="B447" s="1" t="n">
        <v>45708</v>
      </c>
      <c r="C447" s="1" t="n">
        <v>46167</v>
      </c>
      <c r="D447" t="inlineStr">
        <is>
          <t>STOCKHOLMS LÄN</t>
        </is>
      </c>
      <c r="E447" t="inlineStr">
        <is>
          <t>NORRTÄLJE</t>
        </is>
      </c>
      <c r="F447" t="inlineStr">
        <is>
          <t>Övriga Aktiebolag</t>
        </is>
      </c>
      <c r="G447" t="n">
        <v>5.6</v>
      </c>
      <c r="H447" t="n">
        <v>0</v>
      </c>
      <c r="I447" t="n">
        <v>0</v>
      </c>
      <c r="J447" t="n">
        <v>0</v>
      </c>
      <c r="K447" t="n">
        <v>0</v>
      </c>
      <c r="L447" t="n">
        <v>0</v>
      </c>
      <c r="M447" t="n">
        <v>0</v>
      </c>
      <c r="N447" t="n">
        <v>0</v>
      </c>
      <c r="O447" t="n">
        <v>0</v>
      </c>
      <c r="P447" t="n">
        <v>0</v>
      </c>
      <c r="Q447" t="n">
        <v>0</v>
      </c>
      <c r="R447" s="2" t="inlineStr"/>
    </row>
    <row r="448" ht="15" customHeight="1">
      <c r="A448" t="inlineStr">
        <is>
          <t>A 3299-2022</t>
        </is>
      </c>
      <c r="B448" s="1" t="n">
        <v>44584.91001157407</v>
      </c>
      <c r="C448" s="1" t="n">
        <v>46167</v>
      </c>
      <c r="D448" t="inlineStr">
        <is>
          <t>STOCKHOLMS LÄN</t>
        </is>
      </c>
      <c r="E448" t="inlineStr">
        <is>
          <t>NORRTÄLJE</t>
        </is>
      </c>
      <c r="G448" t="n">
        <v>2.7</v>
      </c>
      <c r="H448" t="n">
        <v>0</v>
      </c>
      <c r="I448" t="n">
        <v>0</v>
      </c>
      <c r="J448" t="n">
        <v>0</v>
      </c>
      <c r="K448" t="n">
        <v>0</v>
      </c>
      <c r="L448" t="n">
        <v>0</v>
      </c>
      <c r="M448" t="n">
        <v>0</v>
      </c>
      <c r="N448" t="n">
        <v>0</v>
      </c>
      <c r="O448" t="n">
        <v>0</v>
      </c>
      <c r="P448" t="n">
        <v>0</v>
      </c>
      <c r="Q448" t="n">
        <v>0</v>
      </c>
      <c r="R448" s="2" t="inlineStr"/>
    </row>
    <row r="449" ht="15" customHeight="1">
      <c r="A449" t="inlineStr">
        <is>
          <t>A 40097-2025</t>
        </is>
      </c>
      <c r="B449" s="1" t="n">
        <v>45894.48322916667</v>
      </c>
      <c r="C449" s="1" t="n">
        <v>46167</v>
      </c>
      <c r="D449" t="inlineStr">
        <is>
          <t>STOCKHOLMS LÄN</t>
        </is>
      </c>
      <c r="E449" t="inlineStr">
        <is>
          <t>NORRTÄLJE</t>
        </is>
      </c>
      <c r="G449" t="n">
        <v>3</v>
      </c>
      <c r="H449" t="n">
        <v>0</v>
      </c>
      <c r="I449" t="n">
        <v>0</v>
      </c>
      <c r="J449" t="n">
        <v>0</v>
      </c>
      <c r="K449" t="n">
        <v>0</v>
      </c>
      <c r="L449" t="n">
        <v>0</v>
      </c>
      <c r="M449" t="n">
        <v>0</v>
      </c>
      <c r="N449" t="n">
        <v>0</v>
      </c>
      <c r="O449" t="n">
        <v>0</v>
      </c>
      <c r="P449" t="n">
        <v>0</v>
      </c>
      <c r="Q449" t="n">
        <v>0</v>
      </c>
      <c r="R449" s="2" t="inlineStr"/>
    </row>
    <row r="450" ht="15" customHeight="1">
      <c r="A450" t="inlineStr">
        <is>
          <t>A 40829-2025</t>
        </is>
      </c>
      <c r="B450" s="1" t="n">
        <v>45897.50802083333</v>
      </c>
      <c r="C450" s="1" t="n">
        <v>46167</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40837-2025</t>
        </is>
      </c>
      <c r="B451" s="1" t="n">
        <v>45897.51328703704</v>
      </c>
      <c r="C451" s="1" t="n">
        <v>46167</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40529-2025</t>
        </is>
      </c>
      <c r="B452" s="1" t="n">
        <v>45896.38466435186</v>
      </c>
      <c r="C452" s="1" t="n">
        <v>46167</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40831-2025</t>
        </is>
      </c>
      <c r="B453" s="1" t="n">
        <v>45897.51077546296</v>
      </c>
      <c r="C453" s="1" t="n">
        <v>46167</v>
      </c>
      <c r="D453" t="inlineStr">
        <is>
          <t>STOCKHOLMS LÄN</t>
        </is>
      </c>
      <c r="E453" t="inlineStr">
        <is>
          <t>NORRTÄLJE</t>
        </is>
      </c>
      <c r="G453" t="n">
        <v>1.8</v>
      </c>
      <c r="H453" t="n">
        <v>0</v>
      </c>
      <c r="I453" t="n">
        <v>0</v>
      </c>
      <c r="J453" t="n">
        <v>0</v>
      </c>
      <c r="K453" t="n">
        <v>0</v>
      </c>
      <c r="L453" t="n">
        <v>0</v>
      </c>
      <c r="M453" t="n">
        <v>0</v>
      </c>
      <c r="N453" t="n">
        <v>0</v>
      </c>
      <c r="O453" t="n">
        <v>0</v>
      </c>
      <c r="P453" t="n">
        <v>0</v>
      </c>
      <c r="Q453" t="n">
        <v>0</v>
      </c>
      <c r="R453" s="2" t="inlineStr"/>
    </row>
    <row r="454" ht="15" customHeight="1">
      <c r="A454" t="inlineStr">
        <is>
          <t>A 12348-2025</t>
        </is>
      </c>
      <c r="B454" s="1" t="n">
        <v>45730.35026620371</v>
      </c>
      <c r="C454" s="1" t="n">
        <v>46167</v>
      </c>
      <c r="D454" t="inlineStr">
        <is>
          <t>STOCKHOLMS LÄN</t>
        </is>
      </c>
      <c r="E454" t="inlineStr">
        <is>
          <t>NORRTÄLJE</t>
        </is>
      </c>
      <c r="G454" t="n">
        <v>1.5</v>
      </c>
      <c r="H454" t="n">
        <v>0</v>
      </c>
      <c r="I454" t="n">
        <v>0</v>
      </c>
      <c r="J454" t="n">
        <v>0</v>
      </c>
      <c r="K454" t="n">
        <v>0</v>
      </c>
      <c r="L454" t="n">
        <v>0</v>
      </c>
      <c r="M454" t="n">
        <v>0</v>
      </c>
      <c r="N454" t="n">
        <v>0</v>
      </c>
      <c r="O454" t="n">
        <v>0</v>
      </c>
      <c r="P454" t="n">
        <v>0</v>
      </c>
      <c r="Q454" t="n">
        <v>0</v>
      </c>
      <c r="R454" s="2" t="inlineStr"/>
    </row>
    <row r="455" ht="15" customHeight="1">
      <c r="A455" t="inlineStr">
        <is>
          <t>A 17347-2026</t>
        </is>
      </c>
      <c r="B455" s="1" t="n">
        <v>46119</v>
      </c>
      <c r="C455" s="1" t="n">
        <v>46167</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17209-2026</t>
        </is>
      </c>
      <c r="B456" s="1" t="n">
        <v>46119.33341435185</v>
      </c>
      <c r="C456" s="1" t="n">
        <v>46167</v>
      </c>
      <c r="D456" t="inlineStr">
        <is>
          <t>STOCKHOLMS LÄN</t>
        </is>
      </c>
      <c r="E456" t="inlineStr">
        <is>
          <t>NORRTÄLJE</t>
        </is>
      </c>
      <c r="F456" t="inlineStr">
        <is>
          <t>Holmen skog AB</t>
        </is>
      </c>
      <c r="G456" t="n">
        <v>2.7</v>
      </c>
      <c r="H456" t="n">
        <v>0</v>
      </c>
      <c r="I456" t="n">
        <v>0</v>
      </c>
      <c r="J456" t="n">
        <v>0</v>
      </c>
      <c r="K456" t="n">
        <v>0</v>
      </c>
      <c r="L456" t="n">
        <v>0</v>
      </c>
      <c r="M456" t="n">
        <v>0</v>
      </c>
      <c r="N456" t="n">
        <v>0</v>
      </c>
      <c r="O456" t="n">
        <v>0</v>
      </c>
      <c r="P456" t="n">
        <v>0</v>
      </c>
      <c r="Q456" t="n">
        <v>0</v>
      </c>
      <c r="R456" s="2" t="inlineStr"/>
    </row>
    <row r="457" ht="15" customHeight="1">
      <c r="A457" t="inlineStr">
        <is>
          <t>A 17545-2025</t>
        </is>
      </c>
      <c r="B457" s="1" t="n">
        <v>45757.60658564815</v>
      </c>
      <c r="C457" s="1" t="n">
        <v>46167</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41158-2025</t>
        </is>
      </c>
      <c r="B458" s="1" t="n">
        <v>45898.5315625</v>
      </c>
      <c r="C458" s="1" t="n">
        <v>46167</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15733-2025</t>
        </is>
      </c>
      <c r="B459" s="1" t="n">
        <v>45748</v>
      </c>
      <c r="C459" s="1" t="n">
        <v>46167</v>
      </c>
      <c r="D459" t="inlineStr">
        <is>
          <t>STOCKHOLMS LÄN</t>
        </is>
      </c>
      <c r="E459" t="inlineStr">
        <is>
          <t>NORRTÄLJE</t>
        </is>
      </c>
      <c r="G459" t="n">
        <v>13.3</v>
      </c>
      <c r="H459" t="n">
        <v>0</v>
      </c>
      <c r="I459" t="n">
        <v>0</v>
      </c>
      <c r="J459" t="n">
        <v>0</v>
      </c>
      <c r="K459" t="n">
        <v>0</v>
      </c>
      <c r="L459" t="n">
        <v>0</v>
      </c>
      <c r="M459" t="n">
        <v>0</v>
      </c>
      <c r="N459" t="n">
        <v>0</v>
      </c>
      <c r="O459" t="n">
        <v>0</v>
      </c>
      <c r="P459" t="n">
        <v>0</v>
      </c>
      <c r="Q459" t="n">
        <v>0</v>
      </c>
      <c r="R459" s="2" t="inlineStr"/>
    </row>
    <row r="460" ht="15" customHeight="1">
      <c r="A460" t="inlineStr">
        <is>
          <t>A 17220-2026</t>
        </is>
      </c>
      <c r="B460" s="1" t="n">
        <v>46119.37436342592</v>
      </c>
      <c r="C460" s="1" t="n">
        <v>46167</v>
      </c>
      <c r="D460" t="inlineStr">
        <is>
          <t>STOCKHOLMS LÄN</t>
        </is>
      </c>
      <c r="E460" t="inlineStr">
        <is>
          <t>NORRTÄLJE</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19058-2024</t>
        </is>
      </c>
      <c r="B461" s="1" t="n">
        <v>45427.89121527778</v>
      </c>
      <c r="C461" s="1" t="n">
        <v>46167</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41053-2025</t>
        </is>
      </c>
      <c r="B462" s="1" t="n">
        <v>45898.40480324074</v>
      </c>
      <c r="C462" s="1" t="n">
        <v>46167</v>
      </c>
      <c r="D462" t="inlineStr">
        <is>
          <t>STOCKHOLMS LÄN</t>
        </is>
      </c>
      <c r="E462" t="inlineStr">
        <is>
          <t>NORRTÄLJE</t>
        </is>
      </c>
      <c r="F462" t="inlineStr">
        <is>
          <t>Holmen skog AB</t>
        </is>
      </c>
      <c r="G462" t="n">
        <v>2.5</v>
      </c>
      <c r="H462" t="n">
        <v>0</v>
      </c>
      <c r="I462" t="n">
        <v>0</v>
      </c>
      <c r="J462" t="n">
        <v>0</v>
      </c>
      <c r="K462" t="n">
        <v>0</v>
      </c>
      <c r="L462" t="n">
        <v>0</v>
      </c>
      <c r="M462" t="n">
        <v>0</v>
      </c>
      <c r="N462" t="n">
        <v>0</v>
      </c>
      <c r="O462" t="n">
        <v>0</v>
      </c>
      <c r="P462" t="n">
        <v>0</v>
      </c>
      <c r="Q462" t="n">
        <v>0</v>
      </c>
      <c r="R462" s="2" t="inlineStr"/>
    </row>
    <row r="463" ht="15" customHeight="1">
      <c r="A463" t="inlineStr">
        <is>
          <t>A 41275-2025</t>
        </is>
      </c>
      <c r="B463" s="1" t="n">
        <v>45898.62625</v>
      </c>
      <c r="C463" s="1" t="n">
        <v>46167</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41272-2025</t>
        </is>
      </c>
      <c r="B464" s="1" t="n">
        <v>45898.62373842593</v>
      </c>
      <c r="C464" s="1" t="n">
        <v>46167</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17207-2026</t>
        </is>
      </c>
      <c r="B465" s="1" t="n">
        <v>46119.31914351852</v>
      </c>
      <c r="C465" s="1" t="n">
        <v>46167</v>
      </c>
      <c r="D465" t="inlineStr">
        <is>
          <t>STOCKHOLMS LÄN</t>
        </is>
      </c>
      <c r="E465" t="inlineStr">
        <is>
          <t>NORRTÄLJE</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25094-2023</t>
        </is>
      </c>
      <c r="B466" s="1" t="n">
        <v>45086.3629050926</v>
      </c>
      <c r="C466" s="1" t="n">
        <v>46167</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36157-2024</t>
        </is>
      </c>
      <c r="B467" s="1" t="n">
        <v>45534.38240740741</v>
      </c>
      <c r="C467" s="1" t="n">
        <v>46167</v>
      </c>
      <c r="D467" t="inlineStr">
        <is>
          <t>STOCKHOLMS LÄN</t>
        </is>
      </c>
      <c r="E467" t="inlineStr">
        <is>
          <t>NORRTÄLJE</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41301-2025</t>
        </is>
      </c>
      <c r="B468" s="1" t="n">
        <v>45898.68826388889</v>
      </c>
      <c r="C468" s="1" t="n">
        <v>46167</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41174-2025</t>
        </is>
      </c>
      <c r="B469" s="1" t="n">
        <v>45898.54921296296</v>
      </c>
      <c r="C469" s="1" t="n">
        <v>46167</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41030-2025</t>
        </is>
      </c>
      <c r="B470" s="1" t="n">
        <v>45898.37636574074</v>
      </c>
      <c r="C470" s="1" t="n">
        <v>46167</v>
      </c>
      <c r="D470" t="inlineStr">
        <is>
          <t>STOCKHOLMS LÄN</t>
        </is>
      </c>
      <c r="E470" t="inlineStr">
        <is>
          <t>NORRTÄLJE</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17345-2026</t>
        </is>
      </c>
      <c r="B471" s="1" t="n">
        <v>46119</v>
      </c>
      <c r="C471" s="1" t="n">
        <v>46167</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41036-2025</t>
        </is>
      </c>
      <c r="B472" s="1" t="n">
        <v>45898.38552083333</v>
      </c>
      <c r="C472" s="1" t="n">
        <v>46167</v>
      </c>
      <c r="D472" t="inlineStr">
        <is>
          <t>STOCKHOLMS LÄN</t>
        </is>
      </c>
      <c r="E472" t="inlineStr">
        <is>
          <t>NORRTÄLJE</t>
        </is>
      </c>
      <c r="F472" t="inlineStr">
        <is>
          <t>Holmen skog AB</t>
        </is>
      </c>
      <c r="G472" t="n">
        <v>2.7</v>
      </c>
      <c r="H472" t="n">
        <v>0</v>
      </c>
      <c r="I472" t="n">
        <v>0</v>
      </c>
      <c r="J472" t="n">
        <v>0</v>
      </c>
      <c r="K472" t="n">
        <v>0</v>
      </c>
      <c r="L472" t="n">
        <v>0</v>
      </c>
      <c r="M472" t="n">
        <v>0</v>
      </c>
      <c r="N472" t="n">
        <v>0</v>
      </c>
      <c r="O472" t="n">
        <v>0</v>
      </c>
      <c r="P472" t="n">
        <v>0</v>
      </c>
      <c r="Q472" t="n">
        <v>0</v>
      </c>
      <c r="R472" s="2" t="inlineStr"/>
    </row>
    <row r="473" ht="15" customHeight="1">
      <c r="A473" t="inlineStr">
        <is>
          <t>A 41106-2025</t>
        </is>
      </c>
      <c r="B473" s="1" t="n">
        <v>45898.45636574074</v>
      </c>
      <c r="C473" s="1" t="n">
        <v>46167</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47694-2023</t>
        </is>
      </c>
      <c r="B474" s="1" t="n">
        <v>45203.63303240741</v>
      </c>
      <c r="C474" s="1" t="n">
        <v>46167</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41110-2025</t>
        </is>
      </c>
      <c r="B475" s="1" t="n">
        <v>45898.45976851852</v>
      </c>
      <c r="C475" s="1" t="n">
        <v>46167</v>
      </c>
      <c r="D475" t="inlineStr">
        <is>
          <t>STOCKHOLMS LÄN</t>
        </is>
      </c>
      <c r="E475" t="inlineStr">
        <is>
          <t>NORRTÄLJE</t>
        </is>
      </c>
      <c r="F475" t="inlineStr">
        <is>
          <t>Holmen skog AB</t>
        </is>
      </c>
      <c r="G475" t="n">
        <v>6.7</v>
      </c>
      <c r="H475" t="n">
        <v>0</v>
      </c>
      <c r="I475" t="n">
        <v>0</v>
      </c>
      <c r="J475" t="n">
        <v>0</v>
      </c>
      <c r="K475" t="n">
        <v>0</v>
      </c>
      <c r="L475" t="n">
        <v>0</v>
      </c>
      <c r="M475" t="n">
        <v>0</v>
      </c>
      <c r="N475" t="n">
        <v>0</v>
      </c>
      <c r="O475" t="n">
        <v>0</v>
      </c>
      <c r="P475" t="n">
        <v>0</v>
      </c>
      <c r="Q475" t="n">
        <v>0</v>
      </c>
      <c r="R475" s="2" t="inlineStr"/>
    </row>
    <row r="476" ht="15" customHeight="1">
      <c r="A476" t="inlineStr">
        <is>
          <t>A 37261-2025</t>
        </is>
      </c>
      <c r="B476" s="1" t="n">
        <v>45876.45253472222</v>
      </c>
      <c r="C476" s="1" t="n">
        <v>46167</v>
      </c>
      <c r="D476" t="inlineStr">
        <is>
          <t>STOCKHOLMS LÄN</t>
        </is>
      </c>
      <c r="E476" t="inlineStr">
        <is>
          <t>NORRTÄLJE</t>
        </is>
      </c>
      <c r="F476" t="inlineStr">
        <is>
          <t>Kommuner</t>
        </is>
      </c>
      <c r="G476" t="n">
        <v>2.2</v>
      </c>
      <c r="H476" t="n">
        <v>0</v>
      </c>
      <c r="I476" t="n">
        <v>0</v>
      </c>
      <c r="J476" t="n">
        <v>0</v>
      </c>
      <c r="K476" t="n">
        <v>0</v>
      </c>
      <c r="L476" t="n">
        <v>0</v>
      </c>
      <c r="M476" t="n">
        <v>0</v>
      </c>
      <c r="N476" t="n">
        <v>0</v>
      </c>
      <c r="O476" t="n">
        <v>0</v>
      </c>
      <c r="P476" t="n">
        <v>0</v>
      </c>
      <c r="Q476" t="n">
        <v>0</v>
      </c>
      <c r="R476" s="2" t="inlineStr"/>
    </row>
    <row r="477" ht="15" customHeight="1">
      <c r="A477" t="inlineStr">
        <is>
          <t>A 41259-2025</t>
        </is>
      </c>
      <c r="B477" s="1" t="n">
        <v>45898.61054398148</v>
      </c>
      <c r="C477" s="1" t="n">
        <v>46167</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17215-2026</t>
        </is>
      </c>
      <c r="B478" s="1" t="n">
        <v>46119.36524305555</v>
      </c>
      <c r="C478" s="1" t="n">
        <v>46167</v>
      </c>
      <c r="D478" t="inlineStr">
        <is>
          <t>STOCKHOLMS LÄN</t>
        </is>
      </c>
      <c r="E478" t="inlineStr">
        <is>
          <t>NORRTÄLJE</t>
        </is>
      </c>
      <c r="F478" t="inlineStr">
        <is>
          <t>Holmen skog AB</t>
        </is>
      </c>
      <c r="G478" t="n">
        <v>3.8</v>
      </c>
      <c r="H478" t="n">
        <v>0</v>
      </c>
      <c r="I478" t="n">
        <v>0</v>
      </c>
      <c r="J478" t="n">
        <v>0</v>
      </c>
      <c r="K478" t="n">
        <v>0</v>
      </c>
      <c r="L478" t="n">
        <v>0</v>
      </c>
      <c r="M478" t="n">
        <v>0</v>
      </c>
      <c r="N478" t="n">
        <v>0</v>
      </c>
      <c r="O478" t="n">
        <v>0</v>
      </c>
      <c r="P478" t="n">
        <v>0</v>
      </c>
      <c r="Q478" t="n">
        <v>0</v>
      </c>
      <c r="R478" s="2" t="inlineStr"/>
    </row>
    <row r="479" ht="15" customHeight="1">
      <c r="A479" t="inlineStr">
        <is>
          <t>A 10511-2025</t>
        </is>
      </c>
      <c r="B479" s="1" t="n">
        <v>45721.40780092592</v>
      </c>
      <c r="C479" s="1" t="n">
        <v>46167</v>
      </c>
      <c r="D479" t="inlineStr">
        <is>
          <t>STOCKHOLMS LÄN</t>
        </is>
      </c>
      <c r="E479" t="inlineStr">
        <is>
          <t>NORRTÄLJE</t>
        </is>
      </c>
      <c r="G479" t="n">
        <v>2.6</v>
      </c>
      <c r="H479" t="n">
        <v>0</v>
      </c>
      <c r="I479" t="n">
        <v>0</v>
      </c>
      <c r="J479" t="n">
        <v>0</v>
      </c>
      <c r="K479" t="n">
        <v>0</v>
      </c>
      <c r="L479" t="n">
        <v>0</v>
      </c>
      <c r="M479" t="n">
        <v>0</v>
      </c>
      <c r="N479" t="n">
        <v>0</v>
      </c>
      <c r="O479" t="n">
        <v>0</v>
      </c>
      <c r="P479" t="n">
        <v>0</v>
      </c>
      <c r="Q479" t="n">
        <v>0</v>
      </c>
      <c r="R479" s="2" t="inlineStr"/>
    </row>
    <row r="480" ht="15" customHeight="1">
      <c r="A480" t="inlineStr">
        <is>
          <t>A 35532-2024</t>
        </is>
      </c>
      <c r="B480" s="1" t="n">
        <v>45531</v>
      </c>
      <c r="C480" s="1" t="n">
        <v>46167</v>
      </c>
      <c r="D480" t="inlineStr">
        <is>
          <t>STOCKHOLMS LÄN</t>
        </is>
      </c>
      <c r="E480" t="inlineStr">
        <is>
          <t>NORRTÄLJE</t>
        </is>
      </c>
      <c r="G480" t="n">
        <v>2.3</v>
      </c>
      <c r="H480" t="n">
        <v>0</v>
      </c>
      <c r="I480" t="n">
        <v>0</v>
      </c>
      <c r="J480" t="n">
        <v>0</v>
      </c>
      <c r="K480" t="n">
        <v>0</v>
      </c>
      <c r="L480" t="n">
        <v>0</v>
      </c>
      <c r="M480" t="n">
        <v>0</v>
      </c>
      <c r="N480" t="n">
        <v>0</v>
      </c>
      <c r="O480" t="n">
        <v>0</v>
      </c>
      <c r="P480" t="n">
        <v>0</v>
      </c>
      <c r="Q480" t="n">
        <v>0</v>
      </c>
      <c r="R480" s="2" t="inlineStr"/>
    </row>
    <row r="481" ht="15" customHeight="1">
      <c r="A481" t="inlineStr">
        <is>
          <t>A 19057-2024</t>
        </is>
      </c>
      <c r="B481" s="1" t="n">
        <v>45427.88731481481</v>
      </c>
      <c r="C481" s="1" t="n">
        <v>46167</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41966-2025</t>
        </is>
      </c>
      <c r="B482" s="1" t="n">
        <v>45903.47456018518</v>
      </c>
      <c r="C482" s="1" t="n">
        <v>46167</v>
      </c>
      <c r="D482" t="inlineStr">
        <is>
          <t>STOCKHOLMS LÄN</t>
        </is>
      </c>
      <c r="E482" t="inlineStr">
        <is>
          <t>NORRTÄLJE</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42038-2025</t>
        </is>
      </c>
      <c r="B483" s="1" t="n">
        <v>45903.61431712963</v>
      </c>
      <c r="C483" s="1" t="n">
        <v>46167</v>
      </c>
      <c r="D483" t="inlineStr">
        <is>
          <t>STOCKHOLMS LÄN</t>
        </is>
      </c>
      <c r="E483" t="inlineStr">
        <is>
          <t>NORRTÄLJE</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1654-2025</t>
        </is>
      </c>
      <c r="B484" s="1" t="n">
        <v>45670.65921296296</v>
      </c>
      <c r="C484" s="1" t="n">
        <v>46167</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62644-2023</t>
        </is>
      </c>
      <c r="B485" s="1" t="n">
        <v>45271</v>
      </c>
      <c r="C485" s="1" t="n">
        <v>46167</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37628-2025</t>
        </is>
      </c>
      <c r="B486" s="1" t="n">
        <v>45880.46189814815</v>
      </c>
      <c r="C486" s="1" t="n">
        <v>46167</v>
      </c>
      <c r="D486" t="inlineStr">
        <is>
          <t>STOCKHOLMS LÄN</t>
        </is>
      </c>
      <c r="E486" t="inlineStr">
        <is>
          <t>NORRTÄLJE</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29369-2024</t>
        </is>
      </c>
      <c r="B487" s="1" t="n">
        <v>45483.57244212963</v>
      </c>
      <c r="C487" s="1" t="n">
        <v>46167</v>
      </c>
      <c r="D487" t="inlineStr">
        <is>
          <t>STOCKHOLMS LÄN</t>
        </is>
      </c>
      <c r="E487" t="inlineStr">
        <is>
          <t>NORRTÄLJE</t>
        </is>
      </c>
      <c r="G487" t="n">
        <v>15.9</v>
      </c>
      <c r="H487" t="n">
        <v>0</v>
      </c>
      <c r="I487" t="n">
        <v>0</v>
      </c>
      <c r="J487" t="n">
        <v>0</v>
      </c>
      <c r="K487" t="n">
        <v>0</v>
      </c>
      <c r="L487" t="n">
        <v>0</v>
      </c>
      <c r="M487" t="n">
        <v>0</v>
      </c>
      <c r="N487" t="n">
        <v>0</v>
      </c>
      <c r="O487" t="n">
        <v>0</v>
      </c>
      <c r="P487" t="n">
        <v>0</v>
      </c>
      <c r="Q487" t="n">
        <v>0</v>
      </c>
      <c r="R487" s="2" t="inlineStr"/>
    </row>
    <row r="488" ht="15" customHeight="1">
      <c r="A488" t="inlineStr">
        <is>
          <t>A 37632-2025</t>
        </is>
      </c>
      <c r="B488" s="1" t="n">
        <v>45880.46524305556</v>
      </c>
      <c r="C488" s="1" t="n">
        <v>46167</v>
      </c>
      <c r="D488" t="inlineStr">
        <is>
          <t>STOCKHOLMS LÄN</t>
        </is>
      </c>
      <c r="E488" t="inlineStr">
        <is>
          <t>NORRTÄLJE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29841-2024</t>
        </is>
      </c>
      <c r="B489" s="1" t="n">
        <v>45485.60261574074</v>
      </c>
      <c r="C489" s="1" t="n">
        <v>46167</v>
      </c>
      <c r="D489" t="inlineStr">
        <is>
          <t>STOCKHOLMS LÄN</t>
        </is>
      </c>
      <c r="E489" t="inlineStr">
        <is>
          <t>NORRTÄLJE</t>
        </is>
      </c>
      <c r="G489" t="n">
        <v>15.9</v>
      </c>
      <c r="H489" t="n">
        <v>0</v>
      </c>
      <c r="I489" t="n">
        <v>0</v>
      </c>
      <c r="J489" t="n">
        <v>0</v>
      </c>
      <c r="K489" t="n">
        <v>0</v>
      </c>
      <c r="L489" t="n">
        <v>0</v>
      </c>
      <c r="M489" t="n">
        <v>0</v>
      </c>
      <c r="N489" t="n">
        <v>0</v>
      </c>
      <c r="O489" t="n">
        <v>0</v>
      </c>
      <c r="P489" t="n">
        <v>0</v>
      </c>
      <c r="Q489" t="n">
        <v>0</v>
      </c>
      <c r="R489" s="2" t="inlineStr"/>
    </row>
    <row r="490" ht="15" customHeight="1">
      <c r="A490" t="inlineStr">
        <is>
          <t>A 41964-2025</t>
        </is>
      </c>
      <c r="B490" s="1" t="n">
        <v>45903.47270833333</v>
      </c>
      <c r="C490" s="1" t="n">
        <v>46167</v>
      </c>
      <c r="D490" t="inlineStr">
        <is>
          <t>STOCKHOLMS LÄN</t>
        </is>
      </c>
      <c r="E490" t="inlineStr">
        <is>
          <t>NORRTÄLJE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20692-2025</t>
        </is>
      </c>
      <c r="B491" s="1" t="n">
        <v>45776.46369212963</v>
      </c>
      <c r="C491" s="1" t="n">
        <v>46167</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11229-2022</t>
        </is>
      </c>
      <c r="B492" s="1" t="n">
        <v>44629</v>
      </c>
      <c r="C492" s="1" t="n">
        <v>46167</v>
      </c>
      <c r="D492" t="inlineStr">
        <is>
          <t>STOCKHOLMS LÄN</t>
        </is>
      </c>
      <c r="E492" t="inlineStr">
        <is>
          <t>NORRTÄLJE</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37630-2025</t>
        </is>
      </c>
      <c r="B493" s="1" t="n">
        <v>45880.46372685185</v>
      </c>
      <c r="C493" s="1" t="n">
        <v>46167</v>
      </c>
      <c r="D493" t="inlineStr">
        <is>
          <t>STOCKHOLMS LÄN</t>
        </is>
      </c>
      <c r="E493" t="inlineStr">
        <is>
          <t>NORRTÄLJE</t>
        </is>
      </c>
      <c r="F493" t="inlineStr">
        <is>
          <t>Sveaskog</t>
        </is>
      </c>
      <c r="G493" t="n">
        <v>12.9</v>
      </c>
      <c r="H493" t="n">
        <v>0</v>
      </c>
      <c r="I493" t="n">
        <v>0</v>
      </c>
      <c r="J493" t="n">
        <v>0</v>
      </c>
      <c r="K493" t="n">
        <v>0</v>
      </c>
      <c r="L493" t="n">
        <v>0</v>
      </c>
      <c r="M493" t="n">
        <v>0</v>
      </c>
      <c r="N493" t="n">
        <v>0</v>
      </c>
      <c r="O493" t="n">
        <v>0</v>
      </c>
      <c r="P493" t="n">
        <v>0</v>
      </c>
      <c r="Q493" t="n">
        <v>0</v>
      </c>
      <c r="R493" s="2" t="inlineStr"/>
    </row>
    <row r="494" ht="15" customHeight="1">
      <c r="A494" t="inlineStr">
        <is>
          <t>A 17651-2026</t>
        </is>
      </c>
      <c r="B494" s="1" t="n">
        <v>46121.55334490741</v>
      </c>
      <c r="C494" s="1" t="n">
        <v>46167</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30699-2025</t>
        </is>
      </c>
      <c r="B495" s="1" t="n">
        <v>45831.54618055555</v>
      </c>
      <c r="C495" s="1" t="n">
        <v>46167</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46071-2024</t>
        </is>
      </c>
      <c r="B496" s="1" t="n">
        <v>45581</v>
      </c>
      <c r="C496" s="1" t="n">
        <v>46167</v>
      </c>
      <c r="D496" t="inlineStr">
        <is>
          <t>STOCKHOLMS LÄN</t>
        </is>
      </c>
      <c r="E496" t="inlineStr">
        <is>
          <t>NORRTÄLJE</t>
        </is>
      </c>
      <c r="G496" t="n">
        <v>2.3</v>
      </c>
      <c r="H496" t="n">
        <v>0</v>
      </c>
      <c r="I496" t="n">
        <v>0</v>
      </c>
      <c r="J496" t="n">
        <v>0</v>
      </c>
      <c r="K496" t="n">
        <v>0</v>
      </c>
      <c r="L496" t="n">
        <v>0</v>
      </c>
      <c r="M496" t="n">
        <v>0</v>
      </c>
      <c r="N496" t="n">
        <v>0</v>
      </c>
      <c r="O496" t="n">
        <v>0</v>
      </c>
      <c r="P496" t="n">
        <v>0</v>
      </c>
      <c r="Q496" t="n">
        <v>0</v>
      </c>
      <c r="R496" s="2" t="inlineStr"/>
    </row>
    <row r="497" ht="15" customHeight="1">
      <c r="A497" t="inlineStr">
        <is>
          <t>A 13137-2024</t>
        </is>
      </c>
      <c r="B497" s="1" t="n">
        <v>45386.34175925926</v>
      </c>
      <c r="C497" s="1" t="n">
        <v>46167</v>
      </c>
      <c r="D497" t="inlineStr">
        <is>
          <t>STOCKHOLMS LÄN</t>
        </is>
      </c>
      <c r="E497" t="inlineStr">
        <is>
          <t>NORRTÄLJE</t>
        </is>
      </c>
      <c r="G497" t="n">
        <v>5</v>
      </c>
      <c r="H497" t="n">
        <v>0</v>
      </c>
      <c r="I497" t="n">
        <v>0</v>
      </c>
      <c r="J497" t="n">
        <v>0</v>
      </c>
      <c r="K497" t="n">
        <v>0</v>
      </c>
      <c r="L497" t="n">
        <v>0</v>
      </c>
      <c r="M497" t="n">
        <v>0</v>
      </c>
      <c r="N497" t="n">
        <v>0</v>
      </c>
      <c r="O497" t="n">
        <v>0</v>
      </c>
      <c r="P497" t="n">
        <v>0</v>
      </c>
      <c r="Q497" t="n">
        <v>0</v>
      </c>
      <c r="R497" s="2" t="inlineStr"/>
    </row>
    <row r="498" ht="15" customHeight="1">
      <c r="A498" t="inlineStr">
        <is>
          <t>A 24350-2025</t>
        </is>
      </c>
      <c r="B498" s="1" t="n">
        <v>45797.58350694444</v>
      </c>
      <c r="C498" s="1" t="n">
        <v>46167</v>
      </c>
      <c r="D498" t="inlineStr">
        <is>
          <t>STOCKHOLMS LÄN</t>
        </is>
      </c>
      <c r="E498" t="inlineStr">
        <is>
          <t>NORRTÄLJE</t>
        </is>
      </c>
      <c r="G498" t="n">
        <v>4.5</v>
      </c>
      <c r="H498" t="n">
        <v>0</v>
      </c>
      <c r="I498" t="n">
        <v>0</v>
      </c>
      <c r="J498" t="n">
        <v>0</v>
      </c>
      <c r="K498" t="n">
        <v>0</v>
      </c>
      <c r="L498" t="n">
        <v>0</v>
      </c>
      <c r="M498" t="n">
        <v>0</v>
      </c>
      <c r="N498" t="n">
        <v>0</v>
      </c>
      <c r="O498" t="n">
        <v>0</v>
      </c>
      <c r="P498" t="n">
        <v>0</v>
      </c>
      <c r="Q498" t="n">
        <v>0</v>
      </c>
      <c r="R498" s="2" t="inlineStr"/>
    </row>
    <row r="499" ht="15" customHeight="1">
      <c r="A499" t="inlineStr">
        <is>
          <t>A 26703-2025</t>
        </is>
      </c>
      <c r="B499" s="1" t="n">
        <v>45810.45263888889</v>
      </c>
      <c r="C499" s="1" t="n">
        <v>46167</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20011-2025</t>
        </is>
      </c>
      <c r="B500" s="1" t="n">
        <v>45772.29622685185</v>
      </c>
      <c r="C500" s="1" t="n">
        <v>46167</v>
      </c>
      <c r="D500" t="inlineStr">
        <is>
          <t>STOCKHOLMS LÄN</t>
        </is>
      </c>
      <c r="E500" t="inlineStr">
        <is>
          <t>NORRTÄLJE</t>
        </is>
      </c>
      <c r="G500" t="n">
        <v>3.5</v>
      </c>
      <c r="H500" t="n">
        <v>0</v>
      </c>
      <c r="I500" t="n">
        <v>0</v>
      </c>
      <c r="J500" t="n">
        <v>0</v>
      </c>
      <c r="K500" t="n">
        <v>0</v>
      </c>
      <c r="L500" t="n">
        <v>0</v>
      </c>
      <c r="M500" t="n">
        <v>0</v>
      </c>
      <c r="N500" t="n">
        <v>0</v>
      </c>
      <c r="O500" t="n">
        <v>0</v>
      </c>
      <c r="P500" t="n">
        <v>0</v>
      </c>
      <c r="Q500" t="n">
        <v>0</v>
      </c>
      <c r="R500" s="2" t="inlineStr"/>
    </row>
    <row r="501" ht="15" customHeight="1">
      <c r="A501" t="inlineStr">
        <is>
          <t>A 42856-2025</t>
        </is>
      </c>
      <c r="B501" s="1" t="n">
        <v>45908</v>
      </c>
      <c r="C501" s="1" t="n">
        <v>46167</v>
      </c>
      <c r="D501" t="inlineStr">
        <is>
          <t>STOCKHOLMS LÄN</t>
        </is>
      </c>
      <c r="E501" t="inlineStr">
        <is>
          <t>NORRTÄLJE</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57353-2024</t>
        </is>
      </c>
      <c r="B502" s="1" t="n">
        <v>45629.65143518519</v>
      </c>
      <c r="C502" s="1" t="n">
        <v>46167</v>
      </c>
      <c r="D502" t="inlineStr">
        <is>
          <t>STOCKHOLMS LÄN</t>
        </is>
      </c>
      <c r="E502" t="inlineStr">
        <is>
          <t>NORRTÄLJE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48587-2023</t>
        </is>
      </c>
      <c r="B503" s="1" t="n">
        <v>45208</v>
      </c>
      <c r="C503" s="1" t="n">
        <v>46167</v>
      </c>
      <c r="D503" t="inlineStr">
        <is>
          <t>STOCKHOLMS LÄN</t>
        </is>
      </c>
      <c r="E503" t="inlineStr">
        <is>
          <t>NORRTÄLJE</t>
        </is>
      </c>
      <c r="G503" t="n">
        <v>7</v>
      </c>
      <c r="H503" t="n">
        <v>0</v>
      </c>
      <c r="I503" t="n">
        <v>0</v>
      </c>
      <c r="J503" t="n">
        <v>0</v>
      </c>
      <c r="K503" t="n">
        <v>0</v>
      </c>
      <c r="L503" t="n">
        <v>0</v>
      </c>
      <c r="M503" t="n">
        <v>0</v>
      </c>
      <c r="N503" t="n">
        <v>0</v>
      </c>
      <c r="O503" t="n">
        <v>0</v>
      </c>
      <c r="P503" t="n">
        <v>0</v>
      </c>
      <c r="Q503" t="n">
        <v>0</v>
      </c>
      <c r="R503" s="2" t="inlineStr"/>
    </row>
    <row r="504" ht="15" customHeight="1">
      <c r="A504" t="inlineStr">
        <is>
          <t>A 38153-2025</t>
        </is>
      </c>
      <c r="B504" s="1" t="n">
        <v>45882.59722222222</v>
      </c>
      <c r="C504" s="1" t="n">
        <v>46167</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2549-2022</t>
        </is>
      </c>
      <c r="B505" s="1" t="n">
        <v>44580</v>
      </c>
      <c r="C505" s="1" t="n">
        <v>46167</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4438-2023</t>
        </is>
      </c>
      <c r="B506" s="1" t="n">
        <v>44956</v>
      </c>
      <c r="C506" s="1" t="n">
        <v>46167</v>
      </c>
      <c r="D506" t="inlineStr">
        <is>
          <t>STOCKHOLMS LÄN</t>
        </is>
      </c>
      <c r="E506" t="inlineStr">
        <is>
          <t>NORRTÄLJE</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24835-2025</t>
        </is>
      </c>
      <c r="B507" s="1" t="n">
        <v>45799</v>
      </c>
      <c r="C507" s="1" t="n">
        <v>46167</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47758-2023</t>
        </is>
      </c>
      <c r="B508" s="1" t="n">
        <v>45203.83891203703</v>
      </c>
      <c r="C508" s="1" t="n">
        <v>46167</v>
      </c>
      <c r="D508" t="inlineStr">
        <is>
          <t>STOCKHOLMS LÄN</t>
        </is>
      </c>
      <c r="E508" t="inlineStr">
        <is>
          <t>NORRTÄLJE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43169-2025</t>
        </is>
      </c>
      <c r="B509" s="1" t="n">
        <v>45910</v>
      </c>
      <c r="C509" s="1" t="n">
        <v>46167</v>
      </c>
      <c r="D509" t="inlineStr">
        <is>
          <t>STOCKHOLMS LÄN</t>
        </is>
      </c>
      <c r="E509" t="inlineStr">
        <is>
          <t>NORRTÄLJE</t>
        </is>
      </c>
      <c r="G509" t="n">
        <v>6.9</v>
      </c>
      <c r="H509" t="n">
        <v>0</v>
      </c>
      <c r="I509" t="n">
        <v>0</v>
      </c>
      <c r="J509" t="n">
        <v>0</v>
      </c>
      <c r="K509" t="n">
        <v>0</v>
      </c>
      <c r="L509" t="n">
        <v>0</v>
      </c>
      <c r="M509" t="n">
        <v>0</v>
      </c>
      <c r="N509" t="n">
        <v>0</v>
      </c>
      <c r="O509" t="n">
        <v>0</v>
      </c>
      <c r="P509" t="n">
        <v>0</v>
      </c>
      <c r="Q509" t="n">
        <v>0</v>
      </c>
      <c r="R509" s="2" t="inlineStr"/>
    </row>
    <row r="510" ht="15" customHeight="1">
      <c r="A510" t="inlineStr">
        <is>
          <t>A 51061-2023</t>
        </is>
      </c>
      <c r="B510" s="1" t="n">
        <v>45218.65849537037</v>
      </c>
      <c r="C510" s="1" t="n">
        <v>46167</v>
      </c>
      <c r="D510" t="inlineStr">
        <is>
          <t>STOCKHOLMS LÄN</t>
        </is>
      </c>
      <c r="E510" t="inlineStr">
        <is>
          <t>NORRTÄLJE</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30719-2025</t>
        </is>
      </c>
      <c r="B511" s="1" t="n">
        <v>45831</v>
      </c>
      <c r="C511" s="1" t="n">
        <v>46167</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22697-2022</t>
        </is>
      </c>
      <c r="B512" s="1" t="n">
        <v>44714.56040509259</v>
      </c>
      <c r="C512" s="1" t="n">
        <v>46167</v>
      </c>
      <c r="D512" t="inlineStr">
        <is>
          <t>STOCKHOLMS LÄN</t>
        </is>
      </c>
      <c r="E512" t="inlineStr">
        <is>
          <t>NORRTÄLJE</t>
        </is>
      </c>
      <c r="G512" t="n">
        <v>5.6</v>
      </c>
      <c r="H512" t="n">
        <v>0</v>
      </c>
      <c r="I512" t="n">
        <v>0</v>
      </c>
      <c r="J512" t="n">
        <v>0</v>
      </c>
      <c r="K512" t="n">
        <v>0</v>
      </c>
      <c r="L512" t="n">
        <v>0</v>
      </c>
      <c r="M512" t="n">
        <v>0</v>
      </c>
      <c r="N512" t="n">
        <v>0</v>
      </c>
      <c r="O512" t="n">
        <v>0</v>
      </c>
      <c r="P512" t="n">
        <v>0</v>
      </c>
      <c r="Q512" t="n">
        <v>0</v>
      </c>
      <c r="R512" s="2" t="inlineStr"/>
    </row>
    <row r="513" ht="15" customHeight="1">
      <c r="A513" t="inlineStr">
        <is>
          <t>A 43269-2025</t>
        </is>
      </c>
      <c r="B513" s="1" t="n">
        <v>45910.5819212963</v>
      </c>
      <c r="C513" s="1" t="n">
        <v>46167</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45549-2022</t>
        </is>
      </c>
      <c r="B514" s="1" t="n">
        <v>44845.48064814815</v>
      </c>
      <c r="C514" s="1" t="n">
        <v>46167</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54396-2021</t>
        </is>
      </c>
      <c r="B515" s="1" t="n">
        <v>44472</v>
      </c>
      <c r="C515" s="1" t="n">
        <v>46167</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24727-2023</t>
        </is>
      </c>
      <c r="B516" s="1" t="n">
        <v>45084.57695601852</v>
      </c>
      <c r="C516" s="1" t="n">
        <v>46167</v>
      </c>
      <c r="D516" t="inlineStr">
        <is>
          <t>STOCKHOLMS LÄN</t>
        </is>
      </c>
      <c r="E516" t="inlineStr">
        <is>
          <t>NORRTÄLJE</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43916-2025</t>
        </is>
      </c>
      <c r="B517" s="1" t="n">
        <v>45914.78884259259</v>
      </c>
      <c r="C517" s="1" t="n">
        <v>46167</v>
      </c>
      <c r="D517" t="inlineStr">
        <is>
          <t>STOCKHOLMS LÄN</t>
        </is>
      </c>
      <c r="E517" t="inlineStr">
        <is>
          <t>NORRTÄLJE</t>
        </is>
      </c>
      <c r="G517" t="n">
        <v>1.5</v>
      </c>
      <c r="H517" t="n">
        <v>0</v>
      </c>
      <c r="I517" t="n">
        <v>0</v>
      </c>
      <c r="J517" t="n">
        <v>0</v>
      </c>
      <c r="K517" t="n">
        <v>0</v>
      </c>
      <c r="L517" t="n">
        <v>0</v>
      </c>
      <c r="M517" t="n">
        <v>0</v>
      </c>
      <c r="N517" t="n">
        <v>0</v>
      </c>
      <c r="O517" t="n">
        <v>0</v>
      </c>
      <c r="P517" t="n">
        <v>0</v>
      </c>
      <c r="Q517" t="n">
        <v>0</v>
      </c>
      <c r="R517" s="2" t="inlineStr"/>
    </row>
    <row r="518" ht="15" customHeight="1">
      <c r="A518" t="inlineStr">
        <is>
          <t>A 67921-2021</t>
        </is>
      </c>
      <c r="B518" s="1" t="n">
        <v>44525</v>
      </c>
      <c r="C518" s="1" t="n">
        <v>46167</v>
      </c>
      <c r="D518" t="inlineStr">
        <is>
          <t>STOCKHOLMS LÄN</t>
        </is>
      </c>
      <c r="E518" t="inlineStr">
        <is>
          <t>NORRTÄLJE</t>
        </is>
      </c>
      <c r="G518" t="n">
        <v>6.3</v>
      </c>
      <c r="H518" t="n">
        <v>0</v>
      </c>
      <c r="I518" t="n">
        <v>0</v>
      </c>
      <c r="J518" t="n">
        <v>0</v>
      </c>
      <c r="K518" t="n">
        <v>0</v>
      </c>
      <c r="L518" t="n">
        <v>0</v>
      </c>
      <c r="M518" t="n">
        <v>0</v>
      </c>
      <c r="N518" t="n">
        <v>0</v>
      </c>
      <c r="O518" t="n">
        <v>0</v>
      </c>
      <c r="P518" t="n">
        <v>0</v>
      </c>
      <c r="Q518" t="n">
        <v>0</v>
      </c>
      <c r="R518" s="2" t="inlineStr"/>
    </row>
    <row r="519" ht="15" customHeight="1">
      <c r="A519" t="inlineStr">
        <is>
          <t>A 48722-2023</t>
        </is>
      </c>
      <c r="B519" s="1" t="n">
        <v>45208.70996527778</v>
      </c>
      <c r="C519" s="1" t="n">
        <v>46167</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35235-2024</t>
        </is>
      </c>
      <c r="B520" s="1" t="n">
        <v>45530</v>
      </c>
      <c r="C520" s="1" t="n">
        <v>46167</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1448-2023</t>
        </is>
      </c>
      <c r="B521" s="1" t="n">
        <v>44937</v>
      </c>
      <c r="C521" s="1" t="n">
        <v>46167</v>
      </c>
      <c r="D521" t="inlineStr">
        <is>
          <t>STOCKHOLMS LÄN</t>
        </is>
      </c>
      <c r="E521" t="inlineStr">
        <is>
          <t>NORRTÄLJE</t>
        </is>
      </c>
      <c r="G521" t="n">
        <v>1.9</v>
      </c>
      <c r="H521" t="n">
        <v>0</v>
      </c>
      <c r="I521" t="n">
        <v>0</v>
      </c>
      <c r="J521" t="n">
        <v>0</v>
      </c>
      <c r="K521" t="n">
        <v>0</v>
      </c>
      <c r="L521" t="n">
        <v>0</v>
      </c>
      <c r="M521" t="n">
        <v>0</v>
      </c>
      <c r="N521" t="n">
        <v>0</v>
      </c>
      <c r="O521" t="n">
        <v>0</v>
      </c>
      <c r="P521" t="n">
        <v>0</v>
      </c>
      <c r="Q521" t="n">
        <v>0</v>
      </c>
      <c r="R521" s="2" t="inlineStr"/>
    </row>
    <row r="522" ht="15" customHeight="1">
      <c r="A522" t="inlineStr">
        <is>
          <t>A 44354-2025</t>
        </is>
      </c>
      <c r="B522" s="1" t="n">
        <v>45916.44655092592</v>
      </c>
      <c r="C522" s="1" t="n">
        <v>46167</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65499-2021</t>
        </is>
      </c>
      <c r="B523" s="1" t="n">
        <v>44516</v>
      </c>
      <c r="C523" s="1" t="n">
        <v>46167</v>
      </c>
      <c r="D523" t="inlineStr">
        <is>
          <t>STOCKHOLMS LÄN</t>
        </is>
      </c>
      <c r="E523" t="inlineStr">
        <is>
          <t>NORRTÄLJE</t>
        </is>
      </c>
      <c r="F523" t="inlineStr">
        <is>
          <t>Kommuner</t>
        </is>
      </c>
      <c r="G523" t="n">
        <v>5.2</v>
      </c>
      <c r="H523" t="n">
        <v>0</v>
      </c>
      <c r="I523" t="n">
        <v>0</v>
      </c>
      <c r="J523" t="n">
        <v>0</v>
      </c>
      <c r="K523" t="n">
        <v>0</v>
      </c>
      <c r="L523" t="n">
        <v>0</v>
      </c>
      <c r="M523" t="n">
        <v>0</v>
      </c>
      <c r="N523" t="n">
        <v>0</v>
      </c>
      <c r="O523" t="n">
        <v>0</v>
      </c>
      <c r="P523" t="n">
        <v>0</v>
      </c>
      <c r="Q523" t="n">
        <v>0</v>
      </c>
      <c r="R523" s="2" t="inlineStr"/>
    </row>
    <row r="524" ht="15" customHeight="1">
      <c r="A524" t="inlineStr">
        <is>
          <t>A 8736-2024</t>
        </is>
      </c>
      <c r="B524" s="1" t="n">
        <v>45356.4722800926</v>
      </c>
      <c r="C524" s="1" t="n">
        <v>46167</v>
      </c>
      <c r="D524" t="inlineStr">
        <is>
          <t>STOCKHOLMS LÄN</t>
        </is>
      </c>
      <c r="E524" t="inlineStr">
        <is>
          <t>NORRTÄLJE</t>
        </is>
      </c>
      <c r="G524" t="n">
        <v>8.9</v>
      </c>
      <c r="H524" t="n">
        <v>0</v>
      </c>
      <c r="I524" t="n">
        <v>0</v>
      </c>
      <c r="J524" t="n">
        <v>0</v>
      </c>
      <c r="K524" t="n">
        <v>0</v>
      </c>
      <c r="L524" t="n">
        <v>0</v>
      </c>
      <c r="M524" t="n">
        <v>0</v>
      </c>
      <c r="N524" t="n">
        <v>0</v>
      </c>
      <c r="O524" t="n">
        <v>0</v>
      </c>
      <c r="P524" t="n">
        <v>0</v>
      </c>
      <c r="Q524" t="n">
        <v>0</v>
      </c>
      <c r="R524" s="2" t="inlineStr"/>
    </row>
    <row r="525" ht="15" customHeight="1">
      <c r="A525" t="inlineStr">
        <is>
          <t>A 44306-2025</t>
        </is>
      </c>
      <c r="B525" s="1" t="n">
        <v>45916.37736111111</v>
      </c>
      <c r="C525" s="1" t="n">
        <v>46167</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44343-2025</t>
        </is>
      </c>
      <c r="B526" s="1" t="n">
        <v>45916.43378472222</v>
      </c>
      <c r="C526" s="1" t="n">
        <v>46167</v>
      </c>
      <c r="D526" t="inlineStr">
        <is>
          <t>STOCKHOLMS LÄN</t>
        </is>
      </c>
      <c r="E526" t="inlineStr">
        <is>
          <t>NORRTÄLJE</t>
        </is>
      </c>
      <c r="G526" t="n">
        <v>1.6</v>
      </c>
      <c r="H526" t="n">
        <v>0</v>
      </c>
      <c r="I526" t="n">
        <v>0</v>
      </c>
      <c r="J526" t="n">
        <v>0</v>
      </c>
      <c r="K526" t="n">
        <v>0</v>
      </c>
      <c r="L526" t="n">
        <v>0</v>
      </c>
      <c r="M526" t="n">
        <v>0</v>
      </c>
      <c r="N526" t="n">
        <v>0</v>
      </c>
      <c r="O526" t="n">
        <v>0</v>
      </c>
      <c r="P526" t="n">
        <v>0</v>
      </c>
      <c r="Q526" t="n">
        <v>0</v>
      </c>
      <c r="R526" s="2" t="inlineStr"/>
    </row>
    <row r="527" ht="15" customHeight="1">
      <c r="A527" t="inlineStr">
        <is>
          <t>A 44349-2025</t>
        </is>
      </c>
      <c r="B527" s="1" t="n">
        <v>45916.43929398148</v>
      </c>
      <c r="C527" s="1" t="n">
        <v>46167</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33149-2022</t>
        </is>
      </c>
      <c r="B528" s="1" t="n">
        <v>44785</v>
      </c>
      <c r="C528" s="1" t="n">
        <v>46167</v>
      </c>
      <c r="D528" t="inlineStr">
        <is>
          <t>STOCKHOLMS LÄN</t>
        </is>
      </c>
      <c r="E528" t="inlineStr">
        <is>
          <t>NORRTÄLJE</t>
        </is>
      </c>
      <c r="F528" t="inlineStr">
        <is>
          <t>Holmen skog AB</t>
        </is>
      </c>
      <c r="G528" t="n">
        <v>4.4</v>
      </c>
      <c r="H528" t="n">
        <v>0</v>
      </c>
      <c r="I528" t="n">
        <v>0</v>
      </c>
      <c r="J528" t="n">
        <v>0</v>
      </c>
      <c r="K528" t="n">
        <v>0</v>
      </c>
      <c r="L528" t="n">
        <v>0</v>
      </c>
      <c r="M528" t="n">
        <v>0</v>
      </c>
      <c r="N528" t="n">
        <v>0</v>
      </c>
      <c r="O528" t="n">
        <v>0</v>
      </c>
      <c r="P528" t="n">
        <v>0</v>
      </c>
      <c r="Q528" t="n">
        <v>0</v>
      </c>
      <c r="R528" s="2" t="inlineStr"/>
    </row>
    <row r="529" ht="15" customHeight="1">
      <c r="A529" t="inlineStr">
        <is>
          <t>A 44311-2025</t>
        </is>
      </c>
      <c r="B529" s="1" t="n">
        <v>45916.38394675926</v>
      </c>
      <c r="C529" s="1" t="n">
        <v>46167</v>
      </c>
      <c r="D529" t="inlineStr">
        <is>
          <t>STOCKHOLMS LÄN</t>
        </is>
      </c>
      <c r="E529" t="inlineStr">
        <is>
          <t>NORRTÄLJE</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44333-2025</t>
        </is>
      </c>
      <c r="B530" s="1" t="n">
        <v>45916.42293981482</v>
      </c>
      <c r="C530" s="1" t="n">
        <v>46167</v>
      </c>
      <c r="D530" t="inlineStr">
        <is>
          <t>STOCKHOLMS LÄN</t>
        </is>
      </c>
      <c r="E530" t="inlineStr">
        <is>
          <t>NORRTÄLJE</t>
        </is>
      </c>
      <c r="G530" t="n">
        <v>1.5</v>
      </c>
      <c r="H530" t="n">
        <v>0</v>
      </c>
      <c r="I530" t="n">
        <v>0</v>
      </c>
      <c r="J530" t="n">
        <v>0</v>
      </c>
      <c r="K530" t="n">
        <v>0</v>
      </c>
      <c r="L530" t="n">
        <v>0</v>
      </c>
      <c r="M530" t="n">
        <v>0</v>
      </c>
      <c r="N530" t="n">
        <v>0</v>
      </c>
      <c r="O530" t="n">
        <v>0</v>
      </c>
      <c r="P530" t="n">
        <v>0</v>
      </c>
      <c r="Q530" t="n">
        <v>0</v>
      </c>
      <c r="R530" s="2" t="inlineStr"/>
    </row>
    <row r="531" ht="15" customHeight="1">
      <c r="A531" t="inlineStr">
        <is>
          <t>A 38720-2025</t>
        </is>
      </c>
      <c r="B531" s="1" t="n">
        <v>45886</v>
      </c>
      <c r="C531" s="1" t="n">
        <v>46167</v>
      </c>
      <c r="D531" t="inlineStr">
        <is>
          <t>STOCKHOLMS LÄN</t>
        </is>
      </c>
      <c r="E531" t="inlineStr">
        <is>
          <t>NORRTÄLJE</t>
        </is>
      </c>
      <c r="G531" t="n">
        <v>1.6</v>
      </c>
      <c r="H531" t="n">
        <v>0</v>
      </c>
      <c r="I531" t="n">
        <v>0</v>
      </c>
      <c r="J531" t="n">
        <v>0</v>
      </c>
      <c r="K531" t="n">
        <v>0</v>
      </c>
      <c r="L531" t="n">
        <v>0</v>
      </c>
      <c r="M531" t="n">
        <v>0</v>
      </c>
      <c r="N531" t="n">
        <v>0</v>
      </c>
      <c r="O531" t="n">
        <v>0</v>
      </c>
      <c r="P531" t="n">
        <v>0</v>
      </c>
      <c r="Q531" t="n">
        <v>0</v>
      </c>
      <c r="R531" s="2" t="inlineStr"/>
    </row>
    <row r="532" ht="15" customHeight="1">
      <c r="A532" t="inlineStr">
        <is>
          <t>A 44937-2025</t>
        </is>
      </c>
      <c r="B532" s="1" t="n">
        <v>45918</v>
      </c>
      <c r="C532" s="1" t="n">
        <v>46167</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22359-2025</t>
        </is>
      </c>
      <c r="B533" s="1" t="n">
        <v>45786</v>
      </c>
      <c r="C533" s="1" t="n">
        <v>46167</v>
      </c>
      <c r="D533" t="inlineStr">
        <is>
          <t>STOCKHOLMS LÄN</t>
        </is>
      </c>
      <c r="E533" t="inlineStr">
        <is>
          <t>NORRTÄLJE</t>
        </is>
      </c>
      <c r="G533" t="n">
        <v>5</v>
      </c>
      <c r="H533" t="n">
        <v>0</v>
      </c>
      <c r="I533" t="n">
        <v>0</v>
      </c>
      <c r="J533" t="n">
        <v>0</v>
      </c>
      <c r="K533" t="n">
        <v>0</v>
      </c>
      <c r="L533" t="n">
        <v>0</v>
      </c>
      <c r="M533" t="n">
        <v>0</v>
      </c>
      <c r="N533" t="n">
        <v>0</v>
      </c>
      <c r="O533" t="n">
        <v>0</v>
      </c>
      <c r="P533" t="n">
        <v>0</v>
      </c>
      <c r="Q533" t="n">
        <v>0</v>
      </c>
      <c r="R533" s="2" t="inlineStr"/>
    </row>
    <row r="534" ht="15" customHeight="1">
      <c r="A534" t="inlineStr">
        <is>
          <t>A 6537-2024</t>
        </is>
      </c>
      <c r="B534" s="1" t="n">
        <v>45341.39853009259</v>
      </c>
      <c r="C534" s="1" t="n">
        <v>46167</v>
      </c>
      <c r="D534" t="inlineStr">
        <is>
          <t>STOCKHOLMS LÄN</t>
        </is>
      </c>
      <c r="E534" t="inlineStr">
        <is>
          <t>NORRTÄLJE</t>
        </is>
      </c>
      <c r="G534" t="n">
        <v>1.2</v>
      </c>
      <c r="H534" t="n">
        <v>0</v>
      </c>
      <c r="I534" t="n">
        <v>0</v>
      </c>
      <c r="J534" t="n">
        <v>0</v>
      </c>
      <c r="K534" t="n">
        <v>0</v>
      </c>
      <c r="L534" t="n">
        <v>0</v>
      </c>
      <c r="M534" t="n">
        <v>0</v>
      </c>
      <c r="N534" t="n">
        <v>0</v>
      </c>
      <c r="O534" t="n">
        <v>0</v>
      </c>
      <c r="P534" t="n">
        <v>0</v>
      </c>
      <c r="Q534" t="n">
        <v>0</v>
      </c>
      <c r="R534" s="2" t="inlineStr"/>
    </row>
    <row r="535" ht="15" customHeight="1">
      <c r="A535" t="inlineStr">
        <is>
          <t>A 40175-2024</t>
        </is>
      </c>
      <c r="B535" s="1" t="n">
        <v>45554.55707175926</v>
      </c>
      <c r="C535" s="1" t="n">
        <v>46167</v>
      </c>
      <c r="D535" t="inlineStr">
        <is>
          <t>STOCKHOLMS LÄN</t>
        </is>
      </c>
      <c r="E535" t="inlineStr">
        <is>
          <t>NORRTÄLJE</t>
        </is>
      </c>
      <c r="G535" t="n">
        <v>7.7</v>
      </c>
      <c r="H535" t="n">
        <v>0</v>
      </c>
      <c r="I535" t="n">
        <v>0</v>
      </c>
      <c r="J535" t="n">
        <v>0</v>
      </c>
      <c r="K535" t="n">
        <v>0</v>
      </c>
      <c r="L535" t="n">
        <v>0</v>
      </c>
      <c r="M535" t="n">
        <v>0</v>
      </c>
      <c r="N535" t="n">
        <v>0</v>
      </c>
      <c r="O535" t="n">
        <v>0</v>
      </c>
      <c r="P535" t="n">
        <v>0</v>
      </c>
      <c r="Q535" t="n">
        <v>0</v>
      </c>
      <c r="R535" s="2" t="inlineStr"/>
    </row>
    <row r="536" ht="15" customHeight="1">
      <c r="A536" t="inlineStr">
        <is>
          <t>A 45697-2025</t>
        </is>
      </c>
      <c r="B536" s="1" t="n">
        <v>45923.39877314815</v>
      </c>
      <c r="C536" s="1" t="n">
        <v>46167</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54558-2024</t>
        </is>
      </c>
      <c r="B537" s="1" t="n">
        <v>45617.62358796296</v>
      </c>
      <c r="C537" s="1" t="n">
        <v>46167</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23056-2023</t>
        </is>
      </c>
      <c r="B538" s="1" t="n">
        <v>45075</v>
      </c>
      <c r="C538" s="1" t="n">
        <v>46167</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46415-2025</t>
        </is>
      </c>
      <c r="B539" s="1" t="n">
        <v>45925.58636574074</v>
      </c>
      <c r="C539" s="1" t="n">
        <v>46167</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47431-2023</t>
        </is>
      </c>
      <c r="B540" s="1" t="n">
        <v>45202</v>
      </c>
      <c r="C540" s="1" t="n">
        <v>46167</v>
      </c>
      <c r="D540" t="inlineStr">
        <is>
          <t>STOCKHOLMS LÄN</t>
        </is>
      </c>
      <c r="E540" t="inlineStr">
        <is>
          <t>NORRTÄLJE</t>
        </is>
      </c>
      <c r="F540" t="inlineStr">
        <is>
          <t>Naturvårdsverket</t>
        </is>
      </c>
      <c r="G540" t="n">
        <v>1.2</v>
      </c>
      <c r="H540" t="n">
        <v>0</v>
      </c>
      <c r="I540" t="n">
        <v>0</v>
      </c>
      <c r="J540" t="n">
        <v>0</v>
      </c>
      <c r="K540" t="n">
        <v>0</v>
      </c>
      <c r="L540" t="n">
        <v>0</v>
      </c>
      <c r="M540" t="n">
        <v>0</v>
      </c>
      <c r="N540" t="n">
        <v>0</v>
      </c>
      <c r="O540" t="n">
        <v>0</v>
      </c>
      <c r="P540" t="n">
        <v>0</v>
      </c>
      <c r="Q540" t="n">
        <v>0</v>
      </c>
      <c r="R540" s="2" t="inlineStr"/>
    </row>
    <row r="541" ht="15" customHeight="1">
      <c r="A541" t="inlineStr">
        <is>
          <t>A 59499-2023</t>
        </is>
      </c>
      <c r="B541" s="1" t="n">
        <v>45254</v>
      </c>
      <c r="C541" s="1" t="n">
        <v>46167</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59468-2023</t>
        </is>
      </c>
      <c r="B542" s="1" t="n">
        <v>45254.41509259259</v>
      </c>
      <c r="C542" s="1" t="n">
        <v>46167</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12532-2025</t>
        </is>
      </c>
      <c r="B543" s="1" t="n">
        <v>45730.69143518519</v>
      </c>
      <c r="C543" s="1" t="n">
        <v>46167</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5732-2023</t>
        </is>
      </c>
      <c r="B544" s="1" t="n">
        <v>44962</v>
      </c>
      <c r="C544" s="1" t="n">
        <v>46167</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10653-2022</t>
        </is>
      </c>
      <c r="B545" s="1" t="n">
        <v>44624.59434027778</v>
      </c>
      <c r="C545" s="1" t="n">
        <v>46167</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46900-2025</t>
        </is>
      </c>
      <c r="B546" s="1" t="n">
        <v>45929.38712962963</v>
      </c>
      <c r="C546" s="1" t="n">
        <v>46167</v>
      </c>
      <c r="D546" t="inlineStr">
        <is>
          <t>STOCKHOLMS LÄN</t>
        </is>
      </c>
      <c r="E546" t="inlineStr">
        <is>
          <t>NORRTÄLJE</t>
        </is>
      </c>
      <c r="F546" t="inlineStr">
        <is>
          <t>Holmen skog AB</t>
        </is>
      </c>
      <c r="G546" t="n">
        <v>6.2</v>
      </c>
      <c r="H546" t="n">
        <v>0</v>
      </c>
      <c r="I546" t="n">
        <v>0</v>
      </c>
      <c r="J546" t="n">
        <v>0</v>
      </c>
      <c r="K546" t="n">
        <v>0</v>
      </c>
      <c r="L546" t="n">
        <v>0</v>
      </c>
      <c r="M546" t="n">
        <v>0</v>
      </c>
      <c r="N546" t="n">
        <v>0</v>
      </c>
      <c r="O546" t="n">
        <v>0</v>
      </c>
      <c r="P546" t="n">
        <v>0</v>
      </c>
      <c r="Q546" t="n">
        <v>0</v>
      </c>
      <c r="R546" s="2" t="inlineStr"/>
    </row>
    <row r="547" ht="15" customHeight="1">
      <c r="A547" t="inlineStr">
        <is>
          <t>A 21729-2024</t>
        </is>
      </c>
      <c r="B547" s="1" t="n">
        <v>45442</v>
      </c>
      <c r="C547" s="1" t="n">
        <v>46167</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11854-2025</t>
        </is>
      </c>
      <c r="B548" s="1" t="n">
        <v>45728.38924768518</v>
      </c>
      <c r="C548" s="1" t="n">
        <v>46167</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14762-2024</t>
        </is>
      </c>
      <c r="B549" s="1" t="n">
        <v>45397</v>
      </c>
      <c r="C549" s="1" t="n">
        <v>46167</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35256-2025</t>
        </is>
      </c>
      <c r="B550" s="1" t="n">
        <v>45853</v>
      </c>
      <c r="C550" s="1" t="n">
        <v>46167</v>
      </c>
      <c r="D550" t="inlineStr">
        <is>
          <t>STOCKHOLMS LÄN</t>
        </is>
      </c>
      <c r="E550" t="inlineStr">
        <is>
          <t>NORRTÄLJE</t>
        </is>
      </c>
      <c r="G550" t="n">
        <v>6.4</v>
      </c>
      <c r="H550" t="n">
        <v>0</v>
      </c>
      <c r="I550" t="n">
        <v>0</v>
      </c>
      <c r="J550" t="n">
        <v>0</v>
      </c>
      <c r="K550" t="n">
        <v>0</v>
      </c>
      <c r="L550" t="n">
        <v>0</v>
      </c>
      <c r="M550" t="n">
        <v>0</v>
      </c>
      <c r="N550" t="n">
        <v>0</v>
      </c>
      <c r="O550" t="n">
        <v>0</v>
      </c>
      <c r="P550" t="n">
        <v>0</v>
      </c>
      <c r="Q550" t="n">
        <v>0</v>
      </c>
      <c r="R550" s="2" t="inlineStr"/>
    </row>
    <row r="551" ht="15" customHeight="1">
      <c r="A551" t="inlineStr">
        <is>
          <t>A 59712-2024</t>
        </is>
      </c>
      <c r="B551" s="1" t="n">
        <v>45639.45166666667</v>
      </c>
      <c r="C551" s="1" t="n">
        <v>46167</v>
      </c>
      <c r="D551" t="inlineStr">
        <is>
          <t>STOCKHOLMS LÄN</t>
        </is>
      </c>
      <c r="E551" t="inlineStr">
        <is>
          <t>NORRTÄLJE</t>
        </is>
      </c>
      <c r="G551" t="n">
        <v>4.4</v>
      </c>
      <c r="H551" t="n">
        <v>0</v>
      </c>
      <c r="I551" t="n">
        <v>0</v>
      </c>
      <c r="J551" t="n">
        <v>0</v>
      </c>
      <c r="K551" t="n">
        <v>0</v>
      </c>
      <c r="L551" t="n">
        <v>0</v>
      </c>
      <c r="M551" t="n">
        <v>0</v>
      </c>
      <c r="N551" t="n">
        <v>0</v>
      </c>
      <c r="O551" t="n">
        <v>0</v>
      </c>
      <c r="P551" t="n">
        <v>0</v>
      </c>
      <c r="Q551" t="n">
        <v>0</v>
      </c>
      <c r="R551" s="2" t="inlineStr"/>
    </row>
    <row r="552" ht="15" customHeight="1">
      <c r="A552" t="inlineStr">
        <is>
          <t>A 35127-2023</t>
        </is>
      </c>
      <c r="B552" s="1" t="n">
        <v>45145.51</v>
      </c>
      <c r="C552" s="1" t="n">
        <v>46167</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45255-2022</t>
        </is>
      </c>
      <c r="B553" s="1" t="n">
        <v>44840</v>
      </c>
      <c r="C553" s="1" t="n">
        <v>46167</v>
      </c>
      <c r="D553" t="inlineStr">
        <is>
          <t>STOCKHOLMS LÄN</t>
        </is>
      </c>
      <c r="E553" t="inlineStr">
        <is>
          <t>NORRTÄLJE</t>
        </is>
      </c>
      <c r="G553" t="n">
        <v>4.1</v>
      </c>
      <c r="H553" t="n">
        <v>0</v>
      </c>
      <c r="I553" t="n">
        <v>0</v>
      </c>
      <c r="J553" t="n">
        <v>0</v>
      </c>
      <c r="K553" t="n">
        <v>0</v>
      </c>
      <c r="L553" t="n">
        <v>0</v>
      </c>
      <c r="M553" t="n">
        <v>0</v>
      </c>
      <c r="N553" t="n">
        <v>0</v>
      </c>
      <c r="O553" t="n">
        <v>0</v>
      </c>
      <c r="P553" t="n">
        <v>0</v>
      </c>
      <c r="Q553" t="n">
        <v>0</v>
      </c>
      <c r="R553" s="2" t="inlineStr"/>
    </row>
    <row r="554" ht="15" customHeight="1">
      <c r="A554" t="inlineStr">
        <is>
          <t>A 47498-2025</t>
        </is>
      </c>
      <c r="B554" s="1" t="n">
        <v>45930.8134375</v>
      </c>
      <c r="C554" s="1" t="n">
        <v>46167</v>
      </c>
      <c r="D554" t="inlineStr">
        <is>
          <t>STOCKHOLMS LÄN</t>
        </is>
      </c>
      <c r="E554" t="inlineStr">
        <is>
          <t>NORRTÄLJE</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47460-2025</t>
        </is>
      </c>
      <c r="B555" s="1" t="n">
        <v>45930.66012731481</v>
      </c>
      <c r="C555" s="1" t="n">
        <v>46167</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47496-2025</t>
        </is>
      </c>
      <c r="B556" s="1" t="n">
        <v>45930.79252314815</v>
      </c>
      <c r="C556" s="1" t="n">
        <v>46167</v>
      </c>
      <c r="D556" t="inlineStr">
        <is>
          <t>STOCKHOLMS LÄN</t>
        </is>
      </c>
      <c r="E556" t="inlineStr">
        <is>
          <t>NORRTÄLJE</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47497-2025</t>
        </is>
      </c>
      <c r="B557" s="1" t="n">
        <v>45930.80217592593</v>
      </c>
      <c r="C557" s="1" t="n">
        <v>46167</v>
      </c>
      <c r="D557" t="inlineStr">
        <is>
          <t>STOCKHOLMS LÄN</t>
        </is>
      </c>
      <c r="E557" t="inlineStr">
        <is>
          <t>NORRTÄLJE</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59893-2022</t>
        </is>
      </c>
      <c r="B558" s="1" t="n">
        <v>44908.77368055555</v>
      </c>
      <c r="C558" s="1" t="n">
        <v>46167</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48360-2025</t>
        </is>
      </c>
      <c r="B559" s="1" t="n">
        <v>45933.66253472222</v>
      </c>
      <c r="C559" s="1" t="n">
        <v>46167</v>
      </c>
      <c r="D559" t="inlineStr">
        <is>
          <t>STOCKHOLMS LÄN</t>
        </is>
      </c>
      <c r="E559" t="inlineStr">
        <is>
          <t>NORRTÄLJE</t>
        </is>
      </c>
      <c r="G559" t="n">
        <v>4.1</v>
      </c>
      <c r="H559" t="n">
        <v>0</v>
      </c>
      <c r="I559" t="n">
        <v>0</v>
      </c>
      <c r="J559" t="n">
        <v>0</v>
      </c>
      <c r="K559" t="n">
        <v>0</v>
      </c>
      <c r="L559" t="n">
        <v>0</v>
      </c>
      <c r="M559" t="n">
        <v>0</v>
      </c>
      <c r="N559" t="n">
        <v>0</v>
      </c>
      <c r="O559" t="n">
        <v>0</v>
      </c>
      <c r="P559" t="n">
        <v>0</v>
      </c>
      <c r="Q559" t="n">
        <v>0</v>
      </c>
      <c r="R559" s="2" t="inlineStr"/>
    </row>
    <row r="560" ht="15" customHeight="1">
      <c r="A560" t="inlineStr">
        <is>
          <t>A 48370-2025</t>
        </is>
      </c>
      <c r="B560" s="1" t="n">
        <v>45933.67854166667</v>
      </c>
      <c r="C560" s="1" t="n">
        <v>46167</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48364-2025</t>
        </is>
      </c>
      <c r="B561" s="1" t="n">
        <v>45933.66796296297</v>
      </c>
      <c r="C561" s="1" t="n">
        <v>46167</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39905-2023</t>
        </is>
      </c>
      <c r="B562" s="1" t="n">
        <v>45168.44489583333</v>
      </c>
      <c r="C562" s="1" t="n">
        <v>46167</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5645-2023</t>
        </is>
      </c>
      <c r="B563" s="1" t="n">
        <v>44960.60469907407</v>
      </c>
      <c r="C563" s="1" t="n">
        <v>46167</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68361-2021</t>
        </is>
      </c>
      <c r="B564" s="1" t="n">
        <v>44528.91494212963</v>
      </c>
      <c r="C564" s="1" t="n">
        <v>46167</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60529-2023</t>
        </is>
      </c>
      <c r="B565" s="1" t="n">
        <v>45259</v>
      </c>
      <c r="C565" s="1" t="n">
        <v>46167</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48174-2025</t>
        </is>
      </c>
      <c r="B566" s="1" t="n">
        <v>45933.44230324074</v>
      </c>
      <c r="C566" s="1" t="n">
        <v>46167</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48127-2025</t>
        </is>
      </c>
      <c r="B567" s="1" t="n">
        <v>45933.36621527778</v>
      </c>
      <c r="C567" s="1" t="n">
        <v>46167</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48179-2025</t>
        </is>
      </c>
      <c r="B568" s="1" t="n">
        <v>45933.44907407407</v>
      </c>
      <c r="C568" s="1" t="n">
        <v>46167</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48718-2025</t>
        </is>
      </c>
      <c r="B569" s="1" t="n">
        <v>45936</v>
      </c>
      <c r="C569" s="1" t="n">
        <v>46167</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19706-2023</t>
        </is>
      </c>
      <c r="B570" s="1" t="n">
        <v>45051.455</v>
      </c>
      <c r="C570" s="1" t="n">
        <v>46167</v>
      </c>
      <c r="D570" t="inlineStr">
        <is>
          <t>STOCKHOLMS LÄN</t>
        </is>
      </c>
      <c r="E570" t="inlineStr">
        <is>
          <t>NORRTÄLJE</t>
        </is>
      </c>
      <c r="G570" t="n">
        <v>0.2</v>
      </c>
      <c r="H570" t="n">
        <v>0</v>
      </c>
      <c r="I570" t="n">
        <v>0</v>
      </c>
      <c r="J570" t="n">
        <v>0</v>
      </c>
      <c r="K570" t="n">
        <v>0</v>
      </c>
      <c r="L570" t="n">
        <v>0</v>
      </c>
      <c r="M570" t="n">
        <v>0</v>
      </c>
      <c r="N570" t="n">
        <v>0</v>
      </c>
      <c r="O570" t="n">
        <v>0</v>
      </c>
      <c r="P570" t="n">
        <v>0</v>
      </c>
      <c r="Q570" t="n">
        <v>0</v>
      </c>
      <c r="R570" s="2" t="inlineStr"/>
    </row>
    <row r="571" ht="15" customHeight="1">
      <c r="A571" t="inlineStr">
        <is>
          <t>A 48593-2025</t>
        </is>
      </c>
      <c r="B571" s="1" t="n">
        <v>45936.4627662037</v>
      </c>
      <c r="C571" s="1" t="n">
        <v>46167</v>
      </c>
      <c r="D571" t="inlineStr">
        <is>
          <t>STOCKHOLMS LÄN</t>
        </is>
      </c>
      <c r="E571" t="inlineStr">
        <is>
          <t>NORRTÄLJE</t>
        </is>
      </c>
      <c r="G571" t="n">
        <v>4.2</v>
      </c>
      <c r="H571" t="n">
        <v>0</v>
      </c>
      <c r="I571" t="n">
        <v>0</v>
      </c>
      <c r="J571" t="n">
        <v>0</v>
      </c>
      <c r="K571" t="n">
        <v>0</v>
      </c>
      <c r="L571" t="n">
        <v>0</v>
      </c>
      <c r="M571" t="n">
        <v>0</v>
      </c>
      <c r="N571" t="n">
        <v>0</v>
      </c>
      <c r="O571" t="n">
        <v>0</v>
      </c>
      <c r="P571" t="n">
        <v>0</v>
      </c>
      <c r="Q571" t="n">
        <v>0</v>
      </c>
      <c r="R571" s="2" t="inlineStr"/>
    </row>
    <row r="572" ht="15" customHeight="1">
      <c r="A572" t="inlineStr">
        <is>
          <t>A 48443-2025</t>
        </is>
      </c>
      <c r="B572" s="1" t="n">
        <v>45935.55326388889</v>
      </c>
      <c r="C572" s="1" t="n">
        <v>46167</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17612-2022</t>
        </is>
      </c>
      <c r="B573" s="1" t="n">
        <v>44680</v>
      </c>
      <c r="C573" s="1" t="n">
        <v>46167</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16835-2022</t>
        </is>
      </c>
      <c r="B574" s="1" t="n">
        <v>44673</v>
      </c>
      <c r="C574" s="1" t="n">
        <v>46167</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62765-2022</t>
        </is>
      </c>
      <c r="B575" s="1" t="n">
        <v>44637</v>
      </c>
      <c r="C575" s="1" t="n">
        <v>46167</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58404-2023</t>
        </is>
      </c>
      <c r="B576" s="1" t="n">
        <v>45245</v>
      </c>
      <c r="C576" s="1" t="n">
        <v>46167</v>
      </c>
      <c r="D576" t="inlineStr">
        <is>
          <t>STOCKHOLMS LÄN</t>
        </is>
      </c>
      <c r="E576" t="inlineStr">
        <is>
          <t>NORRTÄLJE</t>
        </is>
      </c>
      <c r="G576" t="n">
        <v>53.5</v>
      </c>
      <c r="H576" t="n">
        <v>0</v>
      </c>
      <c r="I576" t="n">
        <v>0</v>
      </c>
      <c r="J576" t="n">
        <v>0</v>
      </c>
      <c r="K576" t="n">
        <v>0</v>
      </c>
      <c r="L576" t="n">
        <v>0</v>
      </c>
      <c r="M576" t="n">
        <v>0</v>
      </c>
      <c r="N576" t="n">
        <v>0</v>
      </c>
      <c r="O576" t="n">
        <v>0</v>
      </c>
      <c r="P576" t="n">
        <v>0</v>
      </c>
      <c r="Q576" t="n">
        <v>0</v>
      </c>
      <c r="R576" s="2" t="inlineStr"/>
    </row>
    <row r="577" ht="15" customHeight="1">
      <c r="A577" t="inlineStr">
        <is>
          <t>A 8586-2023</t>
        </is>
      </c>
      <c r="B577" s="1" t="n">
        <v>44977</v>
      </c>
      <c r="C577" s="1" t="n">
        <v>46167</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48780-2025</t>
        </is>
      </c>
      <c r="B578" s="1" t="n">
        <v>45937.30377314815</v>
      </c>
      <c r="C578" s="1" t="n">
        <v>46167</v>
      </c>
      <c r="D578" t="inlineStr">
        <is>
          <t>STOCKHOLMS LÄN</t>
        </is>
      </c>
      <c r="E578" t="inlineStr">
        <is>
          <t>NORRTÄLJE</t>
        </is>
      </c>
      <c r="G578" t="n">
        <v>7.7</v>
      </c>
      <c r="H578" t="n">
        <v>0</v>
      </c>
      <c r="I578" t="n">
        <v>0</v>
      </c>
      <c r="J578" t="n">
        <v>0</v>
      </c>
      <c r="K578" t="n">
        <v>0</v>
      </c>
      <c r="L578" t="n">
        <v>0</v>
      </c>
      <c r="M578" t="n">
        <v>0</v>
      </c>
      <c r="N578" t="n">
        <v>0</v>
      </c>
      <c r="O578" t="n">
        <v>0</v>
      </c>
      <c r="P578" t="n">
        <v>0</v>
      </c>
      <c r="Q578" t="n">
        <v>0</v>
      </c>
      <c r="R578" s="2" t="inlineStr"/>
    </row>
    <row r="579" ht="15" customHeight="1">
      <c r="A579" t="inlineStr">
        <is>
          <t>A 16202-2022</t>
        </is>
      </c>
      <c r="B579" s="1" t="n">
        <v>44670</v>
      </c>
      <c r="C579" s="1" t="n">
        <v>46167</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55018-2024</t>
        </is>
      </c>
      <c r="B580" s="1" t="n">
        <v>45621.35712962963</v>
      </c>
      <c r="C580" s="1" t="n">
        <v>46167</v>
      </c>
      <c r="D580" t="inlineStr">
        <is>
          <t>STOCKHOLMS LÄN</t>
        </is>
      </c>
      <c r="E580" t="inlineStr">
        <is>
          <t>NORRTÄLJE</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50136-2023</t>
        </is>
      </c>
      <c r="B581" s="1" t="n">
        <v>45215</v>
      </c>
      <c r="C581" s="1" t="n">
        <v>46167</v>
      </c>
      <c r="D581" t="inlineStr">
        <is>
          <t>STOCKHOLMS LÄN</t>
        </is>
      </c>
      <c r="E581" t="inlineStr">
        <is>
          <t>NORRTÄLJE</t>
        </is>
      </c>
      <c r="G581" t="n">
        <v>5.2</v>
      </c>
      <c r="H581" t="n">
        <v>0</v>
      </c>
      <c r="I581" t="n">
        <v>0</v>
      </c>
      <c r="J581" t="n">
        <v>0</v>
      </c>
      <c r="K581" t="n">
        <v>0</v>
      </c>
      <c r="L581" t="n">
        <v>0</v>
      </c>
      <c r="M581" t="n">
        <v>0</v>
      </c>
      <c r="N581" t="n">
        <v>0</v>
      </c>
      <c r="O581" t="n">
        <v>0</v>
      </c>
      <c r="P581" t="n">
        <v>0</v>
      </c>
      <c r="Q581" t="n">
        <v>0</v>
      </c>
      <c r="R581" s="2" t="inlineStr"/>
    </row>
    <row r="582" ht="15" customHeight="1">
      <c r="A582" t="inlineStr">
        <is>
          <t>A 25656-2023</t>
        </is>
      </c>
      <c r="B582" s="1" t="n">
        <v>45089</v>
      </c>
      <c r="C582" s="1" t="n">
        <v>46167</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6003-2025</t>
        </is>
      </c>
      <c r="B583" s="1" t="n">
        <v>45695.57881944445</v>
      </c>
      <c r="C583" s="1" t="n">
        <v>46167</v>
      </c>
      <c r="D583" t="inlineStr">
        <is>
          <t>STOCKHOLMS LÄN</t>
        </is>
      </c>
      <c r="E583" t="inlineStr">
        <is>
          <t>NORRTÄLJE</t>
        </is>
      </c>
      <c r="F583" t="inlineStr">
        <is>
          <t>Holmen skog AB</t>
        </is>
      </c>
      <c r="G583" t="n">
        <v>2.3</v>
      </c>
      <c r="H583" t="n">
        <v>0</v>
      </c>
      <c r="I583" t="n">
        <v>0</v>
      </c>
      <c r="J583" t="n">
        <v>0</v>
      </c>
      <c r="K583" t="n">
        <v>0</v>
      </c>
      <c r="L583" t="n">
        <v>0</v>
      </c>
      <c r="M583" t="n">
        <v>0</v>
      </c>
      <c r="N583" t="n">
        <v>0</v>
      </c>
      <c r="O583" t="n">
        <v>0</v>
      </c>
      <c r="P583" t="n">
        <v>0</v>
      </c>
      <c r="Q583" t="n">
        <v>0</v>
      </c>
      <c r="R583" s="2" t="inlineStr"/>
    </row>
    <row r="584" ht="15" customHeight="1">
      <c r="A584" t="inlineStr">
        <is>
          <t>A 49129-2025</t>
        </is>
      </c>
      <c r="B584" s="1" t="n">
        <v>45937.89517361111</v>
      </c>
      <c r="C584" s="1" t="n">
        <v>46167</v>
      </c>
      <c r="D584" t="inlineStr">
        <is>
          <t>STOCKHOLMS LÄN</t>
        </is>
      </c>
      <c r="E584" t="inlineStr">
        <is>
          <t>NORRTÄLJE</t>
        </is>
      </c>
      <c r="G584" t="n">
        <v>0.5</v>
      </c>
      <c r="H584" t="n">
        <v>0</v>
      </c>
      <c r="I584" t="n">
        <v>0</v>
      </c>
      <c r="J584" t="n">
        <v>0</v>
      </c>
      <c r="K584" t="n">
        <v>0</v>
      </c>
      <c r="L584" t="n">
        <v>0</v>
      </c>
      <c r="M584" t="n">
        <v>0</v>
      </c>
      <c r="N584" t="n">
        <v>0</v>
      </c>
      <c r="O584" t="n">
        <v>0</v>
      </c>
      <c r="P584" t="n">
        <v>0</v>
      </c>
      <c r="Q584" t="n">
        <v>0</v>
      </c>
      <c r="R584" s="2" t="inlineStr"/>
    </row>
    <row r="585" ht="15" customHeight="1">
      <c r="A585" t="inlineStr">
        <is>
          <t>A 11902-2024</t>
        </is>
      </c>
      <c r="B585" s="1" t="n">
        <v>45376.55704861111</v>
      </c>
      <c r="C585" s="1" t="n">
        <v>46167</v>
      </c>
      <c r="D585" t="inlineStr">
        <is>
          <t>STOCKHOLMS LÄN</t>
        </is>
      </c>
      <c r="E585" t="inlineStr">
        <is>
          <t>NORRTÄLJE</t>
        </is>
      </c>
      <c r="G585" t="n">
        <v>2.5</v>
      </c>
      <c r="H585" t="n">
        <v>0</v>
      </c>
      <c r="I585" t="n">
        <v>0</v>
      </c>
      <c r="J585" t="n">
        <v>0</v>
      </c>
      <c r="K585" t="n">
        <v>0</v>
      </c>
      <c r="L585" t="n">
        <v>0</v>
      </c>
      <c r="M585" t="n">
        <v>0</v>
      </c>
      <c r="N585" t="n">
        <v>0</v>
      </c>
      <c r="O585" t="n">
        <v>0</v>
      </c>
      <c r="P585" t="n">
        <v>0</v>
      </c>
      <c r="Q585" t="n">
        <v>0</v>
      </c>
      <c r="R585" s="2" t="inlineStr"/>
    </row>
    <row r="586" ht="15" customHeight="1">
      <c r="A586" t="inlineStr">
        <is>
          <t>A 38049-2023</t>
        </is>
      </c>
      <c r="B586" s="1" t="n">
        <v>45159</v>
      </c>
      <c r="C586" s="1" t="n">
        <v>46167</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59535-2024</t>
        </is>
      </c>
      <c r="B587" s="1" t="n">
        <v>45638.59979166667</v>
      </c>
      <c r="C587" s="1" t="n">
        <v>46167</v>
      </c>
      <c r="D587" t="inlineStr">
        <is>
          <t>STOCKHOLMS LÄN</t>
        </is>
      </c>
      <c r="E587" t="inlineStr">
        <is>
          <t>NORRTÄLJE</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4183-2025</t>
        </is>
      </c>
      <c r="B588" s="1" t="n">
        <v>45685.44592592592</v>
      </c>
      <c r="C588" s="1" t="n">
        <v>46167</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50097-2025</t>
        </is>
      </c>
      <c r="B589" s="1" t="n">
        <v>45943.50207175926</v>
      </c>
      <c r="C589" s="1" t="n">
        <v>46167</v>
      </c>
      <c r="D589" t="inlineStr">
        <is>
          <t>STOCKHOLMS LÄN</t>
        </is>
      </c>
      <c r="E589" t="inlineStr">
        <is>
          <t>NORRTÄLJE</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49836-2025</t>
        </is>
      </c>
      <c r="B590" s="1" t="n">
        <v>45940.46862268518</v>
      </c>
      <c r="C590" s="1" t="n">
        <v>46167</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9480-2025</t>
        </is>
      </c>
      <c r="B591" s="1" t="n">
        <v>45715</v>
      </c>
      <c r="C591" s="1" t="n">
        <v>46167</v>
      </c>
      <c r="D591" t="inlineStr">
        <is>
          <t>STOCKHOLMS LÄN</t>
        </is>
      </c>
      <c r="E591" t="inlineStr">
        <is>
          <t>NORRTÄLJE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50327-2025</t>
        </is>
      </c>
      <c r="B592" s="1" t="n">
        <v>45944.46387731482</v>
      </c>
      <c r="C592" s="1" t="n">
        <v>46167</v>
      </c>
      <c r="D592" t="inlineStr">
        <is>
          <t>STOCKHOLMS LÄN</t>
        </is>
      </c>
      <c r="E592" t="inlineStr">
        <is>
          <t>NORRTÄLJE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50563-2025</t>
        </is>
      </c>
      <c r="B593" s="1" t="n">
        <v>45944</v>
      </c>
      <c r="C593" s="1" t="n">
        <v>46167</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50333-2025</t>
        </is>
      </c>
      <c r="B594" s="1" t="n">
        <v>45944.47178240741</v>
      </c>
      <c r="C594" s="1" t="n">
        <v>46167</v>
      </c>
      <c r="D594" t="inlineStr">
        <is>
          <t>STOCKHOLMS LÄN</t>
        </is>
      </c>
      <c r="E594" t="inlineStr">
        <is>
          <t>NORRTÄLJE</t>
        </is>
      </c>
      <c r="G594" t="n">
        <v>4.2</v>
      </c>
      <c r="H594" t="n">
        <v>0</v>
      </c>
      <c r="I594" t="n">
        <v>0</v>
      </c>
      <c r="J594" t="n">
        <v>0</v>
      </c>
      <c r="K594" t="n">
        <v>0</v>
      </c>
      <c r="L594" t="n">
        <v>0</v>
      </c>
      <c r="M594" t="n">
        <v>0</v>
      </c>
      <c r="N594" t="n">
        <v>0</v>
      </c>
      <c r="O594" t="n">
        <v>0</v>
      </c>
      <c r="P594" t="n">
        <v>0</v>
      </c>
      <c r="Q594" t="n">
        <v>0</v>
      </c>
      <c r="R594" s="2" t="inlineStr"/>
    </row>
    <row r="595" ht="15" customHeight="1">
      <c r="A595" t="inlineStr">
        <is>
          <t>A 24522-2023</t>
        </is>
      </c>
      <c r="B595" s="1" t="n">
        <v>45082.69179398148</v>
      </c>
      <c r="C595" s="1" t="n">
        <v>46167</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25625-2023</t>
        </is>
      </c>
      <c r="B596" s="1" t="n">
        <v>45089</v>
      </c>
      <c r="C596" s="1" t="n">
        <v>46167</v>
      </c>
      <c r="D596" t="inlineStr">
        <is>
          <t>STOCKHOLMS LÄN</t>
        </is>
      </c>
      <c r="E596" t="inlineStr">
        <is>
          <t>NORRTÄLJE</t>
        </is>
      </c>
      <c r="G596" t="n">
        <v>5.5</v>
      </c>
      <c r="H596" t="n">
        <v>0</v>
      </c>
      <c r="I596" t="n">
        <v>0</v>
      </c>
      <c r="J596" t="n">
        <v>0</v>
      </c>
      <c r="K596" t="n">
        <v>0</v>
      </c>
      <c r="L596" t="n">
        <v>0</v>
      </c>
      <c r="M596" t="n">
        <v>0</v>
      </c>
      <c r="N596" t="n">
        <v>0</v>
      </c>
      <c r="O596" t="n">
        <v>0</v>
      </c>
      <c r="P596" t="n">
        <v>0</v>
      </c>
      <c r="Q596" t="n">
        <v>0</v>
      </c>
      <c r="R596" s="2" t="inlineStr"/>
    </row>
    <row r="597" ht="15" customHeight="1">
      <c r="A597" t="inlineStr">
        <is>
          <t>A 37147-2023</t>
        </is>
      </c>
      <c r="B597" s="1" t="n">
        <v>45155</v>
      </c>
      <c r="C597" s="1" t="n">
        <v>46167</v>
      </c>
      <c r="D597" t="inlineStr">
        <is>
          <t>STOCKHOLMS LÄN</t>
        </is>
      </c>
      <c r="E597" t="inlineStr">
        <is>
          <t>NORRTÄLJE</t>
        </is>
      </c>
      <c r="G597" t="n">
        <v>8</v>
      </c>
      <c r="H597" t="n">
        <v>0</v>
      </c>
      <c r="I597" t="n">
        <v>0</v>
      </c>
      <c r="J597" t="n">
        <v>0</v>
      </c>
      <c r="K597" t="n">
        <v>0</v>
      </c>
      <c r="L597" t="n">
        <v>0</v>
      </c>
      <c r="M597" t="n">
        <v>0</v>
      </c>
      <c r="N597" t="n">
        <v>0</v>
      </c>
      <c r="O597" t="n">
        <v>0</v>
      </c>
      <c r="P597" t="n">
        <v>0</v>
      </c>
      <c r="Q597" t="n">
        <v>0</v>
      </c>
      <c r="R597" s="2" t="inlineStr"/>
    </row>
    <row r="598" ht="15" customHeight="1">
      <c r="A598" t="inlineStr">
        <is>
          <t>A 7186-2024</t>
        </is>
      </c>
      <c r="B598" s="1" t="n">
        <v>45344</v>
      </c>
      <c r="C598" s="1" t="n">
        <v>46167</v>
      </c>
      <c r="D598" t="inlineStr">
        <is>
          <t>STOCKHOLMS LÄN</t>
        </is>
      </c>
      <c r="E598" t="inlineStr">
        <is>
          <t>NORRTÄLJE</t>
        </is>
      </c>
      <c r="G598" t="n">
        <v>4.9</v>
      </c>
      <c r="H598" t="n">
        <v>0</v>
      </c>
      <c r="I598" t="n">
        <v>0</v>
      </c>
      <c r="J598" t="n">
        <v>0</v>
      </c>
      <c r="K598" t="n">
        <v>0</v>
      </c>
      <c r="L598" t="n">
        <v>0</v>
      </c>
      <c r="M598" t="n">
        <v>0</v>
      </c>
      <c r="N598" t="n">
        <v>0</v>
      </c>
      <c r="O598" t="n">
        <v>0</v>
      </c>
      <c r="P598" t="n">
        <v>0</v>
      </c>
      <c r="Q598" t="n">
        <v>0</v>
      </c>
      <c r="R598" s="2" t="inlineStr"/>
    </row>
    <row r="599" ht="15" customHeight="1">
      <c r="A599" t="inlineStr">
        <is>
          <t>A 51122-2025</t>
        </is>
      </c>
      <c r="B599" s="1" t="n">
        <v>45947.53693287037</v>
      </c>
      <c r="C599" s="1" t="n">
        <v>46167</v>
      </c>
      <c r="D599" t="inlineStr">
        <is>
          <t>STOCKHOLMS LÄN</t>
        </is>
      </c>
      <c r="E599" t="inlineStr">
        <is>
          <t>NORRTÄLJE</t>
        </is>
      </c>
      <c r="G599" t="n">
        <v>3.8</v>
      </c>
      <c r="H599" t="n">
        <v>0</v>
      </c>
      <c r="I599" t="n">
        <v>0</v>
      </c>
      <c r="J599" t="n">
        <v>0</v>
      </c>
      <c r="K599" t="n">
        <v>0</v>
      </c>
      <c r="L599" t="n">
        <v>0</v>
      </c>
      <c r="M599" t="n">
        <v>0</v>
      </c>
      <c r="N599" t="n">
        <v>0</v>
      </c>
      <c r="O599" t="n">
        <v>0</v>
      </c>
      <c r="P599" t="n">
        <v>0</v>
      </c>
      <c r="Q599" t="n">
        <v>0</v>
      </c>
      <c r="R599" s="2" t="inlineStr"/>
    </row>
    <row r="600" ht="15" customHeight="1">
      <c r="A600" t="inlineStr">
        <is>
          <t>A 51233-2025</t>
        </is>
      </c>
      <c r="B600" s="1" t="n">
        <v>45947.68232638889</v>
      </c>
      <c r="C600" s="1" t="n">
        <v>46167</v>
      </c>
      <c r="D600" t="inlineStr">
        <is>
          <t>STOCKHOLMS LÄN</t>
        </is>
      </c>
      <c r="E600" t="inlineStr">
        <is>
          <t>NORRTÄLJE</t>
        </is>
      </c>
      <c r="F600" t="inlineStr">
        <is>
          <t>Naturvårdsverket</t>
        </is>
      </c>
      <c r="G600" t="n">
        <v>8.1</v>
      </c>
      <c r="H600" t="n">
        <v>0</v>
      </c>
      <c r="I600" t="n">
        <v>0</v>
      </c>
      <c r="J600" t="n">
        <v>0</v>
      </c>
      <c r="K600" t="n">
        <v>0</v>
      </c>
      <c r="L600" t="n">
        <v>0</v>
      </c>
      <c r="M600" t="n">
        <v>0</v>
      </c>
      <c r="N600" t="n">
        <v>0</v>
      </c>
      <c r="O600" t="n">
        <v>0</v>
      </c>
      <c r="P600" t="n">
        <v>0</v>
      </c>
      <c r="Q600" t="n">
        <v>0</v>
      </c>
      <c r="R600" s="2" t="inlineStr"/>
    </row>
    <row r="601" ht="15" customHeight="1">
      <c r="A601" t="inlineStr">
        <is>
          <t>A 51236-2025</t>
        </is>
      </c>
      <c r="B601" s="1" t="n">
        <v>45947.69078703703</v>
      </c>
      <c r="C601" s="1" t="n">
        <v>46167</v>
      </c>
      <c r="D601" t="inlineStr">
        <is>
          <t>STOCKHOLMS LÄN</t>
        </is>
      </c>
      <c r="E601" t="inlineStr">
        <is>
          <t>NORRTÄLJE</t>
        </is>
      </c>
      <c r="F601" t="inlineStr">
        <is>
          <t>Naturvårdsverket</t>
        </is>
      </c>
      <c r="G601" t="n">
        <v>6.3</v>
      </c>
      <c r="H601" t="n">
        <v>0</v>
      </c>
      <c r="I601" t="n">
        <v>0</v>
      </c>
      <c r="J601" t="n">
        <v>0</v>
      </c>
      <c r="K601" t="n">
        <v>0</v>
      </c>
      <c r="L601" t="n">
        <v>0</v>
      </c>
      <c r="M601" t="n">
        <v>0</v>
      </c>
      <c r="N601" t="n">
        <v>0</v>
      </c>
      <c r="O601" t="n">
        <v>0</v>
      </c>
      <c r="P601" t="n">
        <v>0</v>
      </c>
      <c r="Q601" t="n">
        <v>0</v>
      </c>
      <c r="R601" s="2" t="inlineStr"/>
    </row>
    <row r="602" ht="15" customHeight="1">
      <c r="A602" t="inlineStr">
        <is>
          <t>A 51241-2025</t>
        </is>
      </c>
      <c r="B602" s="1" t="n">
        <v>45947.71726851852</v>
      </c>
      <c r="C602" s="1" t="n">
        <v>46167</v>
      </c>
      <c r="D602" t="inlineStr">
        <is>
          <t>STOCKHOLMS LÄN</t>
        </is>
      </c>
      <c r="E602" t="inlineStr">
        <is>
          <t>NORRTÄLJE</t>
        </is>
      </c>
      <c r="F602" t="inlineStr">
        <is>
          <t>Naturvårdsverket</t>
        </is>
      </c>
      <c r="G602" t="n">
        <v>6.4</v>
      </c>
      <c r="H602" t="n">
        <v>0</v>
      </c>
      <c r="I602" t="n">
        <v>0</v>
      </c>
      <c r="J602" t="n">
        <v>0</v>
      </c>
      <c r="K602" t="n">
        <v>0</v>
      </c>
      <c r="L602" t="n">
        <v>0</v>
      </c>
      <c r="M602" t="n">
        <v>0</v>
      </c>
      <c r="N602" t="n">
        <v>0</v>
      </c>
      <c r="O602" t="n">
        <v>0</v>
      </c>
      <c r="P602" t="n">
        <v>0</v>
      </c>
      <c r="Q602" t="n">
        <v>0</v>
      </c>
      <c r="R602" s="2" t="inlineStr"/>
    </row>
    <row r="603" ht="15" customHeight="1">
      <c r="A603" t="inlineStr">
        <is>
          <t>A 57602-2024</t>
        </is>
      </c>
      <c r="B603" s="1" t="n">
        <v>45630.52866898148</v>
      </c>
      <c r="C603" s="1" t="n">
        <v>46167</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51240-2025</t>
        </is>
      </c>
      <c r="B604" s="1" t="n">
        <v>45947.70420138889</v>
      </c>
      <c r="C604" s="1" t="n">
        <v>46167</v>
      </c>
      <c r="D604" t="inlineStr">
        <is>
          <t>STOCKHOLMS LÄN</t>
        </is>
      </c>
      <c r="E604" t="inlineStr">
        <is>
          <t>NORRTÄLJE</t>
        </is>
      </c>
      <c r="F604" t="inlineStr">
        <is>
          <t>Naturvårdsverket</t>
        </is>
      </c>
      <c r="G604" t="n">
        <v>3</v>
      </c>
      <c r="H604" t="n">
        <v>0</v>
      </c>
      <c r="I604" t="n">
        <v>0</v>
      </c>
      <c r="J604" t="n">
        <v>0</v>
      </c>
      <c r="K604" t="n">
        <v>0</v>
      </c>
      <c r="L604" t="n">
        <v>0</v>
      </c>
      <c r="M604" t="n">
        <v>0</v>
      </c>
      <c r="N604" t="n">
        <v>0</v>
      </c>
      <c r="O604" t="n">
        <v>0</v>
      </c>
      <c r="P604" t="n">
        <v>0</v>
      </c>
      <c r="Q604" t="n">
        <v>0</v>
      </c>
      <c r="R604" s="2" t="inlineStr"/>
    </row>
    <row r="605" ht="15" customHeight="1">
      <c r="A605" t="inlineStr">
        <is>
          <t>A 64600-2021</t>
        </is>
      </c>
      <c r="B605" s="1" t="n">
        <v>44511.70518518519</v>
      </c>
      <c r="C605" s="1" t="n">
        <v>46167</v>
      </c>
      <c r="D605" t="inlineStr">
        <is>
          <t>STOCKHOLMS LÄN</t>
        </is>
      </c>
      <c r="E605" t="inlineStr">
        <is>
          <t>NORRTÄLJE</t>
        </is>
      </c>
      <c r="G605" t="n">
        <v>6.2</v>
      </c>
      <c r="H605" t="n">
        <v>0</v>
      </c>
      <c r="I605" t="n">
        <v>0</v>
      </c>
      <c r="J605" t="n">
        <v>0</v>
      </c>
      <c r="K605" t="n">
        <v>0</v>
      </c>
      <c r="L605" t="n">
        <v>0</v>
      </c>
      <c r="M605" t="n">
        <v>0</v>
      </c>
      <c r="N605" t="n">
        <v>0</v>
      </c>
      <c r="O605" t="n">
        <v>0</v>
      </c>
      <c r="P605" t="n">
        <v>0</v>
      </c>
      <c r="Q605" t="n">
        <v>0</v>
      </c>
      <c r="R605" s="2" t="inlineStr"/>
    </row>
    <row r="606" ht="15" customHeight="1">
      <c r="A606" t="inlineStr">
        <is>
          <t>A 50602-2021</t>
        </is>
      </c>
      <c r="B606" s="1" t="n">
        <v>44459</v>
      </c>
      <c r="C606" s="1" t="n">
        <v>46167</v>
      </c>
      <c r="D606" t="inlineStr">
        <is>
          <t>STOCKHOLMS LÄN</t>
        </is>
      </c>
      <c r="E606" t="inlineStr">
        <is>
          <t>NORRTÄLJE</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26365-2024</t>
        </is>
      </c>
      <c r="B607" s="1" t="n">
        <v>45469</v>
      </c>
      <c r="C607" s="1" t="n">
        <v>46167</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51121-2025</t>
        </is>
      </c>
      <c r="B608" s="1" t="n">
        <v>45947.53293981482</v>
      </c>
      <c r="C608" s="1" t="n">
        <v>46167</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26640-2023</t>
        </is>
      </c>
      <c r="B609" s="1" t="n">
        <v>45092</v>
      </c>
      <c r="C609" s="1" t="n">
        <v>46167</v>
      </c>
      <c r="D609" t="inlineStr">
        <is>
          <t>STOCKHOLMS LÄN</t>
        </is>
      </c>
      <c r="E609" t="inlineStr">
        <is>
          <t>NORRTÄLJE</t>
        </is>
      </c>
      <c r="G609" t="n">
        <v>5.7</v>
      </c>
      <c r="H609" t="n">
        <v>0</v>
      </c>
      <c r="I609" t="n">
        <v>0</v>
      </c>
      <c r="J609" t="n">
        <v>0</v>
      </c>
      <c r="K609" t="n">
        <v>0</v>
      </c>
      <c r="L609" t="n">
        <v>0</v>
      </c>
      <c r="M609" t="n">
        <v>0</v>
      </c>
      <c r="N609" t="n">
        <v>0</v>
      </c>
      <c r="O609" t="n">
        <v>0</v>
      </c>
      <c r="P609" t="n">
        <v>0</v>
      </c>
      <c r="Q609" t="n">
        <v>0</v>
      </c>
      <c r="R609" s="2" t="inlineStr"/>
    </row>
    <row r="610" ht="15" customHeight="1">
      <c r="A610" t="inlineStr">
        <is>
          <t>A 31827-2023</t>
        </is>
      </c>
      <c r="B610" s="1" t="n">
        <v>45118</v>
      </c>
      <c r="C610" s="1" t="n">
        <v>46167</v>
      </c>
      <c r="D610" t="inlineStr">
        <is>
          <t>STOCKHOLMS LÄN</t>
        </is>
      </c>
      <c r="E610" t="inlineStr">
        <is>
          <t>NORRTÄLJE</t>
        </is>
      </c>
      <c r="F610" t="inlineStr">
        <is>
          <t>Kyrkan</t>
        </is>
      </c>
      <c r="G610" t="n">
        <v>4.9</v>
      </c>
      <c r="H610" t="n">
        <v>0</v>
      </c>
      <c r="I610" t="n">
        <v>0</v>
      </c>
      <c r="J610" t="n">
        <v>0</v>
      </c>
      <c r="K610" t="n">
        <v>0</v>
      </c>
      <c r="L610" t="n">
        <v>0</v>
      </c>
      <c r="M610" t="n">
        <v>0</v>
      </c>
      <c r="N610" t="n">
        <v>0</v>
      </c>
      <c r="O610" t="n">
        <v>0</v>
      </c>
      <c r="P610" t="n">
        <v>0</v>
      </c>
      <c r="Q610" t="n">
        <v>0</v>
      </c>
      <c r="R610" s="2" t="inlineStr"/>
    </row>
    <row r="611" ht="15" customHeight="1">
      <c r="A611" t="inlineStr">
        <is>
          <t>A 58993-2022</t>
        </is>
      </c>
      <c r="B611" s="1" t="n">
        <v>44903</v>
      </c>
      <c r="C611" s="1" t="n">
        <v>46167</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28900-2022</t>
        </is>
      </c>
      <c r="B612" s="1" t="n">
        <v>44749.55258101852</v>
      </c>
      <c r="C612" s="1" t="n">
        <v>46167</v>
      </c>
      <c r="D612" t="inlineStr">
        <is>
          <t>STOCKHOLMS LÄN</t>
        </is>
      </c>
      <c r="E612" t="inlineStr">
        <is>
          <t>NORRTÄLJE</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17574-2025</t>
        </is>
      </c>
      <c r="B613" s="1" t="n">
        <v>45757.65178240741</v>
      </c>
      <c r="C613" s="1" t="n">
        <v>46167</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51532-2025</t>
        </is>
      </c>
      <c r="B614" s="1" t="n">
        <v>45950.68297453703</v>
      </c>
      <c r="C614" s="1" t="n">
        <v>46167</v>
      </c>
      <c r="D614" t="inlineStr">
        <is>
          <t>STOCKHOLMS LÄN</t>
        </is>
      </c>
      <c r="E614" t="inlineStr">
        <is>
          <t>NORRTÄLJE</t>
        </is>
      </c>
      <c r="F614" t="inlineStr">
        <is>
          <t>Naturvårdsverket</t>
        </is>
      </c>
      <c r="G614" t="n">
        <v>17.3</v>
      </c>
      <c r="H614" t="n">
        <v>0</v>
      </c>
      <c r="I614" t="n">
        <v>0</v>
      </c>
      <c r="J614" t="n">
        <v>0</v>
      </c>
      <c r="K614" t="n">
        <v>0</v>
      </c>
      <c r="L614" t="n">
        <v>0</v>
      </c>
      <c r="M614" t="n">
        <v>0</v>
      </c>
      <c r="N614" t="n">
        <v>0</v>
      </c>
      <c r="O614" t="n">
        <v>0</v>
      </c>
      <c r="P614" t="n">
        <v>0</v>
      </c>
      <c r="Q614" t="n">
        <v>0</v>
      </c>
      <c r="R614" s="2" t="inlineStr"/>
    </row>
    <row r="615" ht="15" customHeight="1">
      <c r="A615" t="inlineStr">
        <is>
          <t>A 51789-2025</t>
        </is>
      </c>
      <c r="B615" s="1" t="n">
        <v>45951.68046296296</v>
      </c>
      <c r="C615" s="1" t="n">
        <v>46167</v>
      </c>
      <c r="D615" t="inlineStr">
        <is>
          <t>STOCKHOLMS LÄN</t>
        </is>
      </c>
      <c r="E615" t="inlineStr">
        <is>
          <t>NORRTÄLJE</t>
        </is>
      </c>
      <c r="F615" t="inlineStr">
        <is>
          <t>Naturvårdsverket</t>
        </is>
      </c>
      <c r="G615" t="n">
        <v>8.9</v>
      </c>
      <c r="H615" t="n">
        <v>0</v>
      </c>
      <c r="I615" t="n">
        <v>0</v>
      </c>
      <c r="J615" t="n">
        <v>0</v>
      </c>
      <c r="K615" t="n">
        <v>0</v>
      </c>
      <c r="L615" t="n">
        <v>0</v>
      </c>
      <c r="M615" t="n">
        <v>0</v>
      </c>
      <c r="N615" t="n">
        <v>0</v>
      </c>
      <c r="O615" t="n">
        <v>0</v>
      </c>
      <c r="P615" t="n">
        <v>0</v>
      </c>
      <c r="Q615" t="n">
        <v>0</v>
      </c>
      <c r="R615" s="2" t="inlineStr"/>
    </row>
    <row r="616" ht="15" customHeight="1">
      <c r="A616" t="inlineStr">
        <is>
          <t>A 58297-2023</t>
        </is>
      </c>
      <c r="B616" s="1" t="n">
        <v>45245</v>
      </c>
      <c r="C616" s="1" t="n">
        <v>46167</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20304-2023</t>
        </is>
      </c>
      <c r="B617" s="1" t="n">
        <v>45056</v>
      </c>
      <c r="C617" s="1" t="n">
        <v>46167</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12299-2025</t>
        </is>
      </c>
      <c r="B618" s="1" t="n">
        <v>45729.71065972222</v>
      </c>
      <c r="C618" s="1" t="n">
        <v>46167</v>
      </c>
      <c r="D618" t="inlineStr">
        <is>
          <t>STOCKHOLMS LÄN</t>
        </is>
      </c>
      <c r="E618" t="inlineStr">
        <is>
          <t>NORRTÄLJE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22157-2023</t>
        </is>
      </c>
      <c r="B619" s="1" t="n">
        <v>45069</v>
      </c>
      <c r="C619" s="1" t="n">
        <v>46167</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c r="U619">
        <f>HYPERLINK("https://klasma.github.io/Logging_0188/knärot/A 22157-2023 karta knärot.png", "A 22157-2023")</f>
        <v/>
      </c>
      <c r="V619">
        <f>HYPERLINK("https://klasma.github.io/Logging_0188/klagomål/A 22157-2023 FSC-klagomål.docx", "A 22157-2023")</f>
        <v/>
      </c>
      <c r="W619">
        <f>HYPERLINK("https://klasma.github.io/Logging_0188/klagomålsmail/A 22157-2023 FSC-klagomål mail.docx", "A 22157-2023")</f>
        <v/>
      </c>
      <c r="X619">
        <f>HYPERLINK("https://klasma.github.io/Logging_0188/tillsyn/A 22157-2023 tillsynsbegäran.docx", "A 22157-2023")</f>
        <v/>
      </c>
      <c r="Y619">
        <f>HYPERLINK("https://klasma.github.io/Logging_0188/tillsynsmail/A 22157-2023 tillsynsbegäran mail.docx", "A 22157-2023")</f>
        <v/>
      </c>
    </row>
    <row r="620" ht="15" customHeight="1">
      <c r="A620" t="inlineStr">
        <is>
          <t>A 11929-2024</t>
        </is>
      </c>
      <c r="B620" s="1" t="n">
        <v>45376.64532407407</v>
      </c>
      <c r="C620" s="1" t="n">
        <v>46167</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51960-2025</t>
        </is>
      </c>
      <c r="B621" s="1" t="n">
        <v>45952.54755787037</v>
      </c>
      <c r="C621" s="1" t="n">
        <v>46167</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51941-2025</t>
        </is>
      </c>
      <c r="B622" s="1" t="n">
        <v>45952.52261574074</v>
      </c>
      <c r="C622" s="1" t="n">
        <v>46167</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52061-2025</t>
        </is>
      </c>
      <c r="B623" s="1" t="n">
        <v>45952.63679398148</v>
      </c>
      <c r="C623" s="1" t="n">
        <v>46167</v>
      </c>
      <c r="D623" t="inlineStr">
        <is>
          <t>STOCKHOLMS LÄN</t>
        </is>
      </c>
      <c r="E623" t="inlineStr">
        <is>
          <t>NORRTÄLJE</t>
        </is>
      </c>
      <c r="G623" t="n">
        <v>9.5</v>
      </c>
      <c r="H623" t="n">
        <v>0</v>
      </c>
      <c r="I623" t="n">
        <v>0</v>
      </c>
      <c r="J623" t="n">
        <v>0</v>
      </c>
      <c r="K623" t="n">
        <v>0</v>
      </c>
      <c r="L623" t="n">
        <v>0</v>
      </c>
      <c r="M623" t="n">
        <v>0</v>
      </c>
      <c r="N623" t="n">
        <v>0</v>
      </c>
      <c r="O623" t="n">
        <v>0</v>
      </c>
      <c r="P623" t="n">
        <v>0</v>
      </c>
      <c r="Q623" t="n">
        <v>0</v>
      </c>
      <c r="R623" s="2" t="inlineStr"/>
    </row>
    <row r="624" ht="15" customHeight="1">
      <c r="A624" t="inlineStr">
        <is>
          <t>A 51945-2025</t>
        </is>
      </c>
      <c r="B624" s="1" t="n">
        <v>45952.52679398148</v>
      </c>
      <c r="C624" s="1" t="n">
        <v>46167</v>
      </c>
      <c r="D624" t="inlineStr">
        <is>
          <t>STOCKHOLMS LÄN</t>
        </is>
      </c>
      <c r="E624" t="inlineStr">
        <is>
          <t>NORRTÄLJE</t>
        </is>
      </c>
      <c r="G624" t="n">
        <v>7</v>
      </c>
      <c r="H624" t="n">
        <v>0</v>
      </c>
      <c r="I624" t="n">
        <v>0</v>
      </c>
      <c r="J624" t="n">
        <v>0</v>
      </c>
      <c r="K624" t="n">
        <v>0</v>
      </c>
      <c r="L624" t="n">
        <v>0</v>
      </c>
      <c r="M624" t="n">
        <v>0</v>
      </c>
      <c r="N624" t="n">
        <v>0</v>
      </c>
      <c r="O624" t="n">
        <v>0</v>
      </c>
      <c r="P624" t="n">
        <v>0</v>
      </c>
      <c r="Q624" t="n">
        <v>0</v>
      </c>
      <c r="R624" s="2" t="inlineStr"/>
    </row>
    <row r="625" ht="15" customHeight="1">
      <c r="A625" t="inlineStr">
        <is>
          <t>A 8296-2023</t>
        </is>
      </c>
      <c r="B625" s="1" t="n">
        <v>44974</v>
      </c>
      <c r="C625" s="1" t="n">
        <v>46167</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24575-2024</t>
        </is>
      </c>
      <c r="B626" s="1" t="n">
        <v>45460.45523148148</v>
      </c>
      <c r="C626" s="1" t="n">
        <v>46167</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64899-2023</t>
        </is>
      </c>
      <c r="B627" s="1" t="n">
        <v>45282</v>
      </c>
      <c r="C627" s="1" t="n">
        <v>46167</v>
      </c>
      <c r="D627" t="inlineStr">
        <is>
          <t>STOCKHOLMS LÄN</t>
        </is>
      </c>
      <c r="E627" t="inlineStr">
        <is>
          <t>NORRTÄLJE</t>
        </is>
      </c>
      <c r="G627" t="n">
        <v>6.3</v>
      </c>
      <c r="H627" t="n">
        <v>0</v>
      </c>
      <c r="I627" t="n">
        <v>0</v>
      </c>
      <c r="J627" t="n">
        <v>0</v>
      </c>
      <c r="K627" t="n">
        <v>0</v>
      </c>
      <c r="L627" t="n">
        <v>0</v>
      </c>
      <c r="M627" t="n">
        <v>0</v>
      </c>
      <c r="N627" t="n">
        <v>0</v>
      </c>
      <c r="O627" t="n">
        <v>0</v>
      </c>
      <c r="P627" t="n">
        <v>0</v>
      </c>
      <c r="Q627" t="n">
        <v>0</v>
      </c>
      <c r="R627" s="2" t="inlineStr"/>
    </row>
    <row r="628" ht="15" customHeight="1">
      <c r="A628" t="inlineStr">
        <is>
          <t>A 52251-2025</t>
        </is>
      </c>
      <c r="B628" s="1" t="n">
        <v>45953.49185185185</v>
      </c>
      <c r="C628" s="1" t="n">
        <v>46167</v>
      </c>
      <c r="D628" t="inlineStr">
        <is>
          <t>STOCKHOLMS LÄN</t>
        </is>
      </c>
      <c r="E628" t="inlineStr">
        <is>
          <t>NORRTÄLJE</t>
        </is>
      </c>
      <c r="G628" t="n">
        <v>6.2</v>
      </c>
      <c r="H628" t="n">
        <v>0</v>
      </c>
      <c r="I628" t="n">
        <v>0</v>
      </c>
      <c r="J628" t="n">
        <v>0</v>
      </c>
      <c r="K628" t="n">
        <v>0</v>
      </c>
      <c r="L628" t="n">
        <v>0</v>
      </c>
      <c r="M628" t="n">
        <v>0</v>
      </c>
      <c r="N628" t="n">
        <v>0</v>
      </c>
      <c r="O628" t="n">
        <v>0</v>
      </c>
      <c r="P628" t="n">
        <v>0</v>
      </c>
      <c r="Q628" t="n">
        <v>0</v>
      </c>
      <c r="R628" s="2" t="inlineStr"/>
    </row>
    <row r="629" ht="15" customHeight="1">
      <c r="A629" t="inlineStr">
        <is>
          <t>A 52254-2025</t>
        </is>
      </c>
      <c r="B629" s="1" t="n">
        <v>45953.49519675926</v>
      </c>
      <c r="C629" s="1" t="n">
        <v>46167</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52773-2025</t>
        </is>
      </c>
      <c r="B630" s="1" t="n">
        <v>45957.41457175926</v>
      </c>
      <c r="C630" s="1" t="n">
        <v>46167</v>
      </c>
      <c r="D630" t="inlineStr">
        <is>
          <t>STOCKHOLMS LÄN</t>
        </is>
      </c>
      <c r="E630" t="inlineStr">
        <is>
          <t>NORRTÄLJE</t>
        </is>
      </c>
      <c r="F630" t="inlineStr">
        <is>
          <t>Sveaskog</t>
        </is>
      </c>
      <c r="G630" t="n">
        <v>10.5</v>
      </c>
      <c r="H630" t="n">
        <v>0</v>
      </c>
      <c r="I630" t="n">
        <v>0</v>
      </c>
      <c r="J630" t="n">
        <v>0</v>
      </c>
      <c r="K630" t="n">
        <v>0</v>
      </c>
      <c r="L630" t="n">
        <v>0</v>
      </c>
      <c r="M630" t="n">
        <v>0</v>
      </c>
      <c r="N630" t="n">
        <v>0</v>
      </c>
      <c r="O630" t="n">
        <v>0</v>
      </c>
      <c r="P630" t="n">
        <v>0</v>
      </c>
      <c r="Q630" t="n">
        <v>0</v>
      </c>
      <c r="R630" s="2" t="inlineStr"/>
    </row>
    <row r="631" ht="15" customHeight="1">
      <c r="A631" t="inlineStr">
        <is>
          <t>A 52777-2025</t>
        </is>
      </c>
      <c r="B631" s="1" t="n">
        <v>45957.41832175926</v>
      </c>
      <c r="C631" s="1" t="n">
        <v>46167</v>
      </c>
      <c r="D631" t="inlineStr">
        <is>
          <t>STOCKHOLMS LÄN</t>
        </is>
      </c>
      <c r="E631" t="inlineStr">
        <is>
          <t>NORRTÄLJE</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52593-2024</t>
        </is>
      </c>
      <c r="B632" s="1" t="n">
        <v>45609.70778935185</v>
      </c>
      <c r="C632" s="1" t="n">
        <v>46167</v>
      </c>
      <c r="D632" t="inlineStr">
        <is>
          <t>STOCKHOLMS LÄN</t>
        </is>
      </c>
      <c r="E632" t="inlineStr">
        <is>
          <t>NORRTÄLJE</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52617-2024</t>
        </is>
      </c>
      <c r="B633" s="1" t="n">
        <v>45609.85146990741</v>
      </c>
      <c r="C633" s="1" t="n">
        <v>46167</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52526-2025</t>
        </is>
      </c>
      <c r="B634" s="1" t="n">
        <v>45954.53061342592</v>
      </c>
      <c r="C634" s="1" t="n">
        <v>46167</v>
      </c>
      <c r="D634" t="inlineStr">
        <is>
          <t>STOCKHOLMS LÄN</t>
        </is>
      </c>
      <c r="E634" t="inlineStr">
        <is>
          <t>NORRTÄLJE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53000-2025</t>
        </is>
      </c>
      <c r="B635" s="1" t="n">
        <v>45957.74357638889</v>
      </c>
      <c r="C635" s="1" t="n">
        <v>46167</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52703-2025</t>
        </is>
      </c>
      <c r="B636" s="1" t="n">
        <v>45956.88643518519</v>
      </c>
      <c r="C636" s="1" t="n">
        <v>46167</v>
      </c>
      <c r="D636" t="inlineStr">
        <is>
          <t>STOCKHOLMS LÄN</t>
        </is>
      </c>
      <c r="E636" t="inlineStr">
        <is>
          <t>NORRTÄLJE</t>
        </is>
      </c>
      <c r="G636" t="n">
        <v>4.7</v>
      </c>
      <c r="H636" t="n">
        <v>0</v>
      </c>
      <c r="I636" t="n">
        <v>0</v>
      </c>
      <c r="J636" t="n">
        <v>0</v>
      </c>
      <c r="K636" t="n">
        <v>0</v>
      </c>
      <c r="L636" t="n">
        <v>0</v>
      </c>
      <c r="M636" t="n">
        <v>0</v>
      </c>
      <c r="N636" t="n">
        <v>0</v>
      </c>
      <c r="O636" t="n">
        <v>0</v>
      </c>
      <c r="P636" t="n">
        <v>0</v>
      </c>
      <c r="Q636" t="n">
        <v>0</v>
      </c>
      <c r="R636" s="2" t="inlineStr"/>
    </row>
    <row r="637" ht="15" customHeight="1">
      <c r="A637" t="inlineStr">
        <is>
          <t>A 52729-2025</t>
        </is>
      </c>
      <c r="B637" s="1" t="n">
        <v>45957.3636574074</v>
      </c>
      <c r="C637" s="1" t="n">
        <v>46167</v>
      </c>
      <c r="D637" t="inlineStr">
        <is>
          <t>STOCKHOLMS LÄN</t>
        </is>
      </c>
      <c r="E637" t="inlineStr">
        <is>
          <t>NORRTÄLJE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52734-2025</t>
        </is>
      </c>
      <c r="B638" s="1" t="n">
        <v>45957.3710300926</v>
      </c>
      <c r="C638" s="1" t="n">
        <v>46167</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59904-2023</t>
        </is>
      </c>
      <c r="B639" s="1" t="n">
        <v>45257</v>
      </c>
      <c r="C639" s="1" t="n">
        <v>46167</v>
      </c>
      <c r="D639" t="inlineStr">
        <is>
          <t>STOCKHOLMS LÄN</t>
        </is>
      </c>
      <c r="E639" t="inlineStr">
        <is>
          <t>NORRTÄLJE</t>
        </is>
      </c>
      <c r="G639" t="n">
        <v>17.4</v>
      </c>
      <c r="H639" t="n">
        <v>0</v>
      </c>
      <c r="I639" t="n">
        <v>0</v>
      </c>
      <c r="J639" t="n">
        <v>0</v>
      </c>
      <c r="K639" t="n">
        <v>0</v>
      </c>
      <c r="L639" t="n">
        <v>0</v>
      </c>
      <c r="M639" t="n">
        <v>0</v>
      </c>
      <c r="N639" t="n">
        <v>0</v>
      </c>
      <c r="O639" t="n">
        <v>0</v>
      </c>
      <c r="P639" t="n">
        <v>0</v>
      </c>
      <c r="Q639" t="n">
        <v>0</v>
      </c>
      <c r="R639" s="2" t="inlineStr"/>
    </row>
    <row r="640" ht="15" customHeight="1">
      <c r="A640" t="inlineStr">
        <is>
          <t>A 52776-2025</t>
        </is>
      </c>
      <c r="B640" s="1" t="n">
        <v>45957.41724537037</v>
      </c>
      <c r="C640" s="1" t="n">
        <v>46167</v>
      </c>
      <c r="D640" t="inlineStr">
        <is>
          <t>STOCKHOLMS LÄN</t>
        </is>
      </c>
      <c r="E640" t="inlineStr">
        <is>
          <t>NORRTÄLJE</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9914-2023</t>
        </is>
      </c>
      <c r="B641" s="1" t="n">
        <v>44985</v>
      </c>
      <c r="C641" s="1" t="n">
        <v>46167</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11062-2024</t>
        </is>
      </c>
      <c r="B642" s="1" t="n">
        <v>45370</v>
      </c>
      <c r="C642" s="1" t="n">
        <v>46167</v>
      </c>
      <c r="D642" t="inlineStr">
        <is>
          <t>STOCKHOLMS LÄN</t>
        </is>
      </c>
      <c r="E642" t="inlineStr">
        <is>
          <t>NORRTÄLJE</t>
        </is>
      </c>
      <c r="G642" t="n">
        <v>3.2</v>
      </c>
      <c r="H642" t="n">
        <v>0</v>
      </c>
      <c r="I642" t="n">
        <v>0</v>
      </c>
      <c r="J642" t="n">
        <v>0</v>
      </c>
      <c r="K642" t="n">
        <v>0</v>
      </c>
      <c r="L642" t="n">
        <v>0</v>
      </c>
      <c r="M642" t="n">
        <v>0</v>
      </c>
      <c r="N642" t="n">
        <v>0</v>
      </c>
      <c r="O642" t="n">
        <v>0</v>
      </c>
      <c r="P642" t="n">
        <v>0</v>
      </c>
      <c r="Q642" t="n">
        <v>0</v>
      </c>
      <c r="R642" s="2" t="inlineStr"/>
    </row>
    <row r="643" ht="15" customHeight="1">
      <c r="A643" t="inlineStr">
        <is>
          <t>A 52529-2025</t>
        </is>
      </c>
      <c r="B643" s="1" t="n">
        <v>45954.53229166667</v>
      </c>
      <c r="C643" s="1" t="n">
        <v>46167</v>
      </c>
      <c r="D643" t="inlineStr">
        <is>
          <t>STOCKHOLMS LÄN</t>
        </is>
      </c>
      <c r="E643" t="inlineStr">
        <is>
          <t>NORRTÄLJE</t>
        </is>
      </c>
      <c r="F643" t="inlineStr">
        <is>
          <t>Sveaskog</t>
        </is>
      </c>
      <c r="G643" t="n">
        <v>7.8</v>
      </c>
      <c r="H643" t="n">
        <v>0</v>
      </c>
      <c r="I643" t="n">
        <v>0</v>
      </c>
      <c r="J643" t="n">
        <v>0</v>
      </c>
      <c r="K643" t="n">
        <v>0</v>
      </c>
      <c r="L643" t="n">
        <v>0</v>
      </c>
      <c r="M643" t="n">
        <v>0</v>
      </c>
      <c r="N643" t="n">
        <v>0</v>
      </c>
      <c r="O643" t="n">
        <v>0</v>
      </c>
      <c r="P643" t="n">
        <v>0</v>
      </c>
      <c r="Q643" t="n">
        <v>0</v>
      </c>
      <c r="R643" s="2" t="inlineStr"/>
    </row>
    <row r="644" ht="15" customHeight="1">
      <c r="A644" t="inlineStr">
        <is>
          <t>A 52704-2025</t>
        </is>
      </c>
      <c r="B644" s="1" t="n">
        <v>45956.89097222222</v>
      </c>
      <c r="C644" s="1" t="n">
        <v>46167</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52553-2025</t>
        </is>
      </c>
      <c r="B645" s="1" t="n">
        <v>45954.5624537037</v>
      </c>
      <c r="C645" s="1" t="n">
        <v>46167</v>
      </c>
      <c r="D645" t="inlineStr">
        <is>
          <t>STOCKHOLMS LÄN</t>
        </is>
      </c>
      <c r="E645" t="inlineStr">
        <is>
          <t>NORRTÄLJE</t>
        </is>
      </c>
      <c r="G645" t="n">
        <v>4.4</v>
      </c>
      <c r="H645" t="n">
        <v>0</v>
      </c>
      <c r="I645" t="n">
        <v>0</v>
      </c>
      <c r="J645" t="n">
        <v>0</v>
      </c>
      <c r="K645" t="n">
        <v>0</v>
      </c>
      <c r="L645" t="n">
        <v>0</v>
      </c>
      <c r="M645" t="n">
        <v>0</v>
      </c>
      <c r="N645" t="n">
        <v>0</v>
      </c>
      <c r="O645" t="n">
        <v>0</v>
      </c>
      <c r="P645" t="n">
        <v>0</v>
      </c>
      <c r="Q645" t="n">
        <v>0</v>
      </c>
      <c r="R645" s="2" t="inlineStr"/>
    </row>
    <row r="646" ht="15" customHeight="1">
      <c r="A646" t="inlineStr">
        <is>
          <t>A 33569-2023</t>
        </is>
      </c>
      <c r="B646" s="1" t="n">
        <v>45131.666875</v>
      </c>
      <c r="C646" s="1" t="n">
        <v>46167</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15905-2023</t>
        </is>
      </c>
      <c r="B647" s="1" t="n">
        <v>45022</v>
      </c>
      <c r="C647" s="1" t="n">
        <v>46167</v>
      </c>
      <c r="D647" t="inlineStr">
        <is>
          <t>STOCKHOLMS LÄN</t>
        </is>
      </c>
      <c r="E647" t="inlineStr">
        <is>
          <t>NORRTÄLJE</t>
        </is>
      </c>
      <c r="G647" t="n">
        <v>3.2</v>
      </c>
      <c r="H647" t="n">
        <v>0</v>
      </c>
      <c r="I647" t="n">
        <v>0</v>
      </c>
      <c r="J647" t="n">
        <v>0</v>
      </c>
      <c r="K647" t="n">
        <v>0</v>
      </c>
      <c r="L647" t="n">
        <v>0</v>
      </c>
      <c r="M647" t="n">
        <v>0</v>
      </c>
      <c r="N647" t="n">
        <v>0</v>
      </c>
      <c r="O647" t="n">
        <v>0</v>
      </c>
      <c r="P647" t="n">
        <v>0</v>
      </c>
      <c r="Q647" t="n">
        <v>0</v>
      </c>
      <c r="R647" s="2" t="inlineStr"/>
    </row>
    <row r="648" ht="15" customHeight="1">
      <c r="A648" t="inlineStr">
        <is>
          <t>A 15956-2023</t>
        </is>
      </c>
      <c r="B648" s="1" t="n">
        <v>45022.61003472222</v>
      </c>
      <c r="C648" s="1" t="n">
        <v>46167</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47626-2022</t>
        </is>
      </c>
      <c r="B649" s="1" t="n">
        <v>44854</v>
      </c>
      <c r="C649" s="1" t="n">
        <v>46167</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53299-2025</t>
        </is>
      </c>
      <c r="B650" s="1" t="n">
        <v>45959.31901620371</v>
      </c>
      <c r="C650" s="1" t="n">
        <v>46167</v>
      </c>
      <c r="D650" t="inlineStr">
        <is>
          <t>STOCKHOLMS LÄN</t>
        </is>
      </c>
      <c r="E650" t="inlineStr">
        <is>
          <t>NORRTÄLJE</t>
        </is>
      </c>
      <c r="G650" t="n">
        <v>4.8</v>
      </c>
      <c r="H650" t="n">
        <v>0</v>
      </c>
      <c r="I650" t="n">
        <v>0</v>
      </c>
      <c r="J650" t="n">
        <v>0</v>
      </c>
      <c r="K650" t="n">
        <v>0</v>
      </c>
      <c r="L650" t="n">
        <v>0</v>
      </c>
      <c r="M650" t="n">
        <v>0</v>
      </c>
      <c r="N650" t="n">
        <v>0</v>
      </c>
      <c r="O650" t="n">
        <v>0</v>
      </c>
      <c r="P650" t="n">
        <v>0</v>
      </c>
      <c r="Q650" t="n">
        <v>0</v>
      </c>
      <c r="R650" s="2" t="inlineStr"/>
    </row>
    <row r="651" ht="15" customHeight="1">
      <c r="A651" t="inlineStr">
        <is>
          <t>A 53087-2025</t>
        </is>
      </c>
      <c r="B651" s="1" t="n">
        <v>45958.41065972222</v>
      </c>
      <c r="C651" s="1" t="n">
        <v>46167</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53115-2025</t>
        </is>
      </c>
      <c r="B652" s="1" t="n">
        <v>45958.44614583333</v>
      </c>
      <c r="C652" s="1" t="n">
        <v>46167</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62206-2022</t>
        </is>
      </c>
      <c r="B653" s="1" t="n">
        <v>44922</v>
      </c>
      <c r="C653" s="1" t="n">
        <v>46167</v>
      </c>
      <c r="D653" t="inlineStr">
        <is>
          <t>STOCKHOLMS LÄN</t>
        </is>
      </c>
      <c r="E653" t="inlineStr">
        <is>
          <t>NORRTÄLJE</t>
        </is>
      </c>
      <c r="G653" t="n">
        <v>2.9</v>
      </c>
      <c r="H653" t="n">
        <v>0</v>
      </c>
      <c r="I653" t="n">
        <v>0</v>
      </c>
      <c r="J653" t="n">
        <v>0</v>
      </c>
      <c r="K653" t="n">
        <v>0</v>
      </c>
      <c r="L653" t="n">
        <v>0</v>
      </c>
      <c r="M653" t="n">
        <v>0</v>
      </c>
      <c r="N653" t="n">
        <v>0</v>
      </c>
      <c r="O653" t="n">
        <v>0</v>
      </c>
      <c r="P653" t="n">
        <v>0</v>
      </c>
      <c r="Q653" t="n">
        <v>0</v>
      </c>
      <c r="R653" s="2" t="inlineStr"/>
    </row>
    <row r="654" ht="15" customHeight="1">
      <c r="A654" t="inlineStr">
        <is>
          <t>A 53629-2025</t>
        </is>
      </c>
      <c r="B654" s="1" t="n">
        <v>45960.49570601852</v>
      </c>
      <c r="C654" s="1" t="n">
        <v>46167</v>
      </c>
      <c r="D654" t="inlineStr">
        <is>
          <t>STOCKHOLMS LÄN</t>
        </is>
      </c>
      <c r="E654" t="inlineStr">
        <is>
          <t>NORRTÄLJE</t>
        </is>
      </c>
      <c r="F654" t="inlineStr">
        <is>
          <t>Naturvårdsverket</t>
        </is>
      </c>
      <c r="G654" t="n">
        <v>7.9</v>
      </c>
      <c r="H654" t="n">
        <v>0</v>
      </c>
      <c r="I654" t="n">
        <v>0</v>
      </c>
      <c r="J654" t="n">
        <v>0</v>
      </c>
      <c r="K654" t="n">
        <v>0</v>
      </c>
      <c r="L654" t="n">
        <v>0</v>
      </c>
      <c r="M654" t="n">
        <v>0</v>
      </c>
      <c r="N654" t="n">
        <v>0</v>
      </c>
      <c r="O654" t="n">
        <v>0</v>
      </c>
      <c r="P654" t="n">
        <v>0</v>
      </c>
      <c r="Q654" t="n">
        <v>0</v>
      </c>
      <c r="R654" s="2" t="inlineStr"/>
    </row>
    <row r="655" ht="15" customHeight="1">
      <c r="A655" t="inlineStr">
        <is>
          <t>A 20618-2022</t>
        </is>
      </c>
      <c r="B655" s="1" t="n">
        <v>44700.50659722222</v>
      </c>
      <c r="C655" s="1" t="n">
        <v>46167</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53747-2025</t>
        </is>
      </c>
      <c r="B656" s="1" t="n">
        <v>45960.65415509259</v>
      </c>
      <c r="C656" s="1" t="n">
        <v>46167</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11900-2022</t>
        </is>
      </c>
      <c r="B657" s="1" t="n">
        <v>44635</v>
      </c>
      <c r="C657" s="1" t="n">
        <v>46167</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10973-2025</t>
        </is>
      </c>
      <c r="B658" s="1" t="n">
        <v>45723</v>
      </c>
      <c r="C658" s="1" t="n">
        <v>46167</v>
      </c>
      <c r="D658" t="inlineStr">
        <is>
          <t>STOCKHOLMS LÄN</t>
        </is>
      </c>
      <c r="E658" t="inlineStr">
        <is>
          <t>NORRTÄLJE</t>
        </is>
      </c>
      <c r="F658" t="inlineStr">
        <is>
          <t>Övriga Aktiebolag</t>
        </is>
      </c>
      <c r="G658" t="n">
        <v>2.7</v>
      </c>
      <c r="H658" t="n">
        <v>0</v>
      </c>
      <c r="I658" t="n">
        <v>0</v>
      </c>
      <c r="J658" t="n">
        <v>0</v>
      </c>
      <c r="K658" t="n">
        <v>0</v>
      </c>
      <c r="L658" t="n">
        <v>0</v>
      </c>
      <c r="M658" t="n">
        <v>0</v>
      </c>
      <c r="N658" t="n">
        <v>0</v>
      </c>
      <c r="O658" t="n">
        <v>0</v>
      </c>
      <c r="P658" t="n">
        <v>0</v>
      </c>
      <c r="Q658" t="n">
        <v>0</v>
      </c>
      <c r="R658" s="2" t="inlineStr"/>
    </row>
    <row r="659" ht="15" customHeight="1">
      <c r="A659" t="inlineStr">
        <is>
          <t>A 27885-2022</t>
        </is>
      </c>
      <c r="B659" s="1" t="n">
        <v>44743.67418981482</v>
      </c>
      <c r="C659" s="1" t="n">
        <v>46167</v>
      </c>
      <c r="D659" t="inlineStr">
        <is>
          <t>STOCKHOLMS LÄN</t>
        </is>
      </c>
      <c r="E659" t="inlineStr">
        <is>
          <t>NORRTÄLJE</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60224-2023</t>
        </is>
      </c>
      <c r="B660" s="1" t="n">
        <v>45257</v>
      </c>
      <c r="C660" s="1" t="n">
        <v>46167</v>
      </c>
      <c r="D660" t="inlineStr">
        <is>
          <t>STOCKHOLMS LÄN</t>
        </is>
      </c>
      <c r="E660" t="inlineStr">
        <is>
          <t>NORRTÄLJE</t>
        </is>
      </c>
      <c r="G660" t="n">
        <v>8.1</v>
      </c>
      <c r="H660" t="n">
        <v>0</v>
      </c>
      <c r="I660" t="n">
        <v>0</v>
      </c>
      <c r="J660" t="n">
        <v>0</v>
      </c>
      <c r="K660" t="n">
        <v>0</v>
      </c>
      <c r="L660" t="n">
        <v>0</v>
      </c>
      <c r="M660" t="n">
        <v>0</v>
      </c>
      <c r="N660" t="n">
        <v>0</v>
      </c>
      <c r="O660" t="n">
        <v>0</v>
      </c>
      <c r="P660" t="n">
        <v>0</v>
      </c>
      <c r="Q660" t="n">
        <v>0</v>
      </c>
      <c r="R660" s="2" t="inlineStr"/>
    </row>
    <row r="661" ht="15" customHeight="1">
      <c r="A661" t="inlineStr">
        <is>
          <t>A 5158-2024</t>
        </is>
      </c>
      <c r="B661" s="1" t="n">
        <v>45330.50098379629</v>
      </c>
      <c r="C661" s="1" t="n">
        <v>46167</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54907-2025</t>
        </is>
      </c>
      <c r="B662" s="1" t="n">
        <v>45967.37137731481</v>
      </c>
      <c r="C662" s="1" t="n">
        <v>46167</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9130-2025</t>
        </is>
      </c>
      <c r="B663" s="1" t="n">
        <v>45713.92623842593</v>
      </c>
      <c r="C663" s="1" t="n">
        <v>46167</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17551-2025</t>
        </is>
      </c>
      <c r="B664" s="1" t="n">
        <v>45757.61421296297</v>
      </c>
      <c r="C664" s="1" t="n">
        <v>46167</v>
      </c>
      <c r="D664" t="inlineStr">
        <is>
          <t>STOCKHOLMS LÄN</t>
        </is>
      </c>
      <c r="E664" t="inlineStr">
        <is>
          <t>NORRTÄLJE</t>
        </is>
      </c>
      <c r="G664" t="n">
        <v>2.8</v>
      </c>
      <c r="H664" t="n">
        <v>0</v>
      </c>
      <c r="I664" t="n">
        <v>0</v>
      </c>
      <c r="J664" t="n">
        <v>0</v>
      </c>
      <c r="K664" t="n">
        <v>0</v>
      </c>
      <c r="L664" t="n">
        <v>0</v>
      </c>
      <c r="M664" t="n">
        <v>0</v>
      </c>
      <c r="N664" t="n">
        <v>0</v>
      </c>
      <c r="O664" t="n">
        <v>0</v>
      </c>
      <c r="P664" t="n">
        <v>0</v>
      </c>
      <c r="Q664" t="n">
        <v>0</v>
      </c>
      <c r="R664" s="2" t="inlineStr"/>
    </row>
    <row r="665" ht="15" customHeight="1">
      <c r="A665" t="inlineStr">
        <is>
          <t>A 55503-2025</t>
        </is>
      </c>
      <c r="B665" s="1" t="n">
        <v>45971</v>
      </c>
      <c r="C665" s="1" t="n">
        <v>46167</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55010-2024</t>
        </is>
      </c>
      <c r="B666" s="1" t="n">
        <v>45621.34425925926</v>
      </c>
      <c r="C666" s="1" t="n">
        <v>46167</v>
      </c>
      <c r="D666" t="inlineStr">
        <is>
          <t>STOCKHOLMS LÄN</t>
        </is>
      </c>
      <c r="E666" t="inlineStr">
        <is>
          <t>NORRTÄLJE</t>
        </is>
      </c>
      <c r="F666" t="inlineStr">
        <is>
          <t>Sveaskog</t>
        </is>
      </c>
      <c r="G666" t="n">
        <v>5.7</v>
      </c>
      <c r="H666" t="n">
        <v>0</v>
      </c>
      <c r="I666" t="n">
        <v>0</v>
      </c>
      <c r="J666" t="n">
        <v>0</v>
      </c>
      <c r="K666" t="n">
        <v>0</v>
      </c>
      <c r="L666" t="n">
        <v>0</v>
      </c>
      <c r="M666" t="n">
        <v>0</v>
      </c>
      <c r="N666" t="n">
        <v>0</v>
      </c>
      <c r="O666" t="n">
        <v>0</v>
      </c>
      <c r="P666" t="n">
        <v>0</v>
      </c>
      <c r="Q666" t="n">
        <v>0</v>
      </c>
      <c r="R666" s="2" t="inlineStr"/>
    </row>
    <row r="667" ht="15" customHeight="1">
      <c r="A667" t="inlineStr">
        <is>
          <t>A 31105-2022</t>
        </is>
      </c>
      <c r="B667" s="1" t="n">
        <v>44769.66039351852</v>
      </c>
      <c r="C667" s="1" t="n">
        <v>46167</v>
      </c>
      <c r="D667" t="inlineStr">
        <is>
          <t>STOCKHOLMS LÄN</t>
        </is>
      </c>
      <c r="E667" t="inlineStr">
        <is>
          <t>NORRTÄLJE</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55599-2025</t>
        </is>
      </c>
      <c r="B668" s="1" t="n">
        <v>45971.76810185185</v>
      </c>
      <c r="C668" s="1" t="n">
        <v>46167</v>
      </c>
      <c r="D668" t="inlineStr">
        <is>
          <t>STOCKHOLMS LÄN</t>
        </is>
      </c>
      <c r="E668" t="inlineStr">
        <is>
          <t>NORRTÄLJE</t>
        </is>
      </c>
      <c r="F668" t="inlineStr">
        <is>
          <t>Holmen skog AB</t>
        </is>
      </c>
      <c r="G668" t="n">
        <v>6.4</v>
      </c>
      <c r="H668" t="n">
        <v>0</v>
      </c>
      <c r="I668" t="n">
        <v>0</v>
      </c>
      <c r="J668" t="n">
        <v>0</v>
      </c>
      <c r="K668" t="n">
        <v>0</v>
      </c>
      <c r="L668" t="n">
        <v>0</v>
      </c>
      <c r="M668" t="n">
        <v>0</v>
      </c>
      <c r="N668" t="n">
        <v>0</v>
      </c>
      <c r="O668" t="n">
        <v>0</v>
      </c>
      <c r="P668" t="n">
        <v>0</v>
      </c>
      <c r="Q668" t="n">
        <v>0</v>
      </c>
      <c r="R668" s="2" t="inlineStr"/>
    </row>
    <row r="669" ht="15" customHeight="1">
      <c r="A669" t="inlineStr">
        <is>
          <t>A 56114-2025</t>
        </is>
      </c>
      <c r="B669" s="1" t="n">
        <v>45973.74474537037</v>
      </c>
      <c r="C669" s="1" t="n">
        <v>46167</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30620-2022</t>
        </is>
      </c>
      <c r="B670" s="1" t="n">
        <v>44763.40914351852</v>
      </c>
      <c r="C670" s="1" t="n">
        <v>46167</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50113-2024</t>
        </is>
      </c>
      <c r="B671" s="1" t="n">
        <v>45600.411875</v>
      </c>
      <c r="C671" s="1" t="n">
        <v>46167</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28365-2022</t>
        </is>
      </c>
      <c r="B672" s="1" t="n">
        <v>44747</v>
      </c>
      <c r="C672" s="1" t="n">
        <v>46167</v>
      </c>
      <c r="D672" t="inlineStr">
        <is>
          <t>STOCKHOLMS LÄN</t>
        </is>
      </c>
      <c r="E672" t="inlineStr">
        <is>
          <t>NORRTÄLJE</t>
        </is>
      </c>
      <c r="G672" t="n">
        <v>5.1</v>
      </c>
      <c r="H672" t="n">
        <v>0</v>
      </c>
      <c r="I672" t="n">
        <v>0</v>
      </c>
      <c r="J672" t="n">
        <v>0</v>
      </c>
      <c r="K672" t="n">
        <v>0</v>
      </c>
      <c r="L672" t="n">
        <v>0</v>
      </c>
      <c r="M672" t="n">
        <v>0</v>
      </c>
      <c r="N672" t="n">
        <v>0</v>
      </c>
      <c r="O672" t="n">
        <v>0</v>
      </c>
      <c r="P672" t="n">
        <v>0</v>
      </c>
      <c r="Q672" t="n">
        <v>0</v>
      </c>
      <c r="R672" s="2" t="inlineStr"/>
    </row>
    <row r="673" ht="15" customHeight="1">
      <c r="A673" t="inlineStr">
        <is>
          <t>A 42955-2022</t>
        </is>
      </c>
      <c r="B673" s="1" t="n">
        <v>44833.40876157407</v>
      </c>
      <c r="C673" s="1" t="n">
        <v>46167</v>
      </c>
      <c r="D673" t="inlineStr">
        <is>
          <t>STOCKHOLMS LÄN</t>
        </is>
      </c>
      <c r="E673" t="inlineStr">
        <is>
          <t>NORRTÄLJE</t>
        </is>
      </c>
      <c r="G673" t="n">
        <v>13.1</v>
      </c>
      <c r="H673" t="n">
        <v>0</v>
      </c>
      <c r="I673" t="n">
        <v>0</v>
      </c>
      <c r="J673" t="n">
        <v>0</v>
      </c>
      <c r="K673" t="n">
        <v>0</v>
      </c>
      <c r="L673" t="n">
        <v>0</v>
      </c>
      <c r="M673" t="n">
        <v>0</v>
      </c>
      <c r="N673" t="n">
        <v>0</v>
      </c>
      <c r="O673" t="n">
        <v>0</v>
      </c>
      <c r="P673" t="n">
        <v>0</v>
      </c>
      <c r="Q673" t="n">
        <v>0</v>
      </c>
      <c r="R673" s="2" t="inlineStr"/>
    </row>
    <row r="674" ht="15" customHeight="1">
      <c r="A674" t="inlineStr">
        <is>
          <t>A 1283-2025</t>
        </is>
      </c>
      <c r="B674" s="1" t="n">
        <v>45667.49878472222</v>
      </c>
      <c r="C674" s="1" t="n">
        <v>46167</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13767-2025</t>
        </is>
      </c>
      <c r="B675" s="1" t="n">
        <v>45737.43347222222</v>
      </c>
      <c r="C675" s="1" t="n">
        <v>46167</v>
      </c>
      <c r="D675" t="inlineStr">
        <is>
          <t>STOCKHOLMS LÄN</t>
        </is>
      </c>
      <c r="E675" t="inlineStr">
        <is>
          <t>NORRTÄLJE</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46167</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20013-2025</t>
        </is>
      </c>
      <c r="B677" s="1" t="n">
        <v>45772.30436342592</v>
      </c>
      <c r="C677" s="1" t="n">
        <v>46167</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53362-2023</t>
        </is>
      </c>
      <c r="B678" s="1" t="n">
        <v>45223</v>
      </c>
      <c r="C678" s="1" t="n">
        <v>46167</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15422-2024</t>
        </is>
      </c>
      <c r="B679" s="1" t="n">
        <v>45401.3653125</v>
      </c>
      <c r="C679" s="1" t="n">
        <v>46167</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30508-2023</t>
        </is>
      </c>
      <c r="B680" s="1" t="n">
        <v>45111</v>
      </c>
      <c r="C680" s="1" t="n">
        <v>46167</v>
      </c>
      <c r="D680" t="inlineStr">
        <is>
          <t>STOCKHOLMS LÄN</t>
        </is>
      </c>
      <c r="E680" t="inlineStr">
        <is>
          <t>NORRTÄLJE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16008-2025</t>
        </is>
      </c>
      <c r="B681" s="1" t="n">
        <v>45749</v>
      </c>
      <c r="C681" s="1" t="n">
        <v>46167</v>
      </c>
      <c r="D681" t="inlineStr">
        <is>
          <t>STOCKHOLMS LÄN</t>
        </is>
      </c>
      <c r="E681" t="inlineStr">
        <is>
          <t>NORRTÄLJE</t>
        </is>
      </c>
      <c r="F681" t="inlineStr">
        <is>
          <t>Holmen skog AB</t>
        </is>
      </c>
      <c r="G681" t="n">
        <v>0.9</v>
      </c>
      <c r="H681" t="n">
        <v>0</v>
      </c>
      <c r="I681" t="n">
        <v>0</v>
      </c>
      <c r="J681" t="n">
        <v>0</v>
      </c>
      <c r="K681" t="n">
        <v>0</v>
      </c>
      <c r="L681" t="n">
        <v>0</v>
      </c>
      <c r="M681" t="n">
        <v>0</v>
      </c>
      <c r="N681" t="n">
        <v>0</v>
      </c>
      <c r="O681" t="n">
        <v>0</v>
      </c>
      <c r="P681" t="n">
        <v>0</v>
      </c>
      <c r="Q681" t="n">
        <v>0</v>
      </c>
      <c r="R681" s="2" t="inlineStr"/>
    </row>
    <row r="682" ht="15" customHeight="1">
      <c r="A682" t="inlineStr">
        <is>
          <t>A 21158-2022</t>
        </is>
      </c>
      <c r="B682" s="1" t="n">
        <v>44704</v>
      </c>
      <c r="C682" s="1" t="n">
        <v>46167</v>
      </c>
      <c r="D682" t="inlineStr">
        <is>
          <t>STOCKHOLMS LÄN</t>
        </is>
      </c>
      <c r="E682" t="inlineStr">
        <is>
          <t>NORRTÄLJE</t>
        </is>
      </c>
      <c r="G682" t="n">
        <v>17.8</v>
      </c>
      <c r="H682" t="n">
        <v>0</v>
      </c>
      <c r="I682" t="n">
        <v>0</v>
      </c>
      <c r="J682" t="n">
        <v>0</v>
      </c>
      <c r="K682" t="n">
        <v>0</v>
      </c>
      <c r="L682" t="n">
        <v>0</v>
      </c>
      <c r="M682" t="n">
        <v>0</v>
      </c>
      <c r="N682" t="n">
        <v>0</v>
      </c>
      <c r="O682" t="n">
        <v>0</v>
      </c>
      <c r="P682" t="n">
        <v>0</v>
      </c>
      <c r="Q682" t="n">
        <v>0</v>
      </c>
      <c r="R682" s="2" t="inlineStr"/>
    </row>
    <row r="683" ht="15" customHeight="1">
      <c r="A683" t="inlineStr">
        <is>
          <t>A 32101-2022</t>
        </is>
      </c>
      <c r="B683" s="1" t="n">
        <v>44778.69210648148</v>
      </c>
      <c r="C683" s="1" t="n">
        <v>46167</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23150-2024</t>
        </is>
      </c>
      <c r="B684" s="1" t="n">
        <v>45450.64643518518</v>
      </c>
      <c r="C684" s="1" t="n">
        <v>46167</v>
      </c>
      <c r="D684" t="inlineStr">
        <is>
          <t>STOCKHOLMS LÄN</t>
        </is>
      </c>
      <c r="E684" t="inlineStr">
        <is>
          <t>NORRTÄLJE</t>
        </is>
      </c>
      <c r="F684" t="inlineStr">
        <is>
          <t>Kommuner</t>
        </is>
      </c>
      <c r="G684" t="n">
        <v>2.7</v>
      </c>
      <c r="H684" t="n">
        <v>0</v>
      </c>
      <c r="I684" t="n">
        <v>0</v>
      </c>
      <c r="J684" t="n">
        <v>0</v>
      </c>
      <c r="K684" t="n">
        <v>0</v>
      </c>
      <c r="L684" t="n">
        <v>0</v>
      </c>
      <c r="M684" t="n">
        <v>0</v>
      </c>
      <c r="N684" t="n">
        <v>0</v>
      </c>
      <c r="O684" t="n">
        <v>0</v>
      </c>
      <c r="P684" t="n">
        <v>0</v>
      </c>
      <c r="Q684" t="n">
        <v>0</v>
      </c>
      <c r="R684" s="2" t="inlineStr"/>
    </row>
    <row r="685" ht="15" customHeight="1">
      <c r="A685" t="inlineStr">
        <is>
          <t>A 24933-2023</t>
        </is>
      </c>
      <c r="B685" s="1" t="n">
        <v>45085.5309375</v>
      </c>
      <c r="C685" s="1" t="n">
        <v>46167</v>
      </c>
      <c r="D685" t="inlineStr">
        <is>
          <t>STOCKHOLMS LÄN</t>
        </is>
      </c>
      <c r="E685" t="inlineStr">
        <is>
          <t>NORRTÄLJE</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56631-2024</t>
        </is>
      </c>
      <c r="B686" s="1" t="n">
        <v>45625</v>
      </c>
      <c r="C686" s="1" t="n">
        <v>46167</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652-2025</t>
        </is>
      </c>
      <c r="B687" s="1" t="n">
        <v>45664</v>
      </c>
      <c r="C687" s="1" t="n">
        <v>46167</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58403-2025</t>
        </is>
      </c>
      <c r="B688" s="1" t="n">
        <v>45985.56777777777</v>
      </c>
      <c r="C688" s="1" t="n">
        <v>46167</v>
      </c>
      <c r="D688" t="inlineStr">
        <is>
          <t>STOCKHOLMS LÄN</t>
        </is>
      </c>
      <c r="E688" t="inlineStr">
        <is>
          <t>NORRTÄLJE</t>
        </is>
      </c>
      <c r="F688" t="inlineStr">
        <is>
          <t>Naturvårdsverket</t>
        </is>
      </c>
      <c r="G688" t="n">
        <v>13.5</v>
      </c>
      <c r="H688" t="n">
        <v>0</v>
      </c>
      <c r="I688" t="n">
        <v>0</v>
      </c>
      <c r="J688" t="n">
        <v>0</v>
      </c>
      <c r="K688" t="n">
        <v>0</v>
      </c>
      <c r="L688" t="n">
        <v>0</v>
      </c>
      <c r="M688" t="n">
        <v>0</v>
      </c>
      <c r="N688" t="n">
        <v>0</v>
      </c>
      <c r="O688" t="n">
        <v>0</v>
      </c>
      <c r="P688" t="n">
        <v>0</v>
      </c>
      <c r="Q688" t="n">
        <v>0</v>
      </c>
      <c r="R688" s="2" t="inlineStr"/>
    </row>
    <row r="689" ht="15" customHeight="1">
      <c r="A689" t="inlineStr">
        <is>
          <t>A 58142-2025</t>
        </is>
      </c>
      <c r="B689" s="1" t="n">
        <v>45982.63791666667</v>
      </c>
      <c r="C689" s="1" t="n">
        <v>46167</v>
      </c>
      <c r="D689" t="inlineStr">
        <is>
          <t>STOCKHOLMS LÄN</t>
        </is>
      </c>
      <c r="E689" t="inlineStr">
        <is>
          <t>NORRTÄLJE</t>
        </is>
      </c>
      <c r="G689" t="n">
        <v>3.3</v>
      </c>
      <c r="H689" t="n">
        <v>0</v>
      </c>
      <c r="I689" t="n">
        <v>0</v>
      </c>
      <c r="J689" t="n">
        <v>0</v>
      </c>
      <c r="K689" t="n">
        <v>0</v>
      </c>
      <c r="L689" t="n">
        <v>0</v>
      </c>
      <c r="M689" t="n">
        <v>0</v>
      </c>
      <c r="N689" t="n">
        <v>0</v>
      </c>
      <c r="O689" t="n">
        <v>0</v>
      </c>
      <c r="P689" t="n">
        <v>0</v>
      </c>
      <c r="Q689" t="n">
        <v>0</v>
      </c>
      <c r="R689" s="2" t="inlineStr"/>
    </row>
    <row r="690" ht="15" customHeight="1">
      <c r="A690" t="inlineStr">
        <is>
          <t>A 57953-2025</t>
        </is>
      </c>
      <c r="B690" s="1" t="n">
        <v>45982.35016203704</v>
      </c>
      <c r="C690" s="1" t="n">
        <v>46167</v>
      </c>
      <c r="D690" t="inlineStr">
        <is>
          <t>STOCKHOLMS LÄN</t>
        </is>
      </c>
      <c r="E690" t="inlineStr">
        <is>
          <t>NORRTÄLJE</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58939-2025</t>
        </is>
      </c>
      <c r="B691" s="1" t="n">
        <v>45987.5681712963</v>
      </c>
      <c r="C691" s="1" t="n">
        <v>46167</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5389-2025</t>
        </is>
      </c>
      <c r="B692" s="1" t="n">
        <v>45692</v>
      </c>
      <c r="C692" s="1" t="n">
        <v>46167</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11499-2023</t>
        </is>
      </c>
      <c r="B693" s="1" t="n">
        <v>44993.66707175926</v>
      </c>
      <c r="C693" s="1" t="n">
        <v>46167</v>
      </c>
      <c r="D693" t="inlineStr">
        <is>
          <t>STOCKHOLMS LÄN</t>
        </is>
      </c>
      <c r="E693" t="inlineStr">
        <is>
          <t>NORRTÄLJE</t>
        </is>
      </c>
      <c r="F693" t="inlineStr">
        <is>
          <t>Holmen skog AB</t>
        </is>
      </c>
      <c r="G693" t="n">
        <v>2.8</v>
      </c>
      <c r="H693" t="n">
        <v>0</v>
      </c>
      <c r="I693" t="n">
        <v>0</v>
      </c>
      <c r="J693" t="n">
        <v>0</v>
      </c>
      <c r="K693" t="n">
        <v>0</v>
      </c>
      <c r="L693" t="n">
        <v>0</v>
      </c>
      <c r="M693" t="n">
        <v>0</v>
      </c>
      <c r="N693" t="n">
        <v>0</v>
      </c>
      <c r="O693" t="n">
        <v>0</v>
      </c>
      <c r="P693" t="n">
        <v>0</v>
      </c>
      <c r="Q693" t="n">
        <v>0</v>
      </c>
      <c r="R693" s="2" t="inlineStr"/>
    </row>
    <row r="694" ht="15" customHeight="1">
      <c r="A694" t="inlineStr">
        <is>
          <t>A 576-2023</t>
        </is>
      </c>
      <c r="B694" s="1" t="n">
        <v>44925</v>
      </c>
      <c r="C694" s="1" t="n">
        <v>46167</v>
      </c>
      <c r="D694" t="inlineStr">
        <is>
          <t>STOCKHOLMS LÄN</t>
        </is>
      </c>
      <c r="E694" t="inlineStr">
        <is>
          <t>NORRTÄLJE</t>
        </is>
      </c>
      <c r="G694" t="n">
        <v>7.2</v>
      </c>
      <c r="H694" t="n">
        <v>0</v>
      </c>
      <c r="I694" t="n">
        <v>0</v>
      </c>
      <c r="J694" t="n">
        <v>0</v>
      </c>
      <c r="K694" t="n">
        <v>0</v>
      </c>
      <c r="L694" t="n">
        <v>0</v>
      </c>
      <c r="M694" t="n">
        <v>0</v>
      </c>
      <c r="N694" t="n">
        <v>0</v>
      </c>
      <c r="O694" t="n">
        <v>0</v>
      </c>
      <c r="P694" t="n">
        <v>0</v>
      </c>
      <c r="Q694" t="n">
        <v>0</v>
      </c>
      <c r="R694" s="2" t="inlineStr"/>
    </row>
    <row r="695" ht="15" customHeight="1">
      <c r="A695" t="inlineStr">
        <is>
          <t>A 10678-2025</t>
        </is>
      </c>
      <c r="B695" s="1" t="n">
        <v>45721.89123842592</v>
      </c>
      <c r="C695" s="1" t="n">
        <v>46167</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31936-2022</t>
        </is>
      </c>
      <c r="B696" s="1" t="n">
        <v>44777</v>
      </c>
      <c r="C696" s="1" t="n">
        <v>46167</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59873-2024</t>
        </is>
      </c>
      <c r="B697" s="1" t="n">
        <v>45640.57305555556</v>
      </c>
      <c r="C697" s="1" t="n">
        <v>46167</v>
      </c>
      <c r="D697" t="inlineStr">
        <is>
          <t>STOCKHOLMS LÄN</t>
        </is>
      </c>
      <c r="E697" t="inlineStr">
        <is>
          <t>NORRTÄLJE</t>
        </is>
      </c>
      <c r="G697" t="n">
        <v>3.3</v>
      </c>
      <c r="H697" t="n">
        <v>0</v>
      </c>
      <c r="I697" t="n">
        <v>0</v>
      </c>
      <c r="J697" t="n">
        <v>0</v>
      </c>
      <c r="K697" t="n">
        <v>0</v>
      </c>
      <c r="L697" t="n">
        <v>0</v>
      </c>
      <c r="M697" t="n">
        <v>0</v>
      </c>
      <c r="N697" t="n">
        <v>0</v>
      </c>
      <c r="O697" t="n">
        <v>0</v>
      </c>
      <c r="P697" t="n">
        <v>0</v>
      </c>
      <c r="Q697" t="n">
        <v>0</v>
      </c>
      <c r="R697" s="2" t="inlineStr"/>
    </row>
    <row r="698" ht="15" customHeight="1">
      <c r="A698" t="inlineStr">
        <is>
          <t>A 35916-2024</t>
        </is>
      </c>
      <c r="B698" s="1" t="n">
        <v>45533</v>
      </c>
      <c r="C698" s="1" t="n">
        <v>46167</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10098-2022</t>
        </is>
      </c>
      <c r="B699" s="1" t="n">
        <v>44621</v>
      </c>
      <c r="C699" s="1" t="n">
        <v>46167</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59041-2025</t>
        </is>
      </c>
      <c r="B700" s="1" t="n">
        <v>45988</v>
      </c>
      <c r="C700" s="1" t="n">
        <v>46167</v>
      </c>
      <c r="D700" t="inlineStr">
        <is>
          <t>STOCKHOLMS LÄN</t>
        </is>
      </c>
      <c r="E700" t="inlineStr">
        <is>
          <t>NORRTÄLJE</t>
        </is>
      </c>
      <c r="G700" t="n">
        <v>6.6</v>
      </c>
      <c r="H700" t="n">
        <v>0</v>
      </c>
      <c r="I700" t="n">
        <v>0</v>
      </c>
      <c r="J700" t="n">
        <v>0</v>
      </c>
      <c r="K700" t="n">
        <v>0</v>
      </c>
      <c r="L700" t="n">
        <v>0</v>
      </c>
      <c r="M700" t="n">
        <v>0</v>
      </c>
      <c r="N700" t="n">
        <v>0</v>
      </c>
      <c r="O700" t="n">
        <v>0</v>
      </c>
      <c r="P700" t="n">
        <v>0</v>
      </c>
      <c r="Q700" t="n">
        <v>0</v>
      </c>
      <c r="R700" s="2" t="inlineStr"/>
    </row>
    <row r="701" ht="15" customHeight="1">
      <c r="A701" t="inlineStr">
        <is>
          <t>A 63161-2023</t>
        </is>
      </c>
      <c r="B701" s="1" t="n">
        <v>45273</v>
      </c>
      <c r="C701" s="1" t="n">
        <v>46167</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59914-2025</t>
        </is>
      </c>
      <c r="B702" s="1" t="n">
        <v>45993.37056712963</v>
      </c>
      <c r="C702" s="1" t="n">
        <v>46167</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59672-2025</t>
        </is>
      </c>
      <c r="B703" s="1" t="n">
        <v>45992.45884259259</v>
      </c>
      <c r="C703" s="1" t="n">
        <v>46167</v>
      </c>
      <c r="D703" t="inlineStr">
        <is>
          <t>STOCKHOLMS LÄN</t>
        </is>
      </c>
      <c r="E703" t="inlineStr">
        <is>
          <t>NORRTÄLJE</t>
        </is>
      </c>
      <c r="G703" t="n">
        <v>4</v>
      </c>
      <c r="H703" t="n">
        <v>0</v>
      </c>
      <c r="I703" t="n">
        <v>0</v>
      </c>
      <c r="J703" t="n">
        <v>0</v>
      </c>
      <c r="K703" t="n">
        <v>0</v>
      </c>
      <c r="L703" t="n">
        <v>0</v>
      </c>
      <c r="M703" t="n">
        <v>0</v>
      </c>
      <c r="N703" t="n">
        <v>0</v>
      </c>
      <c r="O703" t="n">
        <v>0</v>
      </c>
      <c r="P703" t="n">
        <v>0</v>
      </c>
      <c r="Q703" t="n">
        <v>0</v>
      </c>
      <c r="R703" s="2" t="inlineStr"/>
    </row>
    <row r="704" ht="15" customHeight="1">
      <c r="A704" t="inlineStr">
        <is>
          <t>A 57788-2025</t>
        </is>
      </c>
      <c r="B704" s="1" t="n">
        <v>45981.5778125</v>
      </c>
      <c r="C704" s="1" t="n">
        <v>46167</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59907-2025</t>
        </is>
      </c>
      <c r="B705" s="1" t="n">
        <v>45993.35350694445</v>
      </c>
      <c r="C705" s="1" t="n">
        <v>46167</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7796-2025</t>
        </is>
      </c>
      <c r="B706" s="1" t="n">
        <v>45706.60130787037</v>
      </c>
      <c r="C706" s="1" t="n">
        <v>46167</v>
      </c>
      <c r="D706" t="inlineStr">
        <is>
          <t>STOCKHOLMS LÄN</t>
        </is>
      </c>
      <c r="E706" t="inlineStr">
        <is>
          <t>NORRTÄLJE</t>
        </is>
      </c>
      <c r="F706" t="inlineStr">
        <is>
          <t>Holmen skog AB</t>
        </is>
      </c>
      <c r="G706" t="n">
        <v>2.4</v>
      </c>
      <c r="H706" t="n">
        <v>0</v>
      </c>
      <c r="I706" t="n">
        <v>0</v>
      </c>
      <c r="J706" t="n">
        <v>0</v>
      </c>
      <c r="K706" t="n">
        <v>0</v>
      </c>
      <c r="L706" t="n">
        <v>0</v>
      </c>
      <c r="M706" t="n">
        <v>0</v>
      </c>
      <c r="N706" t="n">
        <v>0</v>
      </c>
      <c r="O706" t="n">
        <v>0</v>
      </c>
      <c r="P706" t="n">
        <v>0</v>
      </c>
      <c r="Q706" t="n">
        <v>0</v>
      </c>
      <c r="R706" s="2" t="inlineStr"/>
    </row>
    <row r="707" ht="15" customHeight="1">
      <c r="A707" t="inlineStr">
        <is>
          <t>A 58040-2024</t>
        </is>
      </c>
      <c r="B707" s="1" t="n">
        <v>45631.73952546297</v>
      </c>
      <c r="C707" s="1" t="n">
        <v>46167</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58041-2024</t>
        </is>
      </c>
      <c r="B708" s="1" t="n">
        <v>45631.74673611111</v>
      </c>
      <c r="C708" s="1" t="n">
        <v>46167</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30268-2024</t>
        </is>
      </c>
      <c r="B709" s="1" t="n">
        <v>45490.60572916667</v>
      </c>
      <c r="C709" s="1" t="n">
        <v>46167</v>
      </c>
      <c r="D709" t="inlineStr">
        <is>
          <t>STOCKHOLMS LÄN</t>
        </is>
      </c>
      <c r="E709" t="inlineStr">
        <is>
          <t>NORRTÄLJE</t>
        </is>
      </c>
      <c r="G709" t="n">
        <v>5.6</v>
      </c>
      <c r="H709" t="n">
        <v>0</v>
      </c>
      <c r="I709" t="n">
        <v>0</v>
      </c>
      <c r="J709" t="n">
        <v>0</v>
      </c>
      <c r="K709" t="n">
        <v>0</v>
      </c>
      <c r="L709" t="n">
        <v>0</v>
      </c>
      <c r="M709" t="n">
        <v>0</v>
      </c>
      <c r="N709" t="n">
        <v>0</v>
      </c>
      <c r="O709" t="n">
        <v>0</v>
      </c>
      <c r="P709" t="n">
        <v>0</v>
      </c>
      <c r="Q709" t="n">
        <v>0</v>
      </c>
      <c r="R709" s="2" t="inlineStr"/>
    </row>
    <row r="710" ht="15" customHeight="1">
      <c r="A710" t="inlineStr">
        <is>
          <t>A 12407-2025</t>
        </is>
      </c>
      <c r="B710" s="1" t="n">
        <v>45730.42851851852</v>
      </c>
      <c r="C710" s="1" t="n">
        <v>46167</v>
      </c>
      <c r="D710" t="inlineStr">
        <is>
          <t>STOCKHOLMS LÄN</t>
        </is>
      </c>
      <c r="E710" t="inlineStr">
        <is>
          <t>NORRTÄLJE</t>
        </is>
      </c>
      <c r="F710" t="inlineStr">
        <is>
          <t>Holmen skog AB</t>
        </is>
      </c>
      <c r="G710" t="n">
        <v>2.6</v>
      </c>
      <c r="H710" t="n">
        <v>0</v>
      </c>
      <c r="I710" t="n">
        <v>0</v>
      </c>
      <c r="J710" t="n">
        <v>0</v>
      </c>
      <c r="K710" t="n">
        <v>0</v>
      </c>
      <c r="L710" t="n">
        <v>0</v>
      </c>
      <c r="M710" t="n">
        <v>0</v>
      </c>
      <c r="N710" t="n">
        <v>0</v>
      </c>
      <c r="O710" t="n">
        <v>0</v>
      </c>
      <c r="P710" t="n">
        <v>0</v>
      </c>
      <c r="Q710" t="n">
        <v>0</v>
      </c>
      <c r="R710" s="2" t="inlineStr"/>
    </row>
    <row r="711" ht="15" customHeight="1">
      <c r="A711" t="inlineStr">
        <is>
          <t>A 59924-2025</t>
        </is>
      </c>
      <c r="B711" s="1" t="n">
        <v>45993.38928240741</v>
      </c>
      <c r="C711" s="1" t="n">
        <v>46167</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19025-2025</t>
        </is>
      </c>
      <c r="B712" s="1" t="n">
        <v>45764.6359837963</v>
      </c>
      <c r="C712" s="1" t="n">
        <v>46167</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54276-2021</t>
        </is>
      </c>
      <c r="B713" s="1" t="n">
        <v>44470</v>
      </c>
      <c r="C713" s="1" t="n">
        <v>46167</v>
      </c>
      <c r="D713" t="inlineStr">
        <is>
          <t>STOCKHOLMS LÄN</t>
        </is>
      </c>
      <c r="E713" t="inlineStr">
        <is>
          <t>NORRTÄLJE</t>
        </is>
      </c>
      <c r="G713" t="n">
        <v>7.3</v>
      </c>
      <c r="H713" t="n">
        <v>0</v>
      </c>
      <c r="I713" t="n">
        <v>0</v>
      </c>
      <c r="J713" t="n">
        <v>0</v>
      </c>
      <c r="K713" t="n">
        <v>0</v>
      </c>
      <c r="L713" t="n">
        <v>0</v>
      </c>
      <c r="M713" t="n">
        <v>0</v>
      </c>
      <c r="N713" t="n">
        <v>0</v>
      </c>
      <c r="O713" t="n">
        <v>0</v>
      </c>
      <c r="P713" t="n">
        <v>0</v>
      </c>
      <c r="Q713" t="n">
        <v>0</v>
      </c>
      <c r="R713" s="2" t="inlineStr"/>
    </row>
    <row r="714" ht="15" customHeight="1">
      <c r="A714" t="inlineStr">
        <is>
          <t>A 4316-2023</t>
        </is>
      </c>
      <c r="B714" s="1" t="n">
        <v>44953.67443287037</v>
      </c>
      <c r="C714" s="1" t="n">
        <v>46167</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60253-2025</t>
        </is>
      </c>
      <c r="B715" s="1" t="n">
        <v>45994.59827546297</v>
      </c>
      <c r="C715" s="1" t="n">
        <v>46167</v>
      </c>
      <c r="D715" t="inlineStr">
        <is>
          <t>STOCKHOLMS LÄN</t>
        </is>
      </c>
      <c r="E715" t="inlineStr">
        <is>
          <t>NORRTÄLJE</t>
        </is>
      </c>
      <c r="F715" t="inlineStr">
        <is>
          <t>Holmen skog AB</t>
        </is>
      </c>
      <c r="G715" t="n">
        <v>3.6</v>
      </c>
      <c r="H715" t="n">
        <v>0</v>
      </c>
      <c r="I715" t="n">
        <v>0</v>
      </c>
      <c r="J715" t="n">
        <v>0</v>
      </c>
      <c r="K715" t="n">
        <v>0</v>
      </c>
      <c r="L715" t="n">
        <v>0</v>
      </c>
      <c r="M715" t="n">
        <v>0</v>
      </c>
      <c r="N715" t="n">
        <v>0</v>
      </c>
      <c r="O715" t="n">
        <v>0</v>
      </c>
      <c r="P715" t="n">
        <v>0</v>
      </c>
      <c r="Q715" t="n">
        <v>0</v>
      </c>
      <c r="R715" s="2" t="inlineStr"/>
    </row>
    <row r="716" ht="15" customHeight="1">
      <c r="A716" t="inlineStr">
        <is>
          <t>A 41587-2023</t>
        </is>
      </c>
      <c r="B716" s="1" t="n">
        <v>45175</v>
      </c>
      <c r="C716" s="1" t="n">
        <v>46167</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60214-2025</t>
        </is>
      </c>
      <c r="B717" s="1" t="n">
        <v>45994.53761574074</v>
      </c>
      <c r="C717" s="1" t="n">
        <v>46167</v>
      </c>
      <c r="D717" t="inlineStr">
        <is>
          <t>STOCKHOLMS LÄN</t>
        </is>
      </c>
      <c r="E717" t="inlineStr">
        <is>
          <t>NORRTÄLJE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60223-2025</t>
        </is>
      </c>
      <c r="B718" s="1" t="n">
        <v>45994.54497685185</v>
      </c>
      <c r="C718" s="1" t="n">
        <v>46167</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17304-2024</t>
        </is>
      </c>
      <c r="B719" s="1" t="n">
        <v>45414</v>
      </c>
      <c r="C719" s="1" t="n">
        <v>46167</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60745-2025</t>
        </is>
      </c>
      <c r="B720" s="1" t="n">
        <v>45999.37753472223</v>
      </c>
      <c r="C720" s="1" t="n">
        <v>46167</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60649-2025</t>
        </is>
      </c>
      <c r="B721" s="1" t="n">
        <v>45996.4560300926</v>
      </c>
      <c r="C721" s="1" t="n">
        <v>46167</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60948-2025</t>
        </is>
      </c>
      <c r="B722" s="1" t="n">
        <v>45999.650625</v>
      </c>
      <c r="C722" s="1" t="n">
        <v>46167</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11280-2023</t>
        </is>
      </c>
      <c r="B723" s="1" t="n">
        <v>44992</v>
      </c>
      <c r="C723" s="1" t="n">
        <v>46167</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60928-2025</t>
        </is>
      </c>
      <c r="B724" s="1" t="n">
        <v>45999.633125</v>
      </c>
      <c r="C724" s="1" t="n">
        <v>46167</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26668-2024</t>
        </is>
      </c>
      <c r="B725" s="1" t="n">
        <v>45469</v>
      </c>
      <c r="C725" s="1" t="n">
        <v>46167</v>
      </c>
      <c r="D725" t="inlineStr">
        <is>
          <t>STOCKHOLMS LÄN</t>
        </is>
      </c>
      <c r="E725" t="inlineStr">
        <is>
          <t>NORRTÄLJE</t>
        </is>
      </c>
      <c r="G725" t="n">
        <v>4.8</v>
      </c>
      <c r="H725" t="n">
        <v>0</v>
      </c>
      <c r="I725" t="n">
        <v>0</v>
      </c>
      <c r="J725" t="n">
        <v>0</v>
      </c>
      <c r="K725" t="n">
        <v>0</v>
      </c>
      <c r="L725" t="n">
        <v>0</v>
      </c>
      <c r="M725" t="n">
        <v>0</v>
      </c>
      <c r="N725" t="n">
        <v>0</v>
      </c>
      <c r="O725" t="n">
        <v>0</v>
      </c>
      <c r="P725" t="n">
        <v>0</v>
      </c>
      <c r="Q725" t="n">
        <v>0</v>
      </c>
      <c r="R725" s="2" t="inlineStr"/>
    </row>
    <row r="726" ht="15" customHeight="1">
      <c r="A726" t="inlineStr">
        <is>
          <t>A 61160-2025</t>
        </is>
      </c>
      <c r="B726" s="1" t="n">
        <v>46000.55262731481</v>
      </c>
      <c r="C726" s="1" t="n">
        <v>46167</v>
      </c>
      <c r="D726" t="inlineStr">
        <is>
          <t>STOCKHOLMS LÄN</t>
        </is>
      </c>
      <c r="E726" t="inlineStr">
        <is>
          <t>NORRTÄLJE</t>
        </is>
      </c>
      <c r="G726" t="n">
        <v>5.3</v>
      </c>
      <c r="H726" t="n">
        <v>0</v>
      </c>
      <c r="I726" t="n">
        <v>0</v>
      </c>
      <c r="J726" t="n">
        <v>0</v>
      </c>
      <c r="K726" t="n">
        <v>0</v>
      </c>
      <c r="L726" t="n">
        <v>0</v>
      </c>
      <c r="M726" t="n">
        <v>0</v>
      </c>
      <c r="N726" t="n">
        <v>0</v>
      </c>
      <c r="O726" t="n">
        <v>0</v>
      </c>
      <c r="P726" t="n">
        <v>0</v>
      </c>
      <c r="Q726" t="n">
        <v>0</v>
      </c>
      <c r="R726" s="2" t="inlineStr"/>
    </row>
    <row r="727" ht="15" customHeight="1">
      <c r="A727" t="inlineStr">
        <is>
          <t>A 61419-2025</t>
        </is>
      </c>
      <c r="B727" s="1" t="n">
        <v>46001.54137731482</v>
      </c>
      <c r="C727" s="1" t="n">
        <v>46167</v>
      </c>
      <c r="D727" t="inlineStr">
        <is>
          <t>STOCKHOLMS LÄN</t>
        </is>
      </c>
      <c r="E727" t="inlineStr">
        <is>
          <t>NORRTÄLJE</t>
        </is>
      </c>
      <c r="G727" t="n">
        <v>5.2</v>
      </c>
      <c r="H727" t="n">
        <v>0</v>
      </c>
      <c r="I727" t="n">
        <v>0</v>
      </c>
      <c r="J727" t="n">
        <v>0</v>
      </c>
      <c r="K727" t="n">
        <v>0</v>
      </c>
      <c r="L727" t="n">
        <v>0</v>
      </c>
      <c r="M727" t="n">
        <v>0</v>
      </c>
      <c r="N727" t="n">
        <v>0</v>
      </c>
      <c r="O727" t="n">
        <v>0</v>
      </c>
      <c r="P727" t="n">
        <v>0</v>
      </c>
      <c r="Q727" t="n">
        <v>0</v>
      </c>
      <c r="R727" s="2" t="inlineStr"/>
    </row>
    <row r="728" ht="15" customHeight="1">
      <c r="A728" t="inlineStr">
        <is>
          <t>A 61430-2025</t>
        </is>
      </c>
      <c r="B728" s="1" t="n">
        <v>46001.55583333333</v>
      </c>
      <c r="C728" s="1" t="n">
        <v>46167</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31926-2022</t>
        </is>
      </c>
      <c r="B729" s="1" t="n">
        <v>44777</v>
      </c>
      <c r="C729" s="1" t="n">
        <v>46167</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61452-2025</t>
        </is>
      </c>
      <c r="B730" s="1" t="n">
        <v>46001.58043981482</v>
      </c>
      <c r="C730" s="1" t="n">
        <v>46167</v>
      </c>
      <c r="D730" t="inlineStr">
        <is>
          <t>STOCKHOLMS LÄN</t>
        </is>
      </c>
      <c r="E730" t="inlineStr">
        <is>
          <t>NORRTÄLJE</t>
        </is>
      </c>
      <c r="F730" t="inlineStr">
        <is>
          <t>Holmen skog AB</t>
        </is>
      </c>
      <c r="G730" t="n">
        <v>3.7</v>
      </c>
      <c r="H730" t="n">
        <v>0</v>
      </c>
      <c r="I730" t="n">
        <v>0</v>
      </c>
      <c r="J730" t="n">
        <v>0</v>
      </c>
      <c r="K730" t="n">
        <v>0</v>
      </c>
      <c r="L730" t="n">
        <v>0</v>
      </c>
      <c r="M730" t="n">
        <v>0</v>
      </c>
      <c r="N730" t="n">
        <v>0</v>
      </c>
      <c r="O730" t="n">
        <v>0</v>
      </c>
      <c r="P730" t="n">
        <v>0</v>
      </c>
      <c r="Q730" t="n">
        <v>0</v>
      </c>
      <c r="R730" s="2" t="inlineStr"/>
    </row>
    <row r="731" ht="15" customHeight="1">
      <c r="A731" t="inlineStr">
        <is>
          <t>A 21480-2022</t>
        </is>
      </c>
      <c r="B731" s="1" t="n">
        <v>44704</v>
      </c>
      <c r="C731" s="1" t="n">
        <v>46167</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11041-2025</t>
        </is>
      </c>
      <c r="B732" s="1" t="n">
        <v>45723</v>
      </c>
      <c r="C732" s="1" t="n">
        <v>46167</v>
      </c>
      <c r="D732" t="inlineStr">
        <is>
          <t>STOCKHOLMS LÄN</t>
        </is>
      </c>
      <c r="E732" t="inlineStr">
        <is>
          <t>NORRTÄLJE</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61289-2025</t>
        </is>
      </c>
      <c r="B733" s="1" t="n">
        <v>46000.73659722223</v>
      </c>
      <c r="C733" s="1" t="n">
        <v>46167</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61769-2025</t>
        </is>
      </c>
      <c r="B734" s="1" t="n">
        <v>46002.64556712963</v>
      </c>
      <c r="C734" s="1" t="n">
        <v>46167</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24024-2024</t>
        </is>
      </c>
      <c r="B735" s="1" t="n">
        <v>45456</v>
      </c>
      <c r="C735" s="1" t="n">
        <v>46167</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28809-2023</t>
        </is>
      </c>
      <c r="B736" s="1" t="n">
        <v>45104</v>
      </c>
      <c r="C736" s="1" t="n">
        <v>46167</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28813-2023</t>
        </is>
      </c>
      <c r="B737" s="1" t="n">
        <v>45104</v>
      </c>
      <c r="C737" s="1" t="n">
        <v>46167</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40656-2022</t>
        </is>
      </c>
      <c r="B738" s="1" t="n">
        <v>44824.36069444445</v>
      </c>
      <c r="C738" s="1" t="n">
        <v>46167</v>
      </c>
      <c r="D738" t="inlineStr">
        <is>
          <t>STOCKHOLMS LÄN</t>
        </is>
      </c>
      <c r="E738" t="inlineStr">
        <is>
          <t>NORRTÄLJE</t>
        </is>
      </c>
      <c r="G738" t="n">
        <v>2.7</v>
      </c>
      <c r="H738" t="n">
        <v>0</v>
      </c>
      <c r="I738" t="n">
        <v>0</v>
      </c>
      <c r="J738" t="n">
        <v>0</v>
      </c>
      <c r="K738" t="n">
        <v>0</v>
      </c>
      <c r="L738" t="n">
        <v>0</v>
      </c>
      <c r="M738" t="n">
        <v>0</v>
      </c>
      <c r="N738" t="n">
        <v>0</v>
      </c>
      <c r="O738" t="n">
        <v>0</v>
      </c>
      <c r="P738" t="n">
        <v>0</v>
      </c>
      <c r="Q738" t="n">
        <v>0</v>
      </c>
      <c r="R738" s="2" t="inlineStr"/>
    </row>
    <row r="739" ht="15" customHeight="1">
      <c r="A739" t="inlineStr">
        <is>
          <t>A 61764-2025</t>
        </is>
      </c>
      <c r="B739" s="1" t="n">
        <v>46002.62763888889</v>
      </c>
      <c r="C739" s="1" t="n">
        <v>46167</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60694-2024</t>
        </is>
      </c>
      <c r="B740" s="1" t="n">
        <v>45644.47878472223</v>
      </c>
      <c r="C740" s="1" t="n">
        <v>46167</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19450-2025</t>
        </is>
      </c>
      <c r="B741" s="1" t="n">
        <v>45770</v>
      </c>
      <c r="C741" s="1" t="n">
        <v>46167</v>
      </c>
      <c r="D741" t="inlineStr">
        <is>
          <t>STOCKHOLMS LÄN</t>
        </is>
      </c>
      <c r="E741" t="inlineStr">
        <is>
          <t>NORRTÄLJE</t>
        </is>
      </c>
      <c r="G741" t="n">
        <v>5.3</v>
      </c>
      <c r="H741" t="n">
        <v>0</v>
      </c>
      <c r="I741" t="n">
        <v>0</v>
      </c>
      <c r="J741" t="n">
        <v>0</v>
      </c>
      <c r="K741" t="n">
        <v>0</v>
      </c>
      <c r="L741" t="n">
        <v>0</v>
      </c>
      <c r="M741" t="n">
        <v>0</v>
      </c>
      <c r="N741" t="n">
        <v>0</v>
      </c>
      <c r="O741" t="n">
        <v>0</v>
      </c>
      <c r="P741" t="n">
        <v>0</v>
      </c>
      <c r="Q741" t="n">
        <v>0</v>
      </c>
      <c r="R741" s="2" t="inlineStr"/>
    </row>
    <row r="742" ht="15" customHeight="1">
      <c r="A742" t="inlineStr">
        <is>
          <t>A 33279-2025</t>
        </is>
      </c>
      <c r="B742" s="1" t="n">
        <v>45840</v>
      </c>
      <c r="C742" s="1" t="n">
        <v>46167</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53499-2025</t>
        </is>
      </c>
      <c r="B743" s="1" t="n">
        <v>45960</v>
      </c>
      <c r="C743" s="1" t="n">
        <v>46167</v>
      </c>
      <c r="D743" t="inlineStr">
        <is>
          <t>STOCKHOLMS LÄN</t>
        </is>
      </c>
      <c r="E743" t="inlineStr">
        <is>
          <t>NORRTÄLJE</t>
        </is>
      </c>
      <c r="G743" t="n">
        <v>23.8</v>
      </c>
      <c r="H743" t="n">
        <v>0</v>
      </c>
      <c r="I743" t="n">
        <v>0</v>
      </c>
      <c r="J743" t="n">
        <v>0</v>
      </c>
      <c r="K743" t="n">
        <v>0</v>
      </c>
      <c r="L743" t="n">
        <v>0</v>
      </c>
      <c r="M743" t="n">
        <v>0</v>
      </c>
      <c r="N743" t="n">
        <v>0</v>
      </c>
      <c r="O743" t="n">
        <v>0</v>
      </c>
      <c r="P743" t="n">
        <v>0</v>
      </c>
      <c r="Q743" t="n">
        <v>0</v>
      </c>
      <c r="R743" s="2" t="inlineStr"/>
    </row>
    <row r="744" ht="15" customHeight="1">
      <c r="A744" t="inlineStr">
        <is>
          <t>A 62708-2025</t>
        </is>
      </c>
      <c r="B744" s="1" t="n">
        <v>46008.50986111111</v>
      </c>
      <c r="C744" s="1" t="n">
        <v>46167</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34478-2025</t>
        </is>
      </c>
      <c r="B745" s="1" t="n">
        <v>45847</v>
      </c>
      <c r="C745" s="1" t="n">
        <v>46167</v>
      </c>
      <c r="D745" t="inlineStr">
        <is>
          <t>STOCKHOLMS LÄN</t>
        </is>
      </c>
      <c r="E745" t="inlineStr">
        <is>
          <t>NORRTÄLJE</t>
        </is>
      </c>
      <c r="F745" t="inlineStr">
        <is>
          <t>Övriga Aktiebolag</t>
        </is>
      </c>
      <c r="G745" t="n">
        <v>10.8</v>
      </c>
      <c r="H745" t="n">
        <v>0</v>
      </c>
      <c r="I745" t="n">
        <v>0</v>
      </c>
      <c r="J745" t="n">
        <v>0</v>
      </c>
      <c r="K745" t="n">
        <v>0</v>
      </c>
      <c r="L745" t="n">
        <v>0</v>
      </c>
      <c r="M745" t="n">
        <v>0</v>
      </c>
      <c r="N745" t="n">
        <v>0</v>
      </c>
      <c r="O745" t="n">
        <v>0</v>
      </c>
      <c r="P745" t="n">
        <v>0</v>
      </c>
      <c r="Q745" t="n">
        <v>0</v>
      </c>
      <c r="R745" s="2" t="inlineStr"/>
    </row>
    <row r="746" ht="15" customHeight="1">
      <c r="A746" t="inlineStr">
        <is>
          <t>A 62681-2025</t>
        </is>
      </c>
      <c r="B746" s="1" t="n">
        <v>46008.45534722223</v>
      </c>
      <c r="C746" s="1" t="n">
        <v>46167</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62922-2025</t>
        </is>
      </c>
      <c r="B747" s="1" t="n">
        <v>46009.38064814815</v>
      </c>
      <c r="C747" s="1" t="n">
        <v>46167</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33353-2023</t>
        </is>
      </c>
      <c r="B748" s="1" t="n">
        <v>45128</v>
      </c>
      <c r="C748" s="1" t="n">
        <v>46167</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62689-2025</t>
        </is>
      </c>
      <c r="B749" s="1" t="n">
        <v>46008.47171296296</v>
      </c>
      <c r="C749" s="1" t="n">
        <v>46167</v>
      </c>
      <c r="D749" t="inlineStr">
        <is>
          <t>STOCKHOLMS LÄN</t>
        </is>
      </c>
      <c r="E749" t="inlineStr">
        <is>
          <t>NORRTÄLJE</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3966-2024</t>
        </is>
      </c>
      <c r="B750" s="1" t="n">
        <v>45322</v>
      </c>
      <c r="C750" s="1" t="n">
        <v>46167</v>
      </c>
      <c r="D750" t="inlineStr">
        <is>
          <t>STOCKHOLMS LÄN</t>
        </is>
      </c>
      <c r="E750" t="inlineStr">
        <is>
          <t>NORRTÄLJE</t>
        </is>
      </c>
      <c r="G750" t="n">
        <v>5.3</v>
      </c>
      <c r="H750" t="n">
        <v>0</v>
      </c>
      <c r="I750" t="n">
        <v>0</v>
      </c>
      <c r="J750" t="n">
        <v>0</v>
      </c>
      <c r="K750" t="n">
        <v>0</v>
      </c>
      <c r="L750" t="n">
        <v>0</v>
      </c>
      <c r="M750" t="n">
        <v>0</v>
      </c>
      <c r="N750" t="n">
        <v>0</v>
      </c>
      <c r="O750" t="n">
        <v>0</v>
      </c>
      <c r="P750" t="n">
        <v>0</v>
      </c>
      <c r="Q750" t="n">
        <v>0</v>
      </c>
      <c r="R750" s="2" t="inlineStr"/>
    </row>
    <row r="751" ht="15" customHeight="1">
      <c r="A751" t="inlineStr">
        <is>
          <t>A 23262-2023</t>
        </is>
      </c>
      <c r="B751" s="1" t="n">
        <v>45075.90270833333</v>
      </c>
      <c r="C751" s="1" t="n">
        <v>46167</v>
      </c>
      <c r="D751" t="inlineStr">
        <is>
          <t>STOCKHOLMS LÄN</t>
        </is>
      </c>
      <c r="E751" t="inlineStr">
        <is>
          <t>NORRTÄLJE</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23268-2023</t>
        </is>
      </c>
      <c r="B752" s="1" t="n">
        <v>45075.91042824074</v>
      </c>
      <c r="C752" s="1" t="n">
        <v>46167</v>
      </c>
      <c r="D752" t="inlineStr">
        <is>
          <t>STOCKHOLMS LÄN</t>
        </is>
      </c>
      <c r="E752" t="inlineStr">
        <is>
          <t>NORRTÄLJE</t>
        </is>
      </c>
      <c r="G752" t="n">
        <v>3.3</v>
      </c>
      <c r="H752" t="n">
        <v>0</v>
      </c>
      <c r="I752" t="n">
        <v>0</v>
      </c>
      <c r="J752" t="n">
        <v>0</v>
      </c>
      <c r="K752" t="n">
        <v>0</v>
      </c>
      <c r="L752" t="n">
        <v>0</v>
      </c>
      <c r="M752" t="n">
        <v>0</v>
      </c>
      <c r="N752" t="n">
        <v>0</v>
      </c>
      <c r="O752" t="n">
        <v>0</v>
      </c>
      <c r="P752" t="n">
        <v>0</v>
      </c>
      <c r="Q752" t="n">
        <v>0</v>
      </c>
      <c r="R752" s="2" t="inlineStr"/>
    </row>
    <row r="753" ht="15" customHeight="1">
      <c r="A753" t="inlineStr">
        <is>
          <t>A 23270-2023</t>
        </is>
      </c>
      <c r="B753" s="1" t="n">
        <v>45075.91265046296</v>
      </c>
      <c r="C753" s="1" t="n">
        <v>46167</v>
      </c>
      <c r="D753" t="inlineStr">
        <is>
          <t>STOCKHOLMS LÄN</t>
        </is>
      </c>
      <c r="E753" t="inlineStr">
        <is>
          <t>NORRTÄLJE</t>
        </is>
      </c>
      <c r="G753" t="n">
        <v>12.3</v>
      </c>
      <c r="H753" t="n">
        <v>0</v>
      </c>
      <c r="I753" t="n">
        <v>0</v>
      </c>
      <c r="J753" t="n">
        <v>0</v>
      </c>
      <c r="K753" t="n">
        <v>0</v>
      </c>
      <c r="L753" t="n">
        <v>0</v>
      </c>
      <c r="M753" t="n">
        <v>0</v>
      </c>
      <c r="N753" t="n">
        <v>0</v>
      </c>
      <c r="O753" t="n">
        <v>0</v>
      </c>
      <c r="P753" t="n">
        <v>0</v>
      </c>
      <c r="Q753" t="n">
        <v>0</v>
      </c>
      <c r="R753" s="2" t="inlineStr"/>
    </row>
    <row r="754" ht="15" customHeight="1">
      <c r="A754" t="inlineStr">
        <is>
          <t>A 23274-2023</t>
        </is>
      </c>
      <c r="B754" s="1" t="n">
        <v>45075.92153935185</v>
      </c>
      <c r="C754" s="1" t="n">
        <v>46167</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17843-2024</t>
        </is>
      </c>
      <c r="B755" s="1" t="n">
        <v>45418</v>
      </c>
      <c r="C755" s="1" t="n">
        <v>46167</v>
      </c>
      <c r="D755" t="inlineStr">
        <is>
          <t>STOCKHOLMS LÄN</t>
        </is>
      </c>
      <c r="E755" t="inlineStr">
        <is>
          <t>NORRTÄLJE</t>
        </is>
      </c>
      <c r="G755" t="n">
        <v>5.4</v>
      </c>
      <c r="H755" t="n">
        <v>0</v>
      </c>
      <c r="I755" t="n">
        <v>0</v>
      </c>
      <c r="J755" t="n">
        <v>0</v>
      </c>
      <c r="K755" t="n">
        <v>0</v>
      </c>
      <c r="L755" t="n">
        <v>0</v>
      </c>
      <c r="M755" t="n">
        <v>0</v>
      </c>
      <c r="N755" t="n">
        <v>0</v>
      </c>
      <c r="O755" t="n">
        <v>0</v>
      </c>
      <c r="P755" t="n">
        <v>0</v>
      </c>
      <c r="Q755" t="n">
        <v>0</v>
      </c>
      <c r="R755" s="2" t="inlineStr"/>
    </row>
    <row r="756" ht="15" customHeight="1">
      <c r="A756" t="inlineStr">
        <is>
          <t>A 26636-2023</t>
        </is>
      </c>
      <c r="B756" s="1" t="n">
        <v>45092</v>
      </c>
      <c r="C756" s="1" t="n">
        <v>46167</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26637-2023</t>
        </is>
      </c>
      <c r="B757" s="1" t="n">
        <v>45092</v>
      </c>
      <c r="C757" s="1" t="n">
        <v>46167</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72704-2021</t>
        </is>
      </c>
      <c r="B758" s="1" t="n">
        <v>44546</v>
      </c>
      <c r="C758" s="1" t="n">
        <v>46167</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52743-2024</t>
        </is>
      </c>
      <c r="B759" s="1" t="n">
        <v>45610.47414351852</v>
      </c>
      <c r="C759" s="1" t="n">
        <v>46167</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16852-2024</t>
        </is>
      </c>
      <c r="B760" s="1" t="n">
        <v>45411.54768518519</v>
      </c>
      <c r="C760" s="1" t="n">
        <v>46167</v>
      </c>
      <c r="D760" t="inlineStr">
        <is>
          <t>STOCKHOLMS LÄN</t>
        </is>
      </c>
      <c r="E760" t="inlineStr">
        <is>
          <t>NORRTÄLJE</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197-2026</t>
        </is>
      </c>
      <c r="B761" s="1" t="n">
        <v>46026</v>
      </c>
      <c r="C761" s="1" t="n">
        <v>46167</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124-2026</t>
        </is>
      </c>
      <c r="B762" s="1" t="n">
        <v>46024.58378472222</v>
      </c>
      <c r="C762" s="1" t="n">
        <v>46167</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55755-2023</t>
        </is>
      </c>
      <c r="B763" s="1" t="n">
        <v>45239</v>
      </c>
      <c r="C763" s="1" t="n">
        <v>46167</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718-2026</t>
        </is>
      </c>
      <c r="B764" s="1" t="n">
        <v>46029.63174768518</v>
      </c>
      <c r="C764" s="1" t="n">
        <v>46167</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694-2026</t>
        </is>
      </c>
      <c r="B765" s="1" t="n">
        <v>46029.61375</v>
      </c>
      <c r="C765" s="1" t="n">
        <v>46167</v>
      </c>
      <c r="D765" t="inlineStr">
        <is>
          <t>STOCKHOLMS LÄN</t>
        </is>
      </c>
      <c r="E765" t="inlineStr">
        <is>
          <t>NORRTÄLJE</t>
        </is>
      </c>
      <c r="G765" t="n">
        <v>9.6</v>
      </c>
      <c r="H765" t="n">
        <v>0</v>
      </c>
      <c r="I765" t="n">
        <v>0</v>
      </c>
      <c r="J765" t="n">
        <v>0</v>
      </c>
      <c r="K765" t="n">
        <v>0</v>
      </c>
      <c r="L765" t="n">
        <v>0</v>
      </c>
      <c r="M765" t="n">
        <v>0</v>
      </c>
      <c r="N765" t="n">
        <v>0</v>
      </c>
      <c r="O765" t="n">
        <v>0</v>
      </c>
      <c r="P765" t="n">
        <v>0</v>
      </c>
      <c r="Q765" t="n">
        <v>0</v>
      </c>
      <c r="R765" s="2" t="inlineStr"/>
    </row>
    <row r="766" ht="15" customHeight="1">
      <c r="A766" t="inlineStr">
        <is>
          <t>A 693-2026</t>
        </is>
      </c>
      <c r="B766" s="1" t="n">
        <v>46029.6133449074</v>
      </c>
      <c r="C766" s="1" t="n">
        <v>46167</v>
      </c>
      <c r="D766" t="inlineStr">
        <is>
          <t>STOCKHOLMS LÄN</t>
        </is>
      </c>
      <c r="E766" t="inlineStr">
        <is>
          <t>NORRTÄLJE</t>
        </is>
      </c>
      <c r="G766" t="n">
        <v>9.6</v>
      </c>
      <c r="H766" t="n">
        <v>0</v>
      </c>
      <c r="I766" t="n">
        <v>0</v>
      </c>
      <c r="J766" t="n">
        <v>0</v>
      </c>
      <c r="K766" t="n">
        <v>0</v>
      </c>
      <c r="L766" t="n">
        <v>0</v>
      </c>
      <c r="M766" t="n">
        <v>0</v>
      </c>
      <c r="N766" t="n">
        <v>0</v>
      </c>
      <c r="O766" t="n">
        <v>0</v>
      </c>
      <c r="P766" t="n">
        <v>0</v>
      </c>
      <c r="Q766" t="n">
        <v>0</v>
      </c>
      <c r="R766" s="2" t="inlineStr"/>
    </row>
    <row r="767" ht="15" customHeight="1">
      <c r="A767" t="inlineStr">
        <is>
          <t>A 17348-2024</t>
        </is>
      </c>
      <c r="B767" s="1" t="n">
        <v>45414.58650462963</v>
      </c>
      <c r="C767" s="1" t="n">
        <v>46167</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475-2026</t>
        </is>
      </c>
      <c r="B768" s="1" t="n">
        <v>46029.39351851852</v>
      </c>
      <c r="C768" s="1" t="n">
        <v>46167</v>
      </c>
      <c r="D768" t="inlineStr">
        <is>
          <t>STOCKHOLMS LÄN</t>
        </is>
      </c>
      <c r="E768" t="inlineStr">
        <is>
          <t>NORRTÄLJE</t>
        </is>
      </c>
      <c r="G768" t="n">
        <v>4.6</v>
      </c>
      <c r="H768" t="n">
        <v>0</v>
      </c>
      <c r="I768" t="n">
        <v>0</v>
      </c>
      <c r="J768" t="n">
        <v>0</v>
      </c>
      <c r="K768" t="n">
        <v>0</v>
      </c>
      <c r="L768" t="n">
        <v>0</v>
      </c>
      <c r="M768" t="n">
        <v>0</v>
      </c>
      <c r="N768" t="n">
        <v>0</v>
      </c>
      <c r="O768" t="n">
        <v>0</v>
      </c>
      <c r="P768" t="n">
        <v>0</v>
      </c>
      <c r="Q768" t="n">
        <v>0</v>
      </c>
      <c r="R768" s="2" t="inlineStr"/>
    </row>
    <row r="769" ht="15" customHeight="1">
      <c r="A769" t="inlineStr">
        <is>
          <t>A 717-2026</t>
        </is>
      </c>
      <c r="B769" s="1" t="n">
        <v>46029.63028935185</v>
      </c>
      <c r="C769" s="1" t="n">
        <v>46167</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812-2026</t>
        </is>
      </c>
      <c r="B770" s="1" t="n">
        <v>46030.33358796296</v>
      </c>
      <c r="C770" s="1" t="n">
        <v>46167</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13089-2022</t>
        </is>
      </c>
      <c r="B771" s="1" t="n">
        <v>44643</v>
      </c>
      <c r="C771" s="1" t="n">
        <v>46167</v>
      </c>
      <c r="D771" t="inlineStr">
        <is>
          <t>STOCKHOLMS LÄN</t>
        </is>
      </c>
      <c r="E771" t="inlineStr">
        <is>
          <t>NORRTÄLJE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48145-2024</t>
        </is>
      </c>
      <c r="B772" s="1" t="n">
        <v>45589.6756712963</v>
      </c>
      <c r="C772" s="1" t="n">
        <v>46167</v>
      </c>
      <c r="D772" t="inlineStr">
        <is>
          <t>STOCKHOLMS LÄN</t>
        </is>
      </c>
      <c r="E772" t="inlineStr">
        <is>
          <t>NORRTÄLJE</t>
        </is>
      </c>
      <c r="G772" t="n">
        <v>3.4</v>
      </c>
      <c r="H772" t="n">
        <v>0</v>
      </c>
      <c r="I772" t="n">
        <v>0</v>
      </c>
      <c r="J772" t="n">
        <v>0</v>
      </c>
      <c r="K772" t="n">
        <v>0</v>
      </c>
      <c r="L772" t="n">
        <v>0</v>
      </c>
      <c r="M772" t="n">
        <v>0</v>
      </c>
      <c r="N772" t="n">
        <v>0</v>
      </c>
      <c r="O772" t="n">
        <v>0</v>
      </c>
      <c r="P772" t="n">
        <v>0</v>
      </c>
      <c r="Q772" t="n">
        <v>0</v>
      </c>
      <c r="R772" s="2" t="inlineStr"/>
    </row>
    <row r="773" ht="15" customHeight="1">
      <c r="A773" t="inlineStr">
        <is>
          <t>A 23998-2024</t>
        </is>
      </c>
      <c r="B773" s="1" t="n">
        <v>45456</v>
      </c>
      <c r="C773" s="1" t="n">
        <v>46167</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15447-2023</t>
        </is>
      </c>
      <c r="B774" s="1" t="n">
        <v>45020</v>
      </c>
      <c r="C774" s="1" t="n">
        <v>46167</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1755-2026</t>
        </is>
      </c>
      <c r="B775" s="1" t="n">
        <v>46034.66230324074</v>
      </c>
      <c r="C775" s="1" t="n">
        <v>46167</v>
      </c>
      <c r="D775" t="inlineStr">
        <is>
          <t>STOCKHOLMS LÄN</t>
        </is>
      </c>
      <c r="E775" t="inlineStr">
        <is>
          <t>NORRTÄLJE</t>
        </is>
      </c>
      <c r="F775" t="inlineStr">
        <is>
          <t>Holmen skog AB</t>
        </is>
      </c>
      <c r="G775" t="n">
        <v>3.5</v>
      </c>
      <c r="H775" t="n">
        <v>0</v>
      </c>
      <c r="I775" t="n">
        <v>0</v>
      </c>
      <c r="J775" t="n">
        <v>0</v>
      </c>
      <c r="K775" t="n">
        <v>0</v>
      </c>
      <c r="L775" t="n">
        <v>0</v>
      </c>
      <c r="M775" t="n">
        <v>0</v>
      </c>
      <c r="N775" t="n">
        <v>0</v>
      </c>
      <c r="O775" t="n">
        <v>0</v>
      </c>
      <c r="P775" t="n">
        <v>0</v>
      </c>
      <c r="Q775" t="n">
        <v>0</v>
      </c>
      <c r="R775" s="2" t="inlineStr"/>
    </row>
    <row r="776" ht="15" customHeight="1">
      <c r="A776" t="inlineStr">
        <is>
          <t>A 1789-2026</t>
        </is>
      </c>
      <c r="B776" s="1" t="n">
        <v>46034</v>
      </c>
      <c r="C776" s="1" t="n">
        <v>46167</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54358-2022</t>
        </is>
      </c>
      <c r="B777" s="1" t="n">
        <v>44882</v>
      </c>
      <c r="C777" s="1" t="n">
        <v>46167</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2088-2026</t>
        </is>
      </c>
      <c r="B778" s="1" t="n">
        <v>46036.35909722222</v>
      </c>
      <c r="C778" s="1" t="n">
        <v>46167</v>
      </c>
      <c r="D778" t="inlineStr">
        <is>
          <t>STOCKHOLMS LÄN</t>
        </is>
      </c>
      <c r="E778" t="inlineStr">
        <is>
          <t>NORRTÄLJE</t>
        </is>
      </c>
      <c r="G778" t="n">
        <v>7</v>
      </c>
      <c r="H778" t="n">
        <v>0</v>
      </c>
      <c r="I778" t="n">
        <v>0</v>
      </c>
      <c r="J778" t="n">
        <v>0</v>
      </c>
      <c r="K778" t="n">
        <v>0</v>
      </c>
      <c r="L778" t="n">
        <v>0</v>
      </c>
      <c r="M778" t="n">
        <v>0</v>
      </c>
      <c r="N778" t="n">
        <v>0</v>
      </c>
      <c r="O778" t="n">
        <v>0</v>
      </c>
      <c r="P778" t="n">
        <v>0</v>
      </c>
      <c r="Q778" t="n">
        <v>0</v>
      </c>
      <c r="R778" s="2" t="inlineStr"/>
    </row>
    <row r="779" ht="15" customHeight="1">
      <c r="A779" t="inlineStr">
        <is>
          <t>A 23263-2023</t>
        </is>
      </c>
      <c r="B779" s="1" t="n">
        <v>45075</v>
      </c>
      <c r="C779" s="1" t="n">
        <v>46167</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23264-2023</t>
        </is>
      </c>
      <c r="B780" s="1" t="n">
        <v>45075</v>
      </c>
      <c r="C780" s="1" t="n">
        <v>46167</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23267-2023</t>
        </is>
      </c>
      <c r="B781" s="1" t="n">
        <v>45075.90934027778</v>
      </c>
      <c r="C781" s="1" t="n">
        <v>46167</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23269-2023</t>
        </is>
      </c>
      <c r="B782" s="1" t="n">
        <v>45075.91148148148</v>
      </c>
      <c r="C782" s="1" t="n">
        <v>46167</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19911-2025</t>
        </is>
      </c>
      <c r="B783" s="1" t="n">
        <v>45771</v>
      </c>
      <c r="C783" s="1" t="n">
        <v>46167</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5831-2022</t>
        </is>
      </c>
      <c r="B784" s="1" t="n">
        <v>44596</v>
      </c>
      <c r="C784" s="1" t="n">
        <v>46167</v>
      </c>
      <c r="D784" t="inlineStr">
        <is>
          <t>STOCKHOLMS LÄN</t>
        </is>
      </c>
      <c r="E784" t="inlineStr">
        <is>
          <t>NORRTÄLJE</t>
        </is>
      </c>
      <c r="G784" t="n">
        <v>4.8</v>
      </c>
      <c r="H784" t="n">
        <v>0</v>
      </c>
      <c r="I784" t="n">
        <v>0</v>
      </c>
      <c r="J784" t="n">
        <v>0</v>
      </c>
      <c r="K784" t="n">
        <v>0</v>
      </c>
      <c r="L784" t="n">
        <v>0</v>
      </c>
      <c r="M784" t="n">
        <v>0</v>
      </c>
      <c r="N784" t="n">
        <v>0</v>
      </c>
      <c r="O784" t="n">
        <v>0</v>
      </c>
      <c r="P784" t="n">
        <v>0</v>
      </c>
      <c r="Q784" t="n">
        <v>0</v>
      </c>
      <c r="R784" s="2" t="inlineStr"/>
    </row>
    <row r="785" ht="15" customHeight="1">
      <c r="A785" t="inlineStr">
        <is>
          <t>A 5867-2022</t>
        </is>
      </c>
      <c r="B785" s="1" t="n">
        <v>44596.66335648148</v>
      </c>
      <c r="C785" s="1" t="n">
        <v>46167</v>
      </c>
      <c r="D785" t="inlineStr">
        <is>
          <t>STOCKHOLMS LÄN</t>
        </is>
      </c>
      <c r="E785" t="inlineStr">
        <is>
          <t>NORRTÄLJE</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2116-2026</t>
        </is>
      </c>
      <c r="B786" s="1" t="n">
        <v>46036.38108796296</v>
      </c>
      <c r="C786" s="1" t="n">
        <v>46167</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20244-2025</t>
        </is>
      </c>
      <c r="B787" s="1" t="n">
        <v>45772.71221064815</v>
      </c>
      <c r="C787" s="1" t="n">
        <v>46167</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48633-2023</t>
        </is>
      </c>
      <c r="B788" s="1" t="n">
        <v>45208.58004629629</v>
      </c>
      <c r="C788" s="1" t="n">
        <v>46167</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39669-2024</t>
        </is>
      </c>
      <c r="B789" s="1" t="n">
        <v>45552.52827546297</v>
      </c>
      <c r="C789" s="1" t="n">
        <v>46167</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3549-2026</t>
        </is>
      </c>
      <c r="B790" s="1" t="n">
        <v>46042</v>
      </c>
      <c r="C790" s="1" t="n">
        <v>46167</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43170-2023</t>
        </is>
      </c>
      <c r="B791" s="1" t="n">
        <v>45183</v>
      </c>
      <c r="C791" s="1" t="n">
        <v>46167</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9-2024</t>
        </is>
      </c>
      <c r="B792" s="1" t="n">
        <v>45293</v>
      </c>
      <c r="C792" s="1" t="n">
        <v>46167</v>
      </c>
      <c r="D792" t="inlineStr">
        <is>
          <t>STOCKHOLMS LÄN</t>
        </is>
      </c>
      <c r="E792" t="inlineStr">
        <is>
          <t>NORRTÄLJE</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16913-2025</t>
        </is>
      </c>
      <c r="B793" s="1" t="n">
        <v>45755.36583333334</v>
      </c>
      <c r="C793" s="1" t="n">
        <v>46167</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4035-2023</t>
        </is>
      </c>
      <c r="B794" s="1" t="n">
        <v>44952.57989583333</v>
      </c>
      <c r="C794" s="1" t="n">
        <v>46167</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4227-2026</t>
        </is>
      </c>
      <c r="B795" s="1" t="n">
        <v>46044</v>
      </c>
      <c r="C795" s="1" t="n">
        <v>46167</v>
      </c>
      <c r="D795" t="inlineStr">
        <is>
          <t>STOCKHOLMS LÄN</t>
        </is>
      </c>
      <c r="E795" t="inlineStr">
        <is>
          <t>NORRTÄLJE</t>
        </is>
      </c>
      <c r="G795" t="n">
        <v>3.6</v>
      </c>
      <c r="H795" t="n">
        <v>0</v>
      </c>
      <c r="I795" t="n">
        <v>0</v>
      </c>
      <c r="J795" t="n">
        <v>0</v>
      </c>
      <c r="K795" t="n">
        <v>0</v>
      </c>
      <c r="L795" t="n">
        <v>0</v>
      </c>
      <c r="M795" t="n">
        <v>0</v>
      </c>
      <c r="N795" t="n">
        <v>0</v>
      </c>
      <c r="O795" t="n">
        <v>0</v>
      </c>
      <c r="P795" t="n">
        <v>0</v>
      </c>
      <c r="Q795" t="n">
        <v>0</v>
      </c>
      <c r="R795" s="2" t="inlineStr"/>
    </row>
    <row r="796" ht="15" customHeight="1">
      <c r="A796" t="inlineStr">
        <is>
          <t>A 33793-2022</t>
        </is>
      </c>
      <c r="B796" s="1" t="n">
        <v>44790</v>
      </c>
      <c r="C796" s="1" t="n">
        <v>46167</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53600-2022</t>
        </is>
      </c>
      <c r="B797" s="1" t="n">
        <v>44879.70518518519</v>
      </c>
      <c r="C797" s="1" t="n">
        <v>46167</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7697-2025</t>
        </is>
      </c>
      <c r="B798" s="1" t="n">
        <v>45706.40086805556</v>
      </c>
      <c r="C798" s="1" t="n">
        <v>46167</v>
      </c>
      <c r="D798" t="inlineStr">
        <is>
          <t>STOCKHOLMS LÄN</t>
        </is>
      </c>
      <c r="E798" t="inlineStr">
        <is>
          <t>NORRTÄLJE</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30221-2024</t>
        </is>
      </c>
      <c r="B799" s="1" t="n">
        <v>45490.45342592592</v>
      </c>
      <c r="C799" s="1" t="n">
        <v>46167</v>
      </c>
      <c r="D799" t="inlineStr">
        <is>
          <t>STOCKHOLMS LÄN</t>
        </is>
      </c>
      <c r="E799" t="inlineStr">
        <is>
          <t>NORRTÄLJE</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4230-2026</t>
        </is>
      </c>
      <c r="B800" s="1" t="n">
        <v>46044.89366898148</v>
      </c>
      <c r="C800" s="1" t="n">
        <v>46167</v>
      </c>
      <c r="D800" t="inlineStr">
        <is>
          <t>STOCKHOLMS LÄN</t>
        </is>
      </c>
      <c r="E800" t="inlineStr">
        <is>
          <t>NORRTÄLJE</t>
        </is>
      </c>
      <c r="G800" t="n">
        <v>10.8</v>
      </c>
      <c r="H800" t="n">
        <v>0</v>
      </c>
      <c r="I800" t="n">
        <v>0</v>
      </c>
      <c r="J800" t="n">
        <v>0</v>
      </c>
      <c r="K800" t="n">
        <v>0</v>
      </c>
      <c r="L800" t="n">
        <v>0</v>
      </c>
      <c r="M800" t="n">
        <v>0</v>
      </c>
      <c r="N800" t="n">
        <v>0</v>
      </c>
      <c r="O800" t="n">
        <v>0</v>
      </c>
      <c r="P800" t="n">
        <v>0</v>
      </c>
      <c r="Q800" t="n">
        <v>0</v>
      </c>
      <c r="R800" s="2" t="inlineStr"/>
    </row>
    <row r="801" ht="15" customHeight="1">
      <c r="A801" t="inlineStr">
        <is>
          <t>A 4231-2026</t>
        </is>
      </c>
      <c r="B801" s="1" t="n">
        <v>46044</v>
      </c>
      <c r="C801" s="1" t="n">
        <v>46167</v>
      </c>
      <c r="D801" t="inlineStr">
        <is>
          <t>STOCKHOLMS LÄN</t>
        </is>
      </c>
      <c r="E801" t="inlineStr">
        <is>
          <t>NORRTÄLJE</t>
        </is>
      </c>
      <c r="G801" t="n">
        <v>2.9</v>
      </c>
      <c r="H801" t="n">
        <v>0</v>
      </c>
      <c r="I801" t="n">
        <v>0</v>
      </c>
      <c r="J801" t="n">
        <v>0</v>
      </c>
      <c r="K801" t="n">
        <v>0</v>
      </c>
      <c r="L801" t="n">
        <v>0</v>
      </c>
      <c r="M801" t="n">
        <v>0</v>
      </c>
      <c r="N801" t="n">
        <v>0</v>
      </c>
      <c r="O801" t="n">
        <v>0</v>
      </c>
      <c r="P801" t="n">
        <v>0</v>
      </c>
      <c r="Q801" t="n">
        <v>0</v>
      </c>
      <c r="R801" s="2" t="inlineStr"/>
    </row>
    <row r="802" ht="15" customHeight="1">
      <c r="A802" t="inlineStr">
        <is>
          <t>A 4232-2026</t>
        </is>
      </c>
      <c r="B802" s="1" t="n">
        <v>46044.89594907407</v>
      </c>
      <c r="C802" s="1" t="n">
        <v>46167</v>
      </c>
      <c r="D802" t="inlineStr">
        <is>
          <t>STOCKHOLMS LÄN</t>
        </is>
      </c>
      <c r="E802" t="inlineStr">
        <is>
          <t>NORRTÄLJE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3933-2026</t>
        </is>
      </c>
      <c r="B803" s="1" t="n">
        <v>46043.79916666666</v>
      </c>
      <c r="C803" s="1" t="n">
        <v>46167</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13-2024</t>
        </is>
      </c>
      <c r="B804" s="1" t="n">
        <v>45293.37263888889</v>
      </c>
      <c r="C804" s="1" t="n">
        <v>46167</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19-2024</t>
        </is>
      </c>
      <c r="B805" s="1" t="n">
        <v>45293</v>
      </c>
      <c r="C805" s="1" t="n">
        <v>46167</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4235-2026</t>
        </is>
      </c>
      <c r="B806" s="1" t="n">
        <v>46044</v>
      </c>
      <c r="C806" s="1" t="n">
        <v>46167</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31559-2022</t>
        </is>
      </c>
      <c r="B807" s="1" t="n">
        <v>44775</v>
      </c>
      <c r="C807" s="1" t="n">
        <v>46167</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8419-2025</t>
        </is>
      </c>
      <c r="B808" s="1" t="n">
        <v>45709.40231481481</v>
      </c>
      <c r="C808" s="1" t="n">
        <v>46167</v>
      </c>
      <c r="D808" t="inlineStr">
        <is>
          <t>STOCKHOLMS LÄN</t>
        </is>
      </c>
      <c r="E808" t="inlineStr">
        <is>
          <t>NORRTÄLJE</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4549-2026</t>
        </is>
      </c>
      <c r="B809" s="1" t="n">
        <v>46047</v>
      </c>
      <c r="C809" s="1" t="n">
        <v>46167</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35161-2022</t>
        </is>
      </c>
      <c r="B810" s="1" t="n">
        <v>44797</v>
      </c>
      <c r="C810" s="1" t="n">
        <v>46167</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58989-2021</t>
        </is>
      </c>
      <c r="B811" s="1" t="n">
        <v>44490.02482638889</v>
      </c>
      <c r="C811" s="1" t="n">
        <v>46167</v>
      </c>
      <c r="D811" t="inlineStr">
        <is>
          <t>STOCKHOLMS LÄN</t>
        </is>
      </c>
      <c r="E811" t="inlineStr">
        <is>
          <t>NORRTÄLJE</t>
        </is>
      </c>
      <c r="G811" t="n">
        <v>0.3</v>
      </c>
      <c r="H811" t="n">
        <v>0</v>
      </c>
      <c r="I811" t="n">
        <v>0</v>
      </c>
      <c r="J811" t="n">
        <v>0</v>
      </c>
      <c r="K811" t="n">
        <v>0</v>
      </c>
      <c r="L811" t="n">
        <v>0</v>
      </c>
      <c r="M811" t="n">
        <v>0</v>
      </c>
      <c r="N811" t="n">
        <v>0</v>
      </c>
      <c r="O811" t="n">
        <v>0</v>
      </c>
      <c r="P811" t="n">
        <v>0</v>
      </c>
      <c r="Q811" t="n">
        <v>0</v>
      </c>
      <c r="R811" s="2" t="inlineStr"/>
    </row>
    <row r="812" ht="15" customHeight="1">
      <c r="A812" t="inlineStr">
        <is>
          <t>A 46988-2024</t>
        </is>
      </c>
      <c r="B812" s="1" t="n">
        <v>45586</v>
      </c>
      <c r="C812" s="1" t="n">
        <v>46167</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4886-2026</t>
        </is>
      </c>
      <c r="B813" s="1" t="n">
        <v>46048.66328703704</v>
      </c>
      <c r="C813" s="1" t="n">
        <v>46167</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13701-2022</t>
        </is>
      </c>
      <c r="B814" s="1" t="n">
        <v>44648</v>
      </c>
      <c r="C814" s="1" t="n">
        <v>46167</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14132-2025</t>
        </is>
      </c>
      <c r="B815" s="1" t="n">
        <v>45740.47550925926</v>
      </c>
      <c r="C815" s="1" t="n">
        <v>46167</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14133-2025</t>
        </is>
      </c>
      <c r="B816" s="1" t="n">
        <v>45740.47724537037</v>
      </c>
      <c r="C816" s="1" t="n">
        <v>46167</v>
      </c>
      <c r="D816" t="inlineStr">
        <is>
          <t>STOCKHOLMS LÄN</t>
        </is>
      </c>
      <c r="E816" t="inlineStr">
        <is>
          <t>NORRTÄLJE</t>
        </is>
      </c>
      <c r="G816" t="n">
        <v>0.4</v>
      </c>
      <c r="H816" t="n">
        <v>0</v>
      </c>
      <c r="I816" t="n">
        <v>0</v>
      </c>
      <c r="J816" t="n">
        <v>0</v>
      </c>
      <c r="K816" t="n">
        <v>0</v>
      </c>
      <c r="L816" t="n">
        <v>0</v>
      </c>
      <c r="M816" t="n">
        <v>0</v>
      </c>
      <c r="N816" t="n">
        <v>0</v>
      </c>
      <c r="O816" t="n">
        <v>0</v>
      </c>
      <c r="P816" t="n">
        <v>0</v>
      </c>
      <c r="Q816" t="n">
        <v>0</v>
      </c>
      <c r="R816" s="2" t="inlineStr"/>
    </row>
    <row r="817" ht="15" customHeight="1">
      <c r="A817" t="inlineStr">
        <is>
          <t>A 8792-2025</t>
        </is>
      </c>
      <c r="B817" s="1" t="n">
        <v>45712</v>
      </c>
      <c r="C817" s="1" t="n">
        <v>46167</v>
      </c>
      <c r="D817" t="inlineStr">
        <is>
          <t>STOCKHOLMS LÄN</t>
        </is>
      </c>
      <c r="E817" t="inlineStr">
        <is>
          <t>NORRTÄLJE</t>
        </is>
      </c>
      <c r="F817" t="inlineStr">
        <is>
          <t>Övriga Aktiebolag</t>
        </is>
      </c>
      <c r="G817" t="n">
        <v>6.6</v>
      </c>
      <c r="H817" t="n">
        <v>0</v>
      </c>
      <c r="I817" t="n">
        <v>0</v>
      </c>
      <c r="J817" t="n">
        <v>0</v>
      </c>
      <c r="K817" t="n">
        <v>0</v>
      </c>
      <c r="L817" t="n">
        <v>0</v>
      </c>
      <c r="M817" t="n">
        <v>0</v>
      </c>
      <c r="N817" t="n">
        <v>0</v>
      </c>
      <c r="O817" t="n">
        <v>0</v>
      </c>
      <c r="P817" t="n">
        <v>0</v>
      </c>
      <c r="Q817" t="n">
        <v>0</v>
      </c>
      <c r="R817" s="2" t="inlineStr"/>
    </row>
    <row r="818" ht="15" customHeight="1">
      <c r="A818" t="inlineStr">
        <is>
          <t>A 24887-2023</t>
        </is>
      </c>
      <c r="B818" s="1" t="n">
        <v>45085</v>
      </c>
      <c r="C818" s="1" t="n">
        <v>46167</v>
      </c>
      <c r="D818" t="inlineStr">
        <is>
          <t>STOCKHOLMS LÄN</t>
        </is>
      </c>
      <c r="E818" t="inlineStr">
        <is>
          <t>NORRTÄLJE</t>
        </is>
      </c>
      <c r="G818" t="n">
        <v>13.9</v>
      </c>
      <c r="H818" t="n">
        <v>0</v>
      </c>
      <c r="I818" t="n">
        <v>0</v>
      </c>
      <c r="J818" t="n">
        <v>0</v>
      </c>
      <c r="K818" t="n">
        <v>0</v>
      </c>
      <c r="L818" t="n">
        <v>0</v>
      </c>
      <c r="M818" t="n">
        <v>0</v>
      </c>
      <c r="N818" t="n">
        <v>0</v>
      </c>
      <c r="O818" t="n">
        <v>0</v>
      </c>
      <c r="P818" t="n">
        <v>0</v>
      </c>
      <c r="Q818" t="n">
        <v>0</v>
      </c>
      <c r="R818" s="2" t="inlineStr"/>
    </row>
    <row r="819" ht="15" customHeight="1">
      <c r="A819" t="inlineStr">
        <is>
          <t>A 5226-2026</t>
        </is>
      </c>
      <c r="B819" s="1" t="n">
        <v>46049.79961805556</v>
      </c>
      <c r="C819" s="1" t="n">
        <v>46167</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38612-2022</t>
        </is>
      </c>
      <c r="B820" s="1" t="n">
        <v>44813</v>
      </c>
      <c r="C820" s="1" t="n">
        <v>46167</v>
      </c>
      <c r="D820" t="inlineStr">
        <is>
          <t>STOCKHOLMS LÄN</t>
        </is>
      </c>
      <c r="E820" t="inlineStr">
        <is>
          <t>NORRTÄLJE</t>
        </is>
      </c>
      <c r="G820" t="n">
        <v>1.7</v>
      </c>
      <c r="H820" t="n">
        <v>0</v>
      </c>
      <c r="I820" t="n">
        <v>0</v>
      </c>
      <c r="J820" t="n">
        <v>0</v>
      </c>
      <c r="K820" t="n">
        <v>0</v>
      </c>
      <c r="L820" t="n">
        <v>0</v>
      </c>
      <c r="M820" t="n">
        <v>0</v>
      </c>
      <c r="N820" t="n">
        <v>0</v>
      </c>
      <c r="O820" t="n">
        <v>0</v>
      </c>
      <c r="P820" t="n">
        <v>0</v>
      </c>
      <c r="Q820" t="n">
        <v>0</v>
      </c>
      <c r="R820" s="2" t="inlineStr"/>
    </row>
    <row r="821" ht="15" customHeight="1">
      <c r="A821" t="inlineStr">
        <is>
          <t>A 4326-2023</t>
        </is>
      </c>
      <c r="B821" s="1" t="n">
        <v>44953.70481481482</v>
      </c>
      <c r="C821" s="1" t="n">
        <v>46167</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54504-2024</t>
        </is>
      </c>
      <c r="B822" s="1" t="n">
        <v>45617.58453703704</v>
      </c>
      <c r="C822" s="1" t="n">
        <v>46167</v>
      </c>
      <c r="D822" t="inlineStr">
        <is>
          <t>STOCKHOLMS LÄN</t>
        </is>
      </c>
      <c r="E822" t="inlineStr">
        <is>
          <t>NORRTÄLJE</t>
        </is>
      </c>
      <c r="G822" t="n">
        <v>3.4</v>
      </c>
      <c r="H822" t="n">
        <v>0</v>
      </c>
      <c r="I822" t="n">
        <v>0</v>
      </c>
      <c r="J822" t="n">
        <v>0</v>
      </c>
      <c r="K822" t="n">
        <v>0</v>
      </c>
      <c r="L822" t="n">
        <v>0</v>
      </c>
      <c r="M822" t="n">
        <v>0</v>
      </c>
      <c r="N822" t="n">
        <v>0</v>
      </c>
      <c r="O822" t="n">
        <v>0</v>
      </c>
      <c r="P822" t="n">
        <v>0</v>
      </c>
      <c r="Q822" t="n">
        <v>0</v>
      </c>
      <c r="R822" s="2" t="inlineStr"/>
    </row>
    <row r="823" ht="15" customHeight="1">
      <c r="A823" t="inlineStr">
        <is>
          <t>A 5224-2026</t>
        </is>
      </c>
      <c r="B823" s="1" t="n">
        <v>46049.79521990741</v>
      </c>
      <c r="C823" s="1" t="n">
        <v>46167</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5227-2026</t>
        </is>
      </c>
      <c r="B824" s="1" t="n">
        <v>46049.80460648148</v>
      </c>
      <c r="C824" s="1" t="n">
        <v>46167</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5241-2026</t>
        </is>
      </c>
      <c r="B825" s="1" t="n">
        <v>46049.86471064815</v>
      </c>
      <c r="C825" s="1" t="n">
        <v>46167</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39610-2025</t>
        </is>
      </c>
      <c r="B826" s="1" t="n">
        <v>45890</v>
      </c>
      <c r="C826" s="1" t="n">
        <v>46167</v>
      </c>
      <c r="D826" t="inlineStr">
        <is>
          <t>STOCKHOLMS LÄN</t>
        </is>
      </c>
      <c r="E826" t="inlineStr">
        <is>
          <t>NORRTÄLJE</t>
        </is>
      </c>
      <c r="G826" t="n">
        <v>28.6</v>
      </c>
      <c r="H826" t="n">
        <v>0</v>
      </c>
      <c r="I826" t="n">
        <v>0</v>
      </c>
      <c r="J826" t="n">
        <v>0</v>
      </c>
      <c r="K826" t="n">
        <v>0</v>
      </c>
      <c r="L826" t="n">
        <v>0</v>
      </c>
      <c r="M826" t="n">
        <v>0</v>
      </c>
      <c r="N826" t="n">
        <v>0</v>
      </c>
      <c r="O826" t="n">
        <v>0</v>
      </c>
      <c r="P826" t="n">
        <v>0</v>
      </c>
      <c r="Q826" t="n">
        <v>0</v>
      </c>
      <c r="R826" s="2" t="inlineStr"/>
    </row>
    <row r="827" ht="15" customHeight="1">
      <c r="A827" t="inlineStr">
        <is>
          <t>A 21745-2023</t>
        </is>
      </c>
      <c r="B827" s="1" t="n">
        <v>45065.55917824074</v>
      </c>
      <c r="C827" s="1" t="n">
        <v>46167</v>
      </c>
      <c r="D827" t="inlineStr">
        <is>
          <t>STOCKHOLMS LÄN</t>
        </is>
      </c>
      <c r="E827" t="inlineStr">
        <is>
          <t>NORRTÄLJE</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5934-2026</t>
        </is>
      </c>
      <c r="B828" s="1" t="n">
        <v>46052.47082175926</v>
      </c>
      <c r="C828" s="1" t="n">
        <v>46167</v>
      </c>
      <c r="D828" t="inlineStr">
        <is>
          <t>STOCKHOLMS LÄN</t>
        </is>
      </c>
      <c r="E828" t="inlineStr">
        <is>
          <t>NORRTÄLJE</t>
        </is>
      </c>
      <c r="F828" t="inlineStr">
        <is>
          <t>Holmen skog AB</t>
        </is>
      </c>
      <c r="G828" t="n">
        <v>5.5</v>
      </c>
      <c r="H828" t="n">
        <v>0</v>
      </c>
      <c r="I828" t="n">
        <v>0</v>
      </c>
      <c r="J828" t="n">
        <v>0</v>
      </c>
      <c r="K828" t="n">
        <v>0</v>
      </c>
      <c r="L828" t="n">
        <v>0</v>
      </c>
      <c r="M828" t="n">
        <v>0</v>
      </c>
      <c r="N828" t="n">
        <v>0</v>
      </c>
      <c r="O828" t="n">
        <v>0</v>
      </c>
      <c r="P828" t="n">
        <v>0</v>
      </c>
      <c r="Q828" t="n">
        <v>0</v>
      </c>
      <c r="R828" s="2" t="inlineStr"/>
    </row>
    <row r="829" ht="15" customHeight="1">
      <c r="A829" t="inlineStr">
        <is>
          <t>A 21894-2023</t>
        </is>
      </c>
      <c r="B829" s="1" t="n">
        <v>45068.51783564815</v>
      </c>
      <c r="C829" s="1" t="n">
        <v>46167</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13276-2022</t>
        </is>
      </c>
      <c r="B830" s="1" t="n">
        <v>44644</v>
      </c>
      <c r="C830" s="1" t="n">
        <v>46167</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28182-2022</t>
        </is>
      </c>
      <c r="B831" s="1" t="n">
        <v>44746.58530092592</v>
      </c>
      <c r="C831" s="1" t="n">
        <v>46167</v>
      </c>
      <c r="D831" t="inlineStr">
        <is>
          <t>STOCKHOLMS LÄN</t>
        </is>
      </c>
      <c r="E831" t="inlineStr">
        <is>
          <t>NORRTÄLJE</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34461-2023</t>
        </is>
      </c>
      <c r="B832" s="1" t="n">
        <v>45139</v>
      </c>
      <c r="C832" s="1" t="n">
        <v>46167</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51046-2023</t>
        </is>
      </c>
      <c r="B833" s="1" t="n">
        <v>45218</v>
      </c>
      <c r="C833" s="1" t="n">
        <v>46167</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6724-2026</t>
        </is>
      </c>
      <c r="B834" s="1" t="n">
        <v>46056.67717592593</v>
      </c>
      <c r="C834" s="1" t="n">
        <v>46167</v>
      </c>
      <c r="D834" t="inlineStr">
        <is>
          <t>STOCKHOLMS LÄN</t>
        </is>
      </c>
      <c r="E834" t="inlineStr">
        <is>
          <t>NORRTÄLJE</t>
        </is>
      </c>
      <c r="F834" t="inlineStr">
        <is>
          <t>Holmen skog AB</t>
        </is>
      </c>
      <c r="G834" t="n">
        <v>16.2</v>
      </c>
      <c r="H834" t="n">
        <v>0</v>
      </c>
      <c r="I834" t="n">
        <v>0</v>
      </c>
      <c r="J834" t="n">
        <v>0</v>
      </c>
      <c r="K834" t="n">
        <v>0</v>
      </c>
      <c r="L834" t="n">
        <v>0</v>
      </c>
      <c r="M834" t="n">
        <v>0</v>
      </c>
      <c r="N834" t="n">
        <v>0</v>
      </c>
      <c r="O834" t="n">
        <v>0</v>
      </c>
      <c r="P834" t="n">
        <v>0</v>
      </c>
      <c r="Q834" t="n">
        <v>0</v>
      </c>
      <c r="R834" s="2" t="inlineStr"/>
    </row>
    <row r="835" ht="15" customHeight="1">
      <c r="A835" t="inlineStr">
        <is>
          <t>A 6828-2026</t>
        </is>
      </c>
      <c r="B835" s="1" t="n">
        <v>46057</v>
      </c>
      <c r="C835" s="1" t="n">
        <v>46167</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6838-2026</t>
        </is>
      </c>
      <c r="B836" s="1" t="n">
        <v>46057.41151620371</v>
      </c>
      <c r="C836" s="1" t="n">
        <v>46167</v>
      </c>
      <c r="D836" t="inlineStr">
        <is>
          <t>STOCKHOLMS LÄN</t>
        </is>
      </c>
      <c r="E836" t="inlineStr">
        <is>
          <t>NORRTÄLJE</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6874-2026</t>
        </is>
      </c>
      <c r="B837" s="1" t="n">
        <v>46057.45295138889</v>
      </c>
      <c r="C837" s="1" t="n">
        <v>46167</v>
      </c>
      <c r="D837" t="inlineStr">
        <is>
          <t>STOCKHOLMS LÄN</t>
        </is>
      </c>
      <c r="E837" t="inlineStr">
        <is>
          <t>NORRTÄLJE</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6532-2026</t>
        </is>
      </c>
      <c r="B838" s="1" t="n">
        <v>46056.41300925926</v>
      </c>
      <c r="C838" s="1" t="n">
        <v>46167</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6701-2026</t>
        </is>
      </c>
      <c r="B839" s="1" t="n">
        <v>46056</v>
      </c>
      <c r="C839" s="1" t="n">
        <v>46167</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17382-2024</t>
        </is>
      </c>
      <c r="B840" s="1" t="n">
        <v>45414.65855324074</v>
      </c>
      <c r="C840" s="1" t="n">
        <v>46167</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6070-2022</t>
        </is>
      </c>
      <c r="B841" s="1" t="n">
        <v>44599.58428240741</v>
      </c>
      <c r="C841" s="1" t="n">
        <v>46167</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17039-2024</t>
        </is>
      </c>
      <c r="B842" s="1" t="n">
        <v>45412.4104050926</v>
      </c>
      <c r="C842" s="1" t="n">
        <v>46167</v>
      </c>
      <c r="D842" t="inlineStr">
        <is>
          <t>STOCKHOLMS LÄN</t>
        </is>
      </c>
      <c r="E842" t="inlineStr">
        <is>
          <t>NORRTÄLJE</t>
        </is>
      </c>
      <c r="G842" t="n">
        <v>5.9</v>
      </c>
      <c r="H842" t="n">
        <v>0</v>
      </c>
      <c r="I842" t="n">
        <v>0</v>
      </c>
      <c r="J842" t="n">
        <v>0</v>
      </c>
      <c r="K842" t="n">
        <v>0</v>
      </c>
      <c r="L842" t="n">
        <v>0</v>
      </c>
      <c r="M842" t="n">
        <v>0</v>
      </c>
      <c r="N842" t="n">
        <v>0</v>
      </c>
      <c r="O842" t="n">
        <v>0</v>
      </c>
      <c r="P842" t="n">
        <v>0</v>
      </c>
      <c r="Q842" t="n">
        <v>0</v>
      </c>
      <c r="R842" s="2" t="inlineStr"/>
    </row>
    <row r="843" ht="15" customHeight="1">
      <c r="A843" t="inlineStr">
        <is>
          <t>A 48180-2023</t>
        </is>
      </c>
      <c r="B843" s="1" t="n">
        <v>45205</v>
      </c>
      <c r="C843" s="1" t="n">
        <v>46167</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7308-2026</t>
        </is>
      </c>
      <c r="B844" s="1" t="n">
        <v>46058.66025462963</v>
      </c>
      <c r="C844" s="1" t="n">
        <v>46167</v>
      </c>
      <c r="D844" t="inlineStr">
        <is>
          <t>STOCKHOLMS LÄN</t>
        </is>
      </c>
      <c r="E844" t="inlineStr">
        <is>
          <t>NORRTÄLJE</t>
        </is>
      </c>
      <c r="F844" t="inlineStr">
        <is>
          <t>Holmen skog AB</t>
        </is>
      </c>
      <c r="G844" t="n">
        <v>1.7</v>
      </c>
      <c r="H844" t="n">
        <v>0</v>
      </c>
      <c r="I844" t="n">
        <v>0</v>
      </c>
      <c r="J844" t="n">
        <v>0</v>
      </c>
      <c r="K844" t="n">
        <v>0</v>
      </c>
      <c r="L844" t="n">
        <v>0</v>
      </c>
      <c r="M844" t="n">
        <v>0</v>
      </c>
      <c r="N844" t="n">
        <v>0</v>
      </c>
      <c r="O844" t="n">
        <v>0</v>
      </c>
      <c r="P844" t="n">
        <v>0</v>
      </c>
      <c r="Q844" t="n">
        <v>0</v>
      </c>
      <c r="R844" s="2" t="inlineStr"/>
    </row>
    <row r="845" ht="15" customHeight="1">
      <c r="A845" t="inlineStr">
        <is>
          <t>A 7532-2026</t>
        </is>
      </c>
      <c r="B845" s="1" t="n">
        <v>46059</v>
      </c>
      <c r="C845" s="1" t="n">
        <v>46167</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35695-2023</t>
        </is>
      </c>
      <c r="B846" s="1" t="n">
        <v>45147.65407407407</v>
      </c>
      <c r="C846" s="1" t="n">
        <v>46167</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45173-2023</t>
        </is>
      </c>
      <c r="B847" s="1" t="n">
        <v>45191</v>
      </c>
      <c r="C847" s="1" t="n">
        <v>46167</v>
      </c>
      <c r="D847" t="inlineStr">
        <is>
          <t>STOCKHOLMS LÄN</t>
        </is>
      </c>
      <c r="E847" t="inlineStr">
        <is>
          <t>NORRTÄLJE</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8055-2026</t>
        </is>
      </c>
      <c r="B848" s="1" t="n">
        <v>46063.62002314815</v>
      </c>
      <c r="C848" s="1" t="n">
        <v>46167</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24705-2023</t>
        </is>
      </c>
      <c r="B849" s="1" t="n">
        <v>45084.54459490741</v>
      </c>
      <c r="C849" s="1" t="n">
        <v>46167</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7793-2026</t>
        </is>
      </c>
      <c r="B850" s="1" t="n">
        <v>46062.59496527778</v>
      </c>
      <c r="C850" s="1" t="n">
        <v>46167</v>
      </c>
      <c r="D850" t="inlineStr">
        <is>
          <t>STOCKHOLMS LÄN</t>
        </is>
      </c>
      <c r="E850" t="inlineStr">
        <is>
          <t>NORRTÄLJE</t>
        </is>
      </c>
      <c r="F850" t="inlineStr">
        <is>
          <t>Holmen skog AB</t>
        </is>
      </c>
      <c r="G850" t="n">
        <v>3.8</v>
      </c>
      <c r="H850" t="n">
        <v>0</v>
      </c>
      <c r="I850" t="n">
        <v>0</v>
      </c>
      <c r="J850" t="n">
        <v>0</v>
      </c>
      <c r="K850" t="n">
        <v>0</v>
      </c>
      <c r="L850" t="n">
        <v>0</v>
      </c>
      <c r="M850" t="n">
        <v>0</v>
      </c>
      <c r="N850" t="n">
        <v>0</v>
      </c>
      <c r="O850" t="n">
        <v>0</v>
      </c>
      <c r="P850" t="n">
        <v>0</v>
      </c>
      <c r="Q850" t="n">
        <v>0</v>
      </c>
      <c r="R850" s="2" t="inlineStr"/>
    </row>
    <row r="851" ht="15" customHeight="1">
      <c r="A851" t="inlineStr">
        <is>
          <t>A 21696-2024</t>
        </is>
      </c>
      <c r="B851" s="1" t="n">
        <v>45442.45686342593</v>
      </c>
      <c r="C851" s="1" t="n">
        <v>46167</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8096-2026</t>
        </is>
      </c>
      <c r="B852" s="1" t="n">
        <v>46063.714375</v>
      </c>
      <c r="C852" s="1" t="n">
        <v>46167</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7723-2026</t>
        </is>
      </c>
      <c r="B853" s="1" t="n">
        <v>46062.49905092592</v>
      </c>
      <c r="C853" s="1" t="n">
        <v>46167</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7729-2026</t>
        </is>
      </c>
      <c r="B854" s="1" t="n">
        <v>46062.51100694444</v>
      </c>
      <c r="C854" s="1" t="n">
        <v>46167</v>
      </c>
      <c r="D854" t="inlineStr">
        <is>
          <t>STOCKHOLMS LÄN</t>
        </is>
      </c>
      <c r="E854" t="inlineStr">
        <is>
          <t>NORRTÄLJE</t>
        </is>
      </c>
      <c r="G854" t="n">
        <v>6.6</v>
      </c>
      <c r="H854" t="n">
        <v>0</v>
      </c>
      <c r="I854" t="n">
        <v>0</v>
      </c>
      <c r="J854" t="n">
        <v>0</v>
      </c>
      <c r="K854" t="n">
        <v>0</v>
      </c>
      <c r="L854" t="n">
        <v>0</v>
      </c>
      <c r="M854" t="n">
        <v>0</v>
      </c>
      <c r="N854" t="n">
        <v>0</v>
      </c>
      <c r="O854" t="n">
        <v>0</v>
      </c>
      <c r="P854" t="n">
        <v>0</v>
      </c>
      <c r="Q854" t="n">
        <v>0</v>
      </c>
      <c r="R854" s="2" t="inlineStr"/>
    </row>
    <row r="855" ht="15" customHeight="1">
      <c r="A855" t="inlineStr">
        <is>
          <t>A 7582-2026</t>
        </is>
      </c>
      <c r="B855" s="1" t="n">
        <v>46061</v>
      </c>
      <c r="C855" s="1" t="n">
        <v>46167</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8091-2026</t>
        </is>
      </c>
      <c r="B856" s="1" t="n">
        <v>46063.70944444444</v>
      </c>
      <c r="C856" s="1" t="n">
        <v>46167</v>
      </c>
      <c r="D856" t="inlineStr">
        <is>
          <t>STOCKHOLMS LÄN</t>
        </is>
      </c>
      <c r="E856" t="inlineStr">
        <is>
          <t>NORRTÄLJE</t>
        </is>
      </c>
      <c r="G856" t="n">
        <v>4.7</v>
      </c>
      <c r="H856" t="n">
        <v>0</v>
      </c>
      <c r="I856" t="n">
        <v>0</v>
      </c>
      <c r="J856" t="n">
        <v>0</v>
      </c>
      <c r="K856" t="n">
        <v>0</v>
      </c>
      <c r="L856" t="n">
        <v>0</v>
      </c>
      <c r="M856" t="n">
        <v>0</v>
      </c>
      <c r="N856" t="n">
        <v>0</v>
      </c>
      <c r="O856" t="n">
        <v>0</v>
      </c>
      <c r="P856" t="n">
        <v>0</v>
      </c>
      <c r="Q856" t="n">
        <v>0</v>
      </c>
      <c r="R856" s="2" t="inlineStr"/>
    </row>
    <row r="857" ht="15" customHeight="1">
      <c r="A857" t="inlineStr">
        <is>
          <t>A 67990-2021</t>
        </is>
      </c>
      <c r="B857" s="1" t="n">
        <v>44525</v>
      </c>
      <c r="C857" s="1" t="n">
        <v>46167</v>
      </c>
      <c r="D857" t="inlineStr">
        <is>
          <t>STOCKHOLMS LÄN</t>
        </is>
      </c>
      <c r="E857" t="inlineStr">
        <is>
          <t>NORRTÄLJE</t>
        </is>
      </c>
      <c r="F857" t="inlineStr">
        <is>
          <t>Sveaskog</t>
        </is>
      </c>
      <c r="G857" t="n">
        <v>7.8</v>
      </c>
      <c r="H857" t="n">
        <v>0</v>
      </c>
      <c r="I857" t="n">
        <v>0</v>
      </c>
      <c r="J857" t="n">
        <v>0</v>
      </c>
      <c r="K857" t="n">
        <v>0</v>
      </c>
      <c r="L857" t="n">
        <v>0</v>
      </c>
      <c r="M857" t="n">
        <v>0</v>
      </c>
      <c r="N857" t="n">
        <v>0</v>
      </c>
      <c r="O857" t="n">
        <v>0</v>
      </c>
      <c r="P857" t="n">
        <v>0</v>
      </c>
      <c r="Q857" t="n">
        <v>0</v>
      </c>
      <c r="R857" s="2" t="inlineStr"/>
    </row>
    <row r="858" ht="15" customHeight="1">
      <c r="A858" t="inlineStr">
        <is>
          <t>A 71552-2021</t>
        </is>
      </c>
      <c r="B858" s="1" t="n">
        <v>44540</v>
      </c>
      <c r="C858" s="1" t="n">
        <v>46167</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8410-2026</t>
        </is>
      </c>
      <c r="B859" s="1" t="n">
        <v>46065.34261574074</v>
      </c>
      <c r="C859" s="1" t="n">
        <v>46167</v>
      </c>
      <c r="D859" t="inlineStr">
        <is>
          <t>STOCKHOLMS LÄN</t>
        </is>
      </c>
      <c r="E859" t="inlineStr">
        <is>
          <t>NORRTÄLJE</t>
        </is>
      </c>
      <c r="G859" t="n">
        <v>3.9</v>
      </c>
      <c r="H859" t="n">
        <v>0</v>
      </c>
      <c r="I859" t="n">
        <v>0</v>
      </c>
      <c r="J859" t="n">
        <v>0</v>
      </c>
      <c r="K859" t="n">
        <v>0</v>
      </c>
      <c r="L859" t="n">
        <v>0</v>
      </c>
      <c r="M859" t="n">
        <v>0</v>
      </c>
      <c r="N859" t="n">
        <v>0</v>
      </c>
      <c r="O859" t="n">
        <v>0</v>
      </c>
      <c r="P859" t="n">
        <v>0</v>
      </c>
      <c r="Q859" t="n">
        <v>0</v>
      </c>
      <c r="R859" s="2" t="inlineStr"/>
    </row>
    <row r="860" ht="15" customHeight="1">
      <c r="A860" t="inlineStr">
        <is>
          <t>A 73992-2021</t>
        </is>
      </c>
      <c r="B860" s="1" t="n">
        <v>44556</v>
      </c>
      <c r="C860" s="1" t="n">
        <v>46167</v>
      </c>
      <c r="D860" t="inlineStr">
        <is>
          <t>STOCKHOLMS LÄN</t>
        </is>
      </c>
      <c r="E860" t="inlineStr">
        <is>
          <t>NORRTÄLJE</t>
        </is>
      </c>
      <c r="G860" t="n">
        <v>12.5</v>
      </c>
      <c r="H860" t="n">
        <v>0</v>
      </c>
      <c r="I860" t="n">
        <v>0</v>
      </c>
      <c r="J860" t="n">
        <v>0</v>
      </c>
      <c r="K860" t="n">
        <v>0</v>
      </c>
      <c r="L860" t="n">
        <v>0</v>
      </c>
      <c r="M860" t="n">
        <v>0</v>
      </c>
      <c r="N860" t="n">
        <v>0</v>
      </c>
      <c r="O860" t="n">
        <v>0</v>
      </c>
      <c r="P860" t="n">
        <v>0</v>
      </c>
      <c r="Q860" t="n">
        <v>0</v>
      </c>
      <c r="R860" s="2" t="inlineStr"/>
    </row>
    <row r="861" ht="15" customHeight="1">
      <c r="A861" t="inlineStr">
        <is>
          <t>A 8489-2026</t>
        </is>
      </c>
      <c r="B861" s="1" t="n">
        <v>46065.48268518518</v>
      </c>
      <c r="C861" s="1" t="n">
        <v>46167</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8465-2026</t>
        </is>
      </c>
      <c r="B862" s="1" t="n">
        <v>46065.44141203703</v>
      </c>
      <c r="C862" s="1" t="n">
        <v>46167</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26113-2024</t>
        </is>
      </c>
      <c r="B863" s="1" t="n">
        <v>45468.45541666666</v>
      </c>
      <c r="C863" s="1" t="n">
        <v>46167</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26116-2024</t>
        </is>
      </c>
      <c r="B864" s="1" t="n">
        <v>45468.45747685185</v>
      </c>
      <c r="C864" s="1" t="n">
        <v>46167</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15836-2026</t>
        </is>
      </c>
      <c r="B865" s="1" t="n">
        <v>46107.56134259259</v>
      </c>
      <c r="C865" s="1" t="n">
        <v>46167</v>
      </c>
      <c r="D865" t="inlineStr">
        <is>
          <t>STOCKHOLMS LÄN</t>
        </is>
      </c>
      <c r="E865" t="inlineStr">
        <is>
          <t>NORRTÄLJE</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15978-2024</t>
        </is>
      </c>
      <c r="B866" s="1" t="n">
        <v>45405.57927083333</v>
      </c>
      <c r="C866" s="1" t="n">
        <v>46167</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11333-2025</t>
        </is>
      </c>
      <c r="B867" s="1" t="n">
        <v>45726.48377314815</v>
      </c>
      <c r="C867" s="1" t="n">
        <v>46167</v>
      </c>
      <c r="D867" t="inlineStr">
        <is>
          <t>STOCKHOLMS LÄN</t>
        </is>
      </c>
      <c r="E867" t="inlineStr">
        <is>
          <t>NORRTÄLJE</t>
        </is>
      </c>
      <c r="G867" t="n">
        <v>1.4</v>
      </c>
      <c r="H867" t="n">
        <v>0</v>
      </c>
      <c r="I867" t="n">
        <v>0</v>
      </c>
      <c r="J867" t="n">
        <v>0</v>
      </c>
      <c r="K867" t="n">
        <v>0</v>
      </c>
      <c r="L867" t="n">
        <v>0</v>
      </c>
      <c r="M867" t="n">
        <v>0</v>
      </c>
      <c r="N867" t="n">
        <v>0</v>
      </c>
      <c r="O867" t="n">
        <v>0</v>
      </c>
      <c r="P867" t="n">
        <v>0</v>
      </c>
      <c r="Q867" t="n">
        <v>0</v>
      </c>
      <c r="R867" s="2" t="inlineStr"/>
    </row>
    <row r="868" ht="15" customHeight="1">
      <c r="A868" t="inlineStr">
        <is>
          <t>A 8454-2026</t>
        </is>
      </c>
      <c r="B868" s="1" t="n">
        <v>46065.42506944444</v>
      </c>
      <c r="C868" s="1" t="n">
        <v>46167</v>
      </c>
      <c r="D868" t="inlineStr">
        <is>
          <t>STOCKHOLMS LÄN</t>
        </is>
      </c>
      <c r="E868" t="inlineStr">
        <is>
          <t>NORRTÄLJE</t>
        </is>
      </c>
      <c r="G868" t="n">
        <v>3.2</v>
      </c>
      <c r="H868" t="n">
        <v>0</v>
      </c>
      <c r="I868" t="n">
        <v>0</v>
      </c>
      <c r="J868" t="n">
        <v>0</v>
      </c>
      <c r="K868" t="n">
        <v>0</v>
      </c>
      <c r="L868" t="n">
        <v>0</v>
      </c>
      <c r="M868" t="n">
        <v>0</v>
      </c>
      <c r="N868" t="n">
        <v>0</v>
      </c>
      <c r="O868" t="n">
        <v>0</v>
      </c>
      <c r="P868" t="n">
        <v>0</v>
      </c>
      <c r="Q868" t="n">
        <v>0</v>
      </c>
      <c r="R868" s="2" t="inlineStr"/>
    </row>
    <row r="869" ht="15" customHeight="1">
      <c r="A869" t="inlineStr">
        <is>
          <t>A 9103-2026</t>
        </is>
      </c>
      <c r="B869" s="1" t="n">
        <v>46069.65039351852</v>
      </c>
      <c r="C869" s="1" t="n">
        <v>46167</v>
      </c>
      <c r="D869" t="inlineStr">
        <is>
          <t>STOCKHOLMS LÄN</t>
        </is>
      </c>
      <c r="E869" t="inlineStr">
        <is>
          <t>NORRTÄLJE</t>
        </is>
      </c>
      <c r="F869" t="inlineStr">
        <is>
          <t>Holmen skog AB</t>
        </is>
      </c>
      <c r="G869" t="n">
        <v>3.6</v>
      </c>
      <c r="H869" t="n">
        <v>0</v>
      </c>
      <c r="I869" t="n">
        <v>0</v>
      </c>
      <c r="J869" t="n">
        <v>0</v>
      </c>
      <c r="K869" t="n">
        <v>0</v>
      </c>
      <c r="L869" t="n">
        <v>0</v>
      </c>
      <c r="M869" t="n">
        <v>0</v>
      </c>
      <c r="N869" t="n">
        <v>0</v>
      </c>
      <c r="O869" t="n">
        <v>0</v>
      </c>
      <c r="P869" t="n">
        <v>0</v>
      </c>
      <c r="Q869" t="n">
        <v>0</v>
      </c>
      <c r="R869" s="2" t="inlineStr"/>
    </row>
    <row r="870" ht="15" customHeight="1">
      <c r="A870" t="inlineStr">
        <is>
          <t>A 8989-2026</t>
        </is>
      </c>
      <c r="B870" s="1" t="n">
        <v>46069.45789351852</v>
      </c>
      <c r="C870" s="1" t="n">
        <v>46167</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34391-2023</t>
        </is>
      </c>
      <c r="B871" s="1" t="n">
        <v>45139.51457175926</v>
      </c>
      <c r="C871" s="1" t="n">
        <v>46167</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8985-2026</t>
        </is>
      </c>
      <c r="B872" s="1" t="n">
        <v>46069.45234953704</v>
      </c>
      <c r="C872" s="1" t="n">
        <v>46167</v>
      </c>
      <c r="D872" t="inlineStr">
        <is>
          <t>STOCKHOLMS LÄN</t>
        </is>
      </c>
      <c r="E872" t="inlineStr">
        <is>
          <t>NORRTÄLJE</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8962-2026</t>
        </is>
      </c>
      <c r="B873" s="1" t="n">
        <v>46069.41644675926</v>
      </c>
      <c r="C873" s="1" t="n">
        <v>46167</v>
      </c>
      <c r="D873" t="inlineStr">
        <is>
          <t>STOCKHOLMS LÄN</t>
        </is>
      </c>
      <c r="E873" t="inlineStr">
        <is>
          <t>NORRTÄLJE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67921-2021</t>
        </is>
      </c>
      <c r="B874" s="1" t="n">
        <v>44525</v>
      </c>
      <c r="C874" s="1" t="n">
        <v>46167</v>
      </c>
      <c r="D874" t="inlineStr">
        <is>
          <t>STOCKHOLMS LÄN</t>
        </is>
      </c>
      <c r="E874" t="inlineStr">
        <is>
          <t>NORRTÄLJE</t>
        </is>
      </c>
      <c r="G874" t="n">
        <v>6.3</v>
      </c>
      <c r="H874" t="n">
        <v>0</v>
      </c>
      <c r="I874" t="n">
        <v>0</v>
      </c>
      <c r="J874" t="n">
        <v>0</v>
      </c>
      <c r="K874" t="n">
        <v>0</v>
      </c>
      <c r="L874" t="n">
        <v>0</v>
      </c>
      <c r="M874" t="n">
        <v>0</v>
      </c>
      <c r="N874" t="n">
        <v>0</v>
      </c>
      <c r="O874" t="n">
        <v>0</v>
      </c>
      <c r="P874" t="n">
        <v>0</v>
      </c>
      <c r="Q874" t="n">
        <v>0</v>
      </c>
      <c r="R874" s="2" t="inlineStr"/>
    </row>
    <row r="875" ht="15" customHeight="1">
      <c r="A875" t="inlineStr">
        <is>
          <t>A 25681-2024</t>
        </is>
      </c>
      <c r="B875" s="1" t="n">
        <v>45463.80486111111</v>
      </c>
      <c r="C875" s="1" t="n">
        <v>46167</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58853-2024</t>
        </is>
      </c>
      <c r="B876" s="1" t="n">
        <v>45636.38974537037</v>
      </c>
      <c r="C876" s="1" t="n">
        <v>46167</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35438-2023</t>
        </is>
      </c>
      <c r="B877" s="1" t="n">
        <v>45146</v>
      </c>
      <c r="C877" s="1" t="n">
        <v>46167</v>
      </c>
      <c r="D877" t="inlineStr">
        <is>
          <t>STOCKHOLMS LÄN</t>
        </is>
      </c>
      <c r="E877" t="inlineStr">
        <is>
          <t>NORRTÄLJE</t>
        </is>
      </c>
      <c r="F877" t="inlineStr">
        <is>
          <t>Kommuner</t>
        </is>
      </c>
      <c r="G877" t="n">
        <v>1.9</v>
      </c>
      <c r="H877" t="n">
        <v>0</v>
      </c>
      <c r="I877" t="n">
        <v>0</v>
      </c>
      <c r="J877" t="n">
        <v>0</v>
      </c>
      <c r="K877" t="n">
        <v>0</v>
      </c>
      <c r="L877" t="n">
        <v>0</v>
      </c>
      <c r="M877" t="n">
        <v>0</v>
      </c>
      <c r="N877" t="n">
        <v>0</v>
      </c>
      <c r="O877" t="n">
        <v>0</v>
      </c>
      <c r="P877" t="n">
        <v>0</v>
      </c>
      <c r="Q877" t="n">
        <v>0</v>
      </c>
      <c r="R877" s="2" t="inlineStr"/>
    </row>
    <row r="878" ht="15" customHeight="1">
      <c r="A878" t="inlineStr">
        <is>
          <t>A 9720-2026</t>
        </is>
      </c>
      <c r="B878" s="1" t="n">
        <v>46072.45061342593</v>
      </c>
      <c r="C878" s="1" t="n">
        <v>46167</v>
      </c>
      <c r="D878" t="inlineStr">
        <is>
          <t>STOCKHOLMS LÄN</t>
        </is>
      </c>
      <c r="E878" t="inlineStr">
        <is>
          <t>NORRTÄLJE</t>
        </is>
      </c>
      <c r="G878" t="n">
        <v>3.6</v>
      </c>
      <c r="H878" t="n">
        <v>0</v>
      </c>
      <c r="I878" t="n">
        <v>0</v>
      </c>
      <c r="J878" t="n">
        <v>0</v>
      </c>
      <c r="K878" t="n">
        <v>0</v>
      </c>
      <c r="L878" t="n">
        <v>0</v>
      </c>
      <c r="M878" t="n">
        <v>0</v>
      </c>
      <c r="N878" t="n">
        <v>0</v>
      </c>
      <c r="O878" t="n">
        <v>0</v>
      </c>
      <c r="P878" t="n">
        <v>0</v>
      </c>
      <c r="Q878" t="n">
        <v>0</v>
      </c>
      <c r="R878" s="2" t="inlineStr"/>
    </row>
    <row r="879" ht="15" customHeight="1">
      <c r="A879" t="inlineStr">
        <is>
          <t>A 20291-2022</t>
        </is>
      </c>
      <c r="B879" s="1" t="n">
        <v>44698</v>
      </c>
      <c r="C879" s="1" t="n">
        <v>46167</v>
      </c>
      <c r="D879" t="inlineStr">
        <is>
          <t>STOCKHOLMS LÄN</t>
        </is>
      </c>
      <c r="E879" t="inlineStr">
        <is>
          <t>NORRTÄLJE</t>
        </is>
      </c>
      <c r="F879" t="inlineStr">
        <is>
          <t>Naturvårdsverket</t>
        </is>
      </c>
      <c r="G879" t="n">
        <v>2</v>
      </c>
      <c r="H879" t="n">
        <v>0</v>
      </c>
      <c r="I879" t="n">
        <v>0</v>
      </c>
      <c r="J879" t="n">
        <v>0</v>
      </c>
      <c r="K879" t="n">
        <v>0</v>
      </c>
      <c r="L879" t="n">
        <v>0</v>
      </c>
      <c r="M879" t="n">
        <v>0</v>
      </c>
      <c r="N879" t="n">
        <v>0</v>
      </c>
      <c r="O879" t="n">
        <v>0</v>
      </c>
      <c r="P879" t="n">
        <v>0</v>
      </c>
      <c r="Q879" t="n">
        <v>0</v>
      </c>
      <c r="R879" s="2" t="inlineStr"/>
    </row>
    <row r="880" ht="15" customHeight="1">
      <c r="A880" t="inlineStr">
        <is>
          <t>A 26115-2024</t>
        </is>
      </c>
      <c r="B880" s="1" t="n">
        <v>45468.45628472222</v>
      </c>
      <c r="C880" s="1" t="n">
        <v>46167</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10646-2026</t>
        </is>
      </c>
      <c r="B881" s="1" t="n">
        <v>46078.34157407407</v>
      </c>
      <c r="C881" s="1" t="n">
        <v>46167</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10399-2026</t>
        </is>
      </c>
      <c r="B882" s="1" t="n">
        <v>46077</v>
      </c>
      <c r="C882" s="1" t="n">
        <v>46167</v>
      </c>
      <c r="D882" t="inlineStr">
        <is>
          <t>STOCKHOLMS LÄN</t>
        </is>
      </c>
      <c r="E882" t="inlineStr">
        <is>
          <t>NORRTÄLJE</t>
        </is>
      </c>
      <c r="F882" t="inlineStr">
        <is>
          <t>Övriga Aktiebolag</t>
        </is>
      </c>
      <c r="G882" t="n">
        <v>0.2</v>
      </c>
      <c r="H882" t="n">
        <v>0</v>
      </c>
      <c r="I882" t="n">
        <v>0</v>
      </c>
      <c r="J882" t="n">
        <v>0</v>
      </c>
      <c r="K882" t="n">
        <v>0</v>
      </c>
      <c r="L882" t="n">
        <v>0</v>
      </c>
      <c r="M882" t="n">
        <v>0</v>
      </c>
      <c r="N882" t="n">
        <v>0</v>
      </c>
      <c r="O882" t="n">
        <v>0</v>
      </c>
      <c r="P882" t="n">
        <v>0</v>
      </c>
      <c r="Q882" t="n">
        <v>0</v>
      </c>
      <c r="R882" s="2" t="inlineStr"/>
    </row>
    <row r="883" ht="15" customHeight="1">
      <c r="A883" t="inlineStr">
        <is>
          <t>A 10586-2026</t>
        </is>
      </c>
      <c r="B883" s="1" t="n">
        <v>46077.68192129629</v>
      </c>
      <c r="C883" s="1" t="n">
        <v>46167</v>
      </c>
      <c r="D883" t="inlineStr">
        <is>
          <t>STOCKHOLMS LÄN</t>
        </is>
      </c>
      <c r="E883" t="inlineStr">
        <is>
          <t>NORRTÄLJE</t>
        </is>
      </c>
      <c r="F883" t="inlineStr">
        <is>
          <t>Holmen skog AB</t>
        </is>
      </c>
      <c r="G883" t="n">
        <v>3.3</v>
      </c>
      <c r="H883" t="n">
        <v>0</v>
      </c>
      <c r="I883" t="n">
        <v>0</v>
      </c>
      <c r="J883" t="n">
        <v>0</v>
      </c>
      <c r="K883" t="n">
        <v>0</v>
      </c>
      <c r="L883" t="n">
        <v>0</v>
      </c>
      <c r="M883" t="n">
        <v>0</v>
      </c>
      <c r="N883" t="n">
        <v>0</v>
      </c>
      <c r="O883" t="n">
        <v>0</v>
      </c>
      <c r="P883" t="n">
        <v>0</v>
      </c>
      <c r="Q883" t="n">
        <v>0</v>
      </c>
      <c r="R883" s="2" t="inlineStr"/>
    </row>
    <row r="884" ht="15" customHeight="1">
      <c r="A884" t="inlineStr">
        <is>
          <t>A 10429-2026</t>
        </is>
      </c>
      <c r="B884" s="1" t="n">
        <v>46077.3822337963</v>
      </c>
      <c r="C884" s="1" t="n">
        <v>46167</v>
      </c>
      <c r="D884" t="inlineStr">
        <is>
          <t>STOCKHOLMS LÄN</t>
        </is>
      </c>
      <c r="E884" t="inlineStr">
        <is>
          <t>NORRTÄLJE</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10553-2026</t>
        </is>
      </c>
      <c r="B885" s="1" t="n">
        <v>46077.62944444444</v>
      </c>
      <c r="C885" s="1" t="n">
        <v>46167</v>
      </c>
      <c r="D885" t="inlineStr">
        <is>
          <t>STOCKHOLMS LÄN</t>
        </is>
      </c>
      <c r="E885" t="inlineStr">
        <is>
          <t>NORRTÄLJE</t>
        </is>
      </c>
      <c r="G885" t="n">
        <v>4.9</v>
      </c>
      <c r="H885" t="n">
        <v>0</v>
      </c>
      <c r="I885" t="n">
        <v>0</v>
      </c>
      <c r="J885" t="n">
        <v>0</v>
      </c>
      <c r="K885" t="n">
        <v>0</v>
      </c>
      <c r="L885" t="n">
        <v>0</v>
      </c>
      <c r="M885" t="n">
        <v>0</v>
      </c>
      <c r="N885" t="n">
        <v>0</v>
      </c>
      <c r="O885" t="n">
        <v>0</v>
      </c>
      <c r="P885" t="n">
        <v>0</v>
      </c>
      <c r="Q885" t="n">
        <v>0</v>
      </c>
      <c r="R885" s="2" t="inlineStr"/>
    </row>
    <row r="886" ht="15" customHeight="1">
      <c r="A886" t="inlineStr">
        <is>
          <t>A 10444-2026</t>
        </is>
      </c>
      <c r="B886" s="1" t="n">
        <v>46077.42230324074</v>
      </c>
      <c r="C886" s="1" t="n">
        <v>46167</v>
      </c>
      <c r="D886" t="inlineStr">
        <is>
          <t>STOCKHOLMS LÄN</t>
        </is>
      </c>
      <c r="E886" t="inlineStr">
        <is>
          <t>NORRTÄLJE</t>
        </is>
      </c>
      <c r="F886" t="inlineStr">
        <is>
          <t>Holmen skog AB</t>
        </is>
      </c>
      <c r="G886" t="n">
        <v>4.9</v>
      </c>
      <c r="H886" t="n">
        <v>0</v>
      </c>
      <c r="I886" t="n">
        <v>0</v>
      </c>
      <c r="J886" t="n">
        <v>0</v>
      </c>
      <c r="K886" t="n">
        <v>0</v>
      </c>
      <c r="L886" t="n">
        <v>0</v>
      </c>
      <c r="M886" t="n">
        <v>0</v>
      </c>
      <c r="N886" t="n">
        <v>0</v>
      </c>
      <c r="O886" t="n">
        <v>0</v>
      </c>
      <c r="P886" t="n">
        <v>0</v>
      </c>
      <c r="Q886" t="n">
        <v>0</v>
      </c>
      <c r="R886" s="2" t="inlineStr"/>
    </row>
    <row r="887" ht="15" customHeight="1">
      <c r="A887" t="inlineStr">
        <is>
          <t>A 19118-2022</t>
        </is>
      </c>
      <c r="B887" s="1" t="n">
        <v>44691.5652662037</v>
      </c>
      <c r="C887" s="1" t="n">
        <v>46167</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8739-2024</t>
        </is>
      </c>
      <c r="B888" s="1" t="n">
        <v>45356.47784722222</v>
      </c>
      <c r="C888" s="1" t="n">
        <v>46167</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38759-2022</t>
        </is>
      </c>
      <c r="B889" s="1" t="n">
        <v>44816</v>
      </c>
      <c r="C889" s="1" t="n">
        <v>46167</v>
      </c>
      <c r="D889" t="inlineStr">
        <is>
          <t>STOCKHOLMS LÄN</t>
        </is>
      </c>
      <c r="E889" t="inlineStr">
        <is>
          <t>NORRTÄLJE</t>
        </is>
      </c>
      <c r="G889" t="n">
        <v>2.8</v>
      </c>
      <c r="H889" t="n">
        <v>0</v>
      </c>
      <c r="I889" t="n">
        <v>0</v>
      </c>
      <c r="J889" t="n">
        <v>0</v>
      </c>
      <c r="K889" t="n">
        <v>0</v>
      </c>
      <c r="L889" t="n">
        <v>0</v>
      </c>
      <c r="M889" t="n">
        <v>0</v>
      </c>
      <c r="N889" t="n">
        <v>0</v>
      </c>
      <c r="O889" t="n">
        <v>0</v>
      </c>
      <c r="P889" t="n">
        <v>0</v>
      </c>
      <c r="Q889" t="n">
        <v>0</v>
      </c>
      <c r="R889" s="2" t="inlineStr"/>
    </row>
    <row r="890" ht="15" customHeight="1">
      <c r="A890" t="inlineStr">
        <is>
          <t>A 32857-2021</t>
        </is>
      </c>
      <c r="B890" s="1" t="n">
        <v>44375</v>
      </c>
      <c r="C890" s="1" t="n">
        <v>46167</v>
      </c>
      <c r="D890" t="inlineStr">
        <is>
          <t>STOCKHOLMS LÄN</t>
        </is>
      </c>
      <c r="E890" t="inlineStr">
        <is>
          <t>NORRTÄLJE</t>
        </is>
      </c>
      <c r="G890" t="n">
        <v>2.9</v>
      </c>
      <c r="H890" t="n">
        <v>0</v>
      </c>
      <c r="I890" t="n">
        <v>0</v>
      </c>
      <c r="J890" t="n">
        <v>0</v>
      </c>
      <c r="K890" t="n">
        <v>0</v>
      </c>
      <c r="L890" t="n">
        <v>0</v>
      </c>
      <c r="M890" t="n">
        <v>0</v>
      </c>
      <c r="N890" t="n">
        <v>0</v>
      </c>
      <c r="O890" t="n">
        <v>0</v>
      </c>
      <c r="P890" t="n">
        <v>0</v>
      </c>
      <c r="Q890" t="n">
        <v>0</v>
      </c>
      <c r="R890" s="2" t="inlineStr"/>
    </row>
    <row r="891" ht="15" customHeight="1">
      <c r="A891" t="inlineStr">
        <is>
          <t>A 29714-2023</t>
        </is>
      </c>
      <c r="B891" s="1" t="n">
        <v>45107.42538194444</v>
      </c>
      <c r="C891" s="1" t="n">
        <v>46167</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23271-2023</t>
        </is>
      </c>
      <c r="B892" s="1" t="n">
        <v>45075.91362268518</v>
      </c>
      <c r="C892" s="1" t="n">
        <v>46167</v>
      </c>
      <c r="D892" t="inlineStr">
        <is>
          <t>STOCKHOLMS LÄN</t>
        </is>
      </c>
      <c r="E892" t="inlineStr">
        <is>
          <t>NORRTÄLJE</t>
        </is>
      </c>
      <c r="G892" t="n">
        <v>5.1</v>
      </c>
      <c r="H892" t="n">
        <v>0</v>
      </c>
      <c r="I892" t="n">
        <v>0</v>
      </c>
      <c r="J892" t="n">
        <v>0</v>
      </c>
      <c r="K892" t="n">
        <v>0</v>
      </c>
      <c r="L892" t="n">
        <v>0</v>
      </c>
      <c r="M892" t="n">
        <v>0</v>
      </c>
      <c r="N892" t="n">
        <v>0</v>
      </c>
      <c r="O892" t="n">
        <v>0</v>
      </c>
      <c r="P892" t="n">
        <v>0</v>
      </c>
      <c r="Q892" t="n">
        <v>0</v>
      </c>
      <c r="R892" s="2" t="inlineStr"/>
    </row>
    <row r="893" ht="15" customHeight="1">
      <c r="A893" t="inlineStr">
        <is>
          <t>A 23273-2023</t>
        </is>
      </c>
      <c r="B893" s="1" t="n">
        <v>45075.91971064815</v>
      </c>
      <c r="C893" s="1" t="n">
        <v>46167</v>
      </c>
      <c r="D893" t="inlineStr">
        <is>
          <t>STOCKHOLMS LÄN</t>
        </is>
      </c>
      <c r="E893" t="inlineStr">
        <is>
          <t>NORRTÄLJE</t>
        </is>
      </c>
      <c r="G893" t="n">
        <v>7.5</v>
      </c>
      <c r="H893" t="n">
        <v>0</v>
      </c>
      <c r="I893" t="n">
        <v>0</v>
      </c>
      <c r="J893" t="n">
        <v>0</v>
      </c>
      <c r="K893" t="n">
        <v>0</v>
      </c>
      <c r="L893" t="n">
        <v>0</v>
      </c>
      <c r="M893" t="n">
        <v>0</v>
      </c>
      <c r="N893" t="n">
        <v>0</v>
      </c>
      <c r="O893" t="n">
        <v>0</v>
      </c>
      <c r="P893" t="n">
        <v>0</v>
      </c>
      <c r="Q893" t="n">
        <v>0</v>
      </c>
      <c r="R893" s="2" t="inlineStr"/>
    </row>
    <row r="894" ht="15" customHeight="1">
      <c r="A894" t="inlineStr">
        <is>
          <t>A 11648-2026</t>
        </is>
      </c>
      <c r="B894" s="1" t="n">
        <v>46084.51575231482</v>
      </c>
      <c r="C894" s="1" t="n">
        <v>46167</v>
      </c>
      <c r="D894" t="inlineStr">
        <is>
          <t>STOCKHOLMS LÄN</t>
        </is>
      </c>
      <c r="E894" t="inlineStr">
        <is>
          <t>NORRTÄLJE</t>
        </is>
      </c>
      <c r="G894" t="n">
        <v>4.1</v>
      </c>
      <c r="H894" t="n">
        <v>0</v>
      </c>
      <c r="I894" t="n">
        <v>0</v>
      </c>
      <c r="J894" t="n">
        <v>0</v>
      </c>
      <c r="K894" t="n">
        <v>0</v>
      </c>
      <c r="L894" t="n">
        <v>0</v>
      </c>
      <c r="M894" t="n">
        <v>0</v>
      </c>
      <c r="N894" t="n">
        <v>0</v>
      </c>
      <c r="O894" t="n">
        <v>0</v>
      </c>
      <c r="P894" t="n">
        <v>0</v>
      </c>
      <c r="Q894" t="n">
        <v>0</v>
      </c>
      <c r="R894" s="2" t="inlineStr"/>
    </row>
    <row r="895" ht="15" customHeight="1">
      <c r="A895" t="inlineStr">
        <is>
          <t>A 7603-2025</t>
        </is>
      </c>
      <c r="B895" s="1" t="n">
        <v>45705.66126157407</v>
      </c>
      <c r="C895" s="1" t="n">
        <v>46167</v>
      </c>
      <c r="D895" t="inlineStr">
        <is>
          <t>STOCKHOLMS LÄN</t>
        </is>
      </c>
      <c r="E895" t="inlineStr">
        <is>
          <t>NORRTÄLJE</t>
        </is>
      </c>
      <c r="F895" t="inlineStr">
        <is>
          <t>Holmen skog AB</t>
        </is>
      </c>
      <c r="G895" t="n">
        <v>2.4</v>
      </c>
      <c r="H895" t="n">
        <v>0</v>
      </c>
      <c r="I895" t="n">
        <v>0</v>
      </c>
      <c r="J895" t="n">
        <v>0</v>
      </c>
      <c r="K895" t="n">
        <v>0</v>
      </c>
      <c r="L895" t="n">
        <v>0</v>
      </c>
      <c r="M895" t="n">
        <v>0</v>
      </c>
      <c r="N895" t="n">
        <v>0</v>
      </c>
      <c r="O895" t="n">
        <v>0</v>
      </c>
      <c r="P895" t="n">
        <v>0</v>
      </c>
      <c r="Q895" t="n">
        <v>0</v>
      </c>
      <c r="R895" s="2" t="inlineStr"/>
    </row>
    <row r="896" ht="15" customHeight="1">
      <c r="A896" t="inlineStr">
        <is>
          <t>A 30802-2022</t>
        </is>
      </c>
      <c r="B896" s="1" t="n">
        <v>44764</v>
      </c>
      <c r="C896" s="1" t="n">
        <v>46167</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12234-2026</t>
        </is>
      </c>
      <c r="B897" s="1" t="n">
        <v>46087.4091087963</v>
      </c>
      <c r="C897" s="1" t="n">
        <v>46167</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55369-2023</t>
        </is>
      </c>
      <c r="B898" s="1" t="n">
        <v>45238</v>
      </c>
      <c r="C898" s="1" t="n">
        <v>46167</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61113-2023</t>
        </is>
      </c>
      <c r="B899" s="1" t="n">
        <v>45261</v>
      </c>
      <c r="C899" s="1" t="n">
        <v>46167</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3283-2025</t>
        </is>
      </c>
      <c r="B900" s="1" t="n">
        <v>45679</v>
      </c>
      <c r="C900" s="1" t="n">
        <v>46167</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34295-2024</t>
        </is>
      </c>
      <c r="B901" s="1" t="n">
        <v>45524</v>
      </c>
      <c r="C901" s="1" t="n">
        <v>46167</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58311-2023</t>
        </is>
      </c>
      <c r="B902" s="1" t="n">
        <v>45245</v>
      </c>
      <c r="C902" s="1" t="n">
        <v>46167</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23692-2024</t>
        </is>
      </c>
      <c r="B903" s="1" t="n">
        <v>45454.65774305556</v>
      </c>
      <c r="C903" s="1" t="n">
        <v>46167</v>
      </c>
      <c r="D903" t="inlineStr">
        <is>
          <t>STOCKHOLMS LÄN</t>
        </is>
      </c>
      <c r="E903" t="inlineStr">
        <is>
          <t>NORRTÄLJE</t>
        </is>
      </c>
      <c r="G903" t="n">
        <v>3.7</v>
      </c>
      <c r="H903" t="n">
        <v>0</v>
      </c>
      <c r="I903" t="n">
        <v>0</v>
      </c>
      <c r="J903" t="n">
        <v>0</v>
      </c>
      <c r="K903" t="n">
        <v>0</v>
      </c>
      <c r="L903" t="n">
        <v>0</v>
      </c>
      <c r="M903" t="n">
        <v>0</v>
      </c>
      <c r="N903" t="n">
        <v>0</v>
      </c>
      <c r="O903" t="n">
        <v>0</v>
      </c>
      <c r="P903" t="n">
        <v>0</v>
      </c>
      <c r="Q903" t="n">
        <v>0</v>
      </c>
      <c r="R903" s="2" t="inlineStr"/>
    </row>
    <row r="904" ht="15" customHeight="1">
      <c r="A904" t="inlineStr">
        <is>
          <t>A 19170-2026</t>
        </is>
      </c>
      <c r="B904" s="1" t="n">
        <v>46132.5859837963</v>
      </c>
      <c r="C904" s="1" t="n">
        <v>46167</v>
      </c>
      <c r="D904" t="inlineStr">
        <is>
          <t>STOCKHOLMS LÄN</t>
        </is>
      </c>
      <c r="E904" t="inlineStr">
        <is>
          <t>NORRTÄLJE</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19129-2026</t>
        </is>
      </c>
      <c r="B905" s="1" t="n">
        <v>46132.48601851852</v>
      </c>
      <c r="C905" s="1" t="n">
        <v>46167</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12718-2026</t>
        </is>
      </c>
      <c r="B906" s="1" t="n">
        <v>46091.60412037037</v>
      </c>
      <c r="C906" s="1" t="n">
        <v>46167</v>
      </c>
      <c r="D906" t="inlineStr">
        <is>
          <t>STOCKHOLMS LÄN</t>
        </is>
      </c>
      <c r="E906" t="inlineStr">
        <is>
          <t>NORRTÄLJE</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19688-2026</t>
        </is>
      </c>
      <c r="B907" s="1" t="n">
        <v>46134.67685185185</v>
      </c>
      <c r="C907" s="1" t="n">
        <v>46167</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12703-2026</t>
        </is>
      </c>
      <c r="B908" s="1" t="n">
        <v>46091.58175925926</v>
      </c>
      <c r="C908" s="1" t="n">
        <v>46167</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54273-2021</t>
        </is>
      </c>
      <c r="B909" s="1" t="n">
        <v>44470.72987268519</v>
      </c>
      <c r="C909" s="1" t="n">
        <v>46167</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19352-2026</t>
        </is>
      </c>
      <c r="B910" s="1" t="n">
        <v>46133.47344907407</v>
      </c>
      <c r="C910" s="1" t="n">
        <v>46167</v>
      </c>
      <c r="D910" t="inlineStr">
        <is>
          <t>STOCKHOLMS LÄN</t>
        </is>
      </c>
      <c r="E910" t="inlineStr">
        <is>
          <t>NORRTÄLJE</t>
        </is>
      </c>
      <c r="G910" t="n">
        <v>5.5</v>
      </c>
      <c r="H910" t="n">
        <v>0</v>
      </c>
      <c r="I910" t="n">
        <v>0</v>
      </c>
      <c r="J910" t="n">
        <v>0</v>
      </c>
      <c r="K910" t="n">
        <v>0</v>
      </c>
      <c r="L910" t="n">
        <v>0</v>
      </c>
      <c r="M910" t="n">
        <v>0</v>
      </c>
      <c r="N910" t="n">
        <v>0</v>
      </c>
      <c r="O910" t="n">
        <v>0</v>
      </c>
      <c r="P910" t="n">
        <v>0</v>
      </c>
      <c r="Q910" t="n">
        <v>0</v>
      </c>
      <c r="R910" s="2" t="inlineStr"/>
    </row>
    <row r="911" ht="15" customHeight="1">
      <c r="A911" t="inlineStr">
        <is>
          <t>A 19358-2026</t>
        </is>
      </c>
      <c r="B911" s="1" t="n">
        <v>46133.4978125</v>
      </c>
      <c r="C911" s="1" t="n">
        <v>46167</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13544-2026</t>
        </is>
      </c>
      <c r="B912" s="1" t="n">
        <v>46094.68538194444</v>
      </c>
      <c r="C912" s="1" t="n">
        <v>46167</v>
      </c>
      <c r="D912" t="inlineStr">
        <is>
          <t>STOCKHOLMS LÄN</t>
        </is>
      </c>
      <c r="E912" t="inlineStr">
        <is>
          <t>NORRTÄLJE</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7806-2025</t>
        </is>
      </c>
      <c r="B913" s="1" t="n">
        <v>45706.61178240741</v>
      </c>
      <c r="C913" s="1" t="n">
        <v>46167</v>
      </c>
      <c r="D913" t="inlineStr">
        <is>
          <t>STOCKHOLMS LÄN</t>
        </is>
      </c>
      <c r="E913" t="inlineStr">
        <is>
          <t>NORRTÄLJE</t>
        </is>
      </c>
      <c r="F913" t="inlineStr">
        <is>
          <t>Holmen skog AB</t>
        </is>
      </c>
      <c r="G913" t="n">
        <v>3.5</v>
      </c>
      <c r="H913" t="n">
        <v>0</v>
      </c>
      <c r="I913" t="n">
        <v>0</v>
      </c>
      <c r="J913" t="n">
        <v>0</v>
      </c>
      <c r="K913" t="n">
        <v>0</v>
      </c>
      <c r="L913" t="n">
        <v>0</v>
      </c>
      <c r="M913" t="n">
        <v>0</v>
      </c>
      <c r="N913" t="n">
        <v>0</v>
      </c>
      <c r="O913" t="n">
        <v>0</v>
      </c>
      <c r="P913" t="n">
        <v>0</v>
      </c>
      <c r="Q913" t="n">
        <v>0</v>
      </c>
      <c r="R913" s="2" t="inlineStr"/>
    </row>
    <row r="914" ht="15" customHeight="1">
      <c r="A914" t="inlineStr">
        <is>
          <t>A 13204-2026</t>
        </is>
      </c>
      <c r="B914" s="1" t="n">
        <v>46093.60788194444</v>
      </c>
      <c r="C914" s="1" t="n">
        <v>46167</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13545-2026</t>
        </is>
      </c>
      <c r="B915" s="1" t="n">
        <v>46094.6911574074</v>
      </c>
      <c r="C915" s="1" t="n">
        <v>46167</v>
      </c>
      <c r="D915" t="inlineStr">
        <is>
          <t>STOCKHOLMS LÄN</t>
        </is>
      </c>
      <c r="E915" t="inlineStr">
        <is>
          <t>NORRTÄLJE</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13109-2026</t>
        </is>
      </c>
      <c r="B916" s="1" t="n">
        <v>46093.42730324074</v>
      </c>
      <c r="C916" s="1" t="n">
        <v>46167</v>
      </c>
      <c r="D916" t="inlineStr">
        <is>
          <t>STOCKHOLMS LÄN</t>
        </is>
      </c>
      <c r="E916" t="inlineStr">
        <is>
          <t>NORRTÄLJE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13122-2026</t>
        </is>
      </c>
      <c r="B917" s="1" t="n">
        <v>46093.45657407407</v>
      </c>
      <c r="C917" s="1" t="n">
        <v>46167</v>
      </c>
      <c r="D917" t="inlineStr">
        <is>
          <t>STOCKHOLMS LÄN</t>
        </is>
      </c>
      <c r="E917" t="inlineStr">
        <is>
          <t>NORRTÄLJE</t>
        </is>
      </c>
      <c r="G917" t="n">
        <v>4</v>
      </c>
      <c r="H917" t="n">
        <v>0</v>
      </c>
      <c r="I917" t="n">
        <v>0</v>
      </c>
      <c r="J917" t="n">
        <v>0</v>
      </c>
      <c r="K917" t="n">
        <v>0</v>
      </c>
      <c r="L917" t="n">
        <v>0</v>
      </c>
      <c r="M917" t="n">
        <v>0</v>
      </c>
      <c r="N917" t="n">
        <v>0</v>
      </c>
      <c r="O917" t="n">
        <v>0</v>
      </c>
      <c r="P917" t="n">
        <v>0</v>
      </c>
      <c r="Q917" t="n">
        <v>0</v>
      </c>
      <c r="R917" s="2" t="inlineStr"/>
    </row>
    <row r="918" ht="15" customHeight="1">
      <c r="A918" t="inlineStr">
        <is>
          <t>A 53792-2023</t>
        </is>
      </c>
      <c r="B918" s="1" t="n">
        <v>45231.34144675926</v>
      </c>
      <c r="C918" s="1" t="n">
        <v>46167</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21329-2022</t>
        </is>
      </c>
      <c r="B919" s="1" t="n">
        <v>44705.60626157407</v>
      </c>
      <c r="C919" s="1" t="n">
        <v>46167</v>
      </c>
      <c r="D919" t="inlineStr">
        <is>
          <t>STOCKHOLMS LÄN</t>
        </is>
      </c>
      <c r="E919" t="inlineStr">
        <is>
          <t>NORRTÄLJE</t>
        </is>
      </c>
      <c r="G919" t="n">
        <v>4.1</v>
      </c>
      <c r="H919" t="n">
        <v>0</v>
      </c>
      <c r="I919" t="n">
        <v>0</v>
      </c>
      <c r="J919" t="n">
        <v>0</v>
      </c>
      <c r="K919" t="n">
        <v>0</v>
      </c>
      <c r="L919" t="n">
        <v>0</v>
      </c>
      <c r="M919" t="n">
        <v>0</v>
      </c>
      <c r="N919" t="n">
        <v>0</v>
      </c>
      <c r="O919" t="n">
        <v>0</v>
      </c>
      <c r="P919" t="n">
        <v>0</v>
      </c>
      <c r="Q919" t="n">
        <v>0</v>
      </c>
      <c r="R919" s="2" t="inlineStr"/>
    </row>
    <row r="920" ht="15" customHeight="1">
      <c r="A920" t="inlineStr">
        <is>
          <t>A 13546-2026</t>
        </is>
      </c>
      <c r="B920" s="1" t="n">
        <v>46094.69196759259</v>
      </c>
      <c r="C920" s="1" t="n">
        <v>46167</v>
      </c>
      <c r="D920" t="inlineStr">
        <is>
          <t>STOCKHOLMS LÄN</t>
        </is>
      </c>
      <c r="E920" t="inlineStr">
        <is>
          <t>NORRTÄLJE</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19759-2026</t>
        </is>
      </c>
      <c r="B921" s="1" t="n">
        <v>46135.41234953704</v>
      </c>
      <c r="C921" s="1" t="n">
        <v>46167</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50569-2022</t>
        </is>
      </c>
      <c r="B922" s="1" t="n">
        <v>44866.63775462963</v>
      </c>
      <c r="C922" s="1" t="n">
        <v>46167</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24501-2023</t>
        </is>
      </c>
      <c r="B923" s="1" t="n">
        <v>45082</v>
      </c>
      <c r="C923" s="1" t="n">
        <v>46167</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24520-2023</t>
        </is>
      </c>
      <c r="B924" s="1" t="n">
        <v>45082.68922453704</v>
      </c>
      <c r="C924" s="1" t="n">
        <v>46167</v>
      </c>
      <c r="D924" t="inlineStr">
        <is>
          <t>STOCKHOLMS LÄN</t>
        </is>
      </c>
      <c r="E924" t="inlineStr">
        <is>
          <t>NORRTÄLJE</t>
        </is>
      </c>
      <c r="G924" t="n">
        <v>4.3</v>
      </c>
      <c r="H924" t="n">
        <v>0</v>
      </c>
      <c r="I924" t="n">
        <v>0</v>
      </c>
      <c r="J924" t="n">
        <v>0</v>
      </c>
      <c r="K924" t="n">
        <v>0</v>
      </c>
      <c r="L924" t="n">
        <v>0</v>
      </c>
      <c r="M924" t="n">
        <v>0</v>
      </c>
      <c r="N924" t="n">
        <v>0</v>
      </c>
      <c r="O924" t="n">
        <v>0</v>
      </c>
      <c r="P924" t="n">
        <v>0</v>
      </c>
      <c r="Q924" t="n">
        <v>0</v>
      </c>
      <c r="R924" s="2" t="inlineStr"/>
    </row>
    <row r="925" ht="15" customHeight="1">
      <c r="A925" t="inlineStr">
        <is>
          <t>A 60654-2023</t>
        </is>
      </c>
      <c r="B925" s="1" t="n">
        <v>45260.43225694444</v>
      </c>
      <c r="C925" s="1" t="n">
        <v>46167</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60656-2023</t>
        </is>
      </c>
      <c r="B926" s="1" t="n">
        <v>45260.4333449074</v>
      </c>
      <c r="C926" s="1" t="n">
        <v>46167</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59477-2025</t>
        </is>
      </c>
      <c r="B927" s="1" t="n">
        <v>45989.58679398148</v>
      </c>
      <c r="C927" s="1" t="n">
        <v>46167</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54496-2024</t>
        </is>
      </c>
      <c r="B928" s="1" t="n">
        <v>45617.57439814815</v>
      </c>
      <c r="C928" s="1" t="n">
        <v>46167</v>
      </c>
      <c r="D928" t="inlineStr">
        <is>
          <t>STOCKHOLMS LÄN</t>
        </is>
      </c>
      <c r="E928" t="inlineStr">
        <is>
          <t>NORRTÄLJE</t>
        </is>
      </c>
      <c r="G928" t="n">
        <v>2.2</v>
      </c>
      <c r="H928" t="n">
        <v>0</v>
      </c>
      <c r="I928" t="n">
        <v>0</v>
      </c>
      <c r="J928" t="n">
        <v>0</v>
      </c>
      <c r="K928" t="n">
        <v>0</v>
      </c>
      <c r="L928" t="n">
        <v>0</v>
      </c>
      <c r="M928" t="n">
        <v>0</v>
      </c>
      <c r="N928" t="n">
        <v>0</v>
      </c>
      <c r="O928" t="n">
        <v>0</v>
      </c>
      <c r="P928" t="n">
        <v>0</v>
      </c>
      <c r="Q928" t="n">
        <v>0</v>
      </c>
      <c r="R928" s="2" t="inlineStr"/>
    </row>
    <row r="929" ht="15" customHeight="1">
      <c r="A929" t="inlineStr">
        <is>
          <t>A 21386-2023</t>
        </is>
      </c>
      <c r="B929" s="1" t="n">
        <v>45063.35880787037</v>
      </c>
      <c r="C929" s="1" t="n">
        <v>46167</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10642-2025</t>
        </is>
      </c>
      <c r="B930" s="1" t="n">
        <v>45721.65858796296</v>
      </c>
      <c r="C930" s="1" t="n">
        <v>46167</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20144-2023</t>
        </is>
      </c>
      <c r="B931" s="1" t="n">
        <v>45055.43509259259</v>
      </c>
      <c r="C931" s="1" t="n">
        <v>46167</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53312-2024</t>
        </is>
      </c>
      <c r="B932" s="1" t="n">
        <v>45614.39627314815</v>
      </c>
      <c r="C932" s="1" t="n">
        <v>46167</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39202-2024</t>
        </is>
      </c>
      <c r="B933" s="1" t="n">
        <v>45548.72306712963</v>
      </c>
      <c r="C933" s="1" t="n">
        <v>46167</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22756-2022</t>
        </is>
      </c>
      <c r="B934" s="1" t="n">
        <v>44714.92253472222</v>
      </c>
      <c r="C934" s="1" t="n">
        <v>46167</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4581-2025</t>
        </is>
      </c>
      <c r="B935" s="1" t="n">
        <v>45687</v>
      </c>
      <c r="C935" s="1" t="n">
        <v>46167</v>
      </c>
      <c r="D935" t="inlineStr">
        <is>
          <t>STOCKHOLMS LÄN</t>
        </is>
      </c>
      <c r="E935" t="inlineStr">
        <is>
          <t>NORRTÄLJE</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60765-2023</t>
        </is>
      </c>
      <c r="B936" s="1" t="n">
        <v>45260</v>
      </c>
      <c r="C936" s="1" t="n">
        <v>46167</v>
      </c>
      <c r="D936" t="inlineStr">
        <is>
          <t>STOCKHOLMS LÄN</t>
        </is>
      </c>
      <c r="E936" t="inlineStr">
        <is>
          <t>NORRTÄLJE</t>
        </is>
      </c>
      <c r="G936" t="n">
        <v>3.7</v>
      </c>
      <c r="H936" t="n">
        <v>0</v>
      </c>
      <c r="I936" t="n">
        <v>0</v>
      </c>
      <c r="J936" t="n">
        <v>0</v>
      </c>
      <c r="K936" t="n">
        <v>0</v>
      </c>
      <c r="L936" t="n">
        <v>0</v>
      </c>
      <c r="M936" t="n">
        <v>0</v>
      </c>
      <c r="N936" t="n">
        <v>0</v>
      </c>
      <c r="O936" t="n">
        <v>0</v>
      </c>
      <c r="P936" t="n">
        <v>0</v>
      </c>
      <c r="Q936" t="n">
        <v>0</v>
      </c>
      <c r="R936" s="2" t="inlineStr"/>
    </row>
    <row r="937" ht="15" customHeight="1">
      <c r="A937" t="inlineStr">
        <is>
          <t>A 23801-2022</t>
        </is>
      </c>
      <c r="B937" s="1" t="n">
        <v>44722</v>
      </c>
      <c r="C937" s="1" t="n">
        <v>46167</v>
      </c>
      <c r="D937" t="inlineStr">
        <is>
          <t>STOCKHOLMS LÄN</t>
        </is>
      </c>
      <c r="E937" t="inlineStr">
        <is>
          <t>NORRTÄLJE</t>
        </is>
      </c>
      <c r="G937" t="n">
        <v>6.8</v>
      </c>
      <c r="H937" t="n">
        <v>0</v>
      </c>
      <c r="I937" t="n">
        <v>0</v>
      </c>
      <c r="J937" t="n">
        <v>0</v>
      </c>
      <c r="K937" t="n">
        <v>0</v>
      </c>
      <c r="L937" t="n">
        <v>0</v>
      </c>
      <c r="M937" t="n">
        <v>0</v>
      </c>
      <c r="N937" t="n">
        <v>0</v>
      </c>
      <c r="O937" t="n">
        <v>0</v>
      </c>
      <c r="P937" t="n">
        <v>0</v>
      </c>
      <c r="Q937" t="n">
        <v>0</v>
      </c>
      <c r="R937" s="2" t="inlineStr"/>
    </row>
    <row r="938" ht="15" customHeight="1">
      <c r="A938" t="inlineStr">
        <is>
          <t>A 59276-2023</t>
        </is>
      </c>
      <c r="B938" s="1" t="n">
        <v>45253.55641203704</v>
      </c>
      <c r="C938" s="1" t="n">
        <v>46167</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46914-2022</t>
        </is>
      </c>
      <c r="B939" s="1" t="n">
        <v>44851</v>
      </c>
      <c r="C939" s="1" t="n">
        <v>46167</v>
      </c>
      <c r="D939" t="inlineStr">
        <is>
          <t>STOCKHOLMS LÄN</t>
        </is>
      </c>
      <c r="E939" t="inlineStr">
        <is>
          <t>NORRTÄLJE</t>
        </is>
      </c>
      <c r="G939" t="n">
        <v>2.4</v>
      </c>
      <c r="H939" t="n">
        <v>0</v>
      </c>
      <c r="I939" t="n">
        <v>0</v>
      </c>
      <c r="J939" t="n">
        <v>0</v>
      </c>
      <c r="K939" t="n">
        <v>0</v>
      </c>
      <c r="L939" t="n">
        <v>0</v>
      </c>
      <c r="M939" t="n">
        <v>0</v>
      </c>
      <c r="N939" t="n">
        <v>0</v>
      </c>
      <c r="O939" t="n">
        <v>0</v>
      </c>
      <c r="P939" t="n">
        <v>0</v>
      </c>
      <c r="Q939" t="n">
        <v>0</v>
      </c>
      <c r="R939" s="2" t="inlineStr"/>
    </row>
    <row r="940" ht="15" customHeight="1">
      <c r="A940" t="inlineStr">
        <is>
          <t>A 18541-2023</t>
        </is>
      </c>
      <c r="B940" s="1" t="n">
        <v>45042.74291666667</v>
      </c>
      <c r="C940" s="1" t="n">
        <v>46167</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3509-2022</t>
        </is>
      </c>
      <c r="B941" s="1" t="n">
        <v>44585</v>
      </c>
      <c r="C941" s="1" t="n">
        <v>46167</v>
      </c>
      <c r="D941" t="inlineStr">
        <is>
          <t>STOCKHOLMS LÄN</t>
        </is>
      </c>
      <c r="E941" t="inlineStr">
        <is>
          <t>NORRTÄLJE</t>
        </is>
      </c>
      <c r="F941" t="inlineStr">
        <is>
          <t>Kommuner</t>
        </is>
      </c>
      <c r="G941" t="n">
        <v>0.8</v>
      </c>
      <c r="H941" t="n">
        <v>0</v>
      </c>
      <c r="I941" t="n">
        <v>0</v>
      </c>
      <c r="J941" t="n">
        <v>0</v>
      </c>
      <c r="K941" t="n">
        <v>0</v>
      </c>
      <c r="L941" t="n">
        <v>0</v>
      </c>
      <c r="M941" t="n">
        <v>0</v>
      </c>
      <c r="N941" t="n">
        <v>0</v>
      </c>
      <c r="O941" t="n">
        <v>0</v>
      </c>
      <c r="P941" t="n">
        <v>0</v>
      </c>
      <c r="Q941" t="n">
        <v>0</v>
      </c>
      <c r="R941" s="2" t="inlineStr"/>
    </row>
    <row r="942" ht="15" customHeight="1">
      <c r="A942" t="inlineStr">
        <is>
          <t>A 26407-2024</t>
        </is>
      </c>
      <c r="B942" s="1" t="n">
        <v>45469</v>
      </c>
      <c r="C942" s="1" t="n">
        <v>46167</v>
      </c>
      <c r="D942" t="inlineStr">
        <is>
          <t>STOCKHOLMS LÄN</t>
        </is>
      </c>
      <c r="E942" t="inlineStr">
        <is>
          <t>NORRTÄLJE</t>
        </is>
      </c>
      <c r="G942" t="n">
        <v>3.5</v>
      </c>
      <c r="H942" t="n">
        <v>0</v>
      </c>
      <c r="I942" t="n">
        <v>0</v>
      </c>
      <c r="J942" t="n">
        <v>0</v>
      </c>
      <c r="K942" t="n">
        <v>0</v>
      </c>
      <c r="L942" t="n">
        <v>0</v>
      </c>
      <c r="M942" t="n">
        <v>0</v>
      </c>
      <c r="N942" t="n">
        <v>0</v>
      </c>
      <c r="O942" t="n">
        <v>0</v>
      </c>
      <c r="P942" t="n">
        <v>0</v>
      </c>
      <c r="Q942" t="n">
        <v>0</v>
      </c>
      <c r="R942" s="2" t="inlineStr"/>
    </row>
    <row r="943" ht="15" customHeight="1">
      <c r="A943" t="inlineStr">
        <is>
          <t>A 12890-2024</t>
        </is>
      </c>
      <c r="B943" s="1" t="n">
        <v>45385.36243055556</v>
      </c>
      <c r="C943" s="1" t="n">
        <v>46167</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47419-2023</t>
        </is>
      </c>
      <c r="B944" s="1" t="n">
        <v>45202.65660879629</v>
      </c>
      <c r="C944" s="1" t="n">
        <v>46167</v>
      </c>
      <c r="D944" t="inlineStr">
        <is>
          <t>STOCKHOLMS LÄN</t>
        </is>
      </c>
      <c r="E944" t="inlineStr">
        <is>
          <t>NORRTÄLJE</t>
        </is>
      </c>
      <c r="G944" t="n">
        <v>11.4</v>
      </c>
      <c r="H944" t="n">
        <v>0</v>
      </c>
      <c r="I944" t="n">
        <v>0</v>
      </c>
      <c r="J944" t="n">
        <v>0</v>
      </c>
      <c r="K944" t="n">
        <v>0</v>
      </c>
      <c r="L944" t="n">
        <v>0</v>
      </c>
      <c r="M944" t="n">
        <v>0</v>
      </c>
      <c r="N944" t="n">
        <v>0</v>
      </c>
      <c r="O944" t="n">
        <v>0</v>
      </c>
      <c r="P944" t="n">
        <v>0</v>
      </c>
      <c r="Q944" t="n">
        <v>0</v>
      </c>
      <c r="R944" s="2" t="inlineStr"/>
    </row>
    <row r="945" ht="15" customHeight="1">
      <c r="A945" t="inlineStr">
        <is>
          <t>A 23070-2023</t>
        </is>
      </c>
      <c r="B945" s="1" t="n">
        <v>45075</v>
      </c>
      <c r="C945" s="1" t="n">
        <v>46167</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27824-2022</t>
        </is>
      </c>
      <c r="B946" s="1" t="n">
        <v>44743.59331018518</v>
      </c>
      <c r="C946" s="1" t="n">
        <v>46167</v>
      </c>
      <c r="D946" t="inlineStr">
        <is>
          <t>STOCKHOLMS LÄN</t>
        </is>
      </c>
      <c r="E946" t="inlineStr">
        <is>
          <t>NORRTÄLJE</t>
        </is>
      </c>
      <c r="F946" t="inlineStr">
        <is>
          <t>Kommuner</t>
        </is>
      </c>
      <c r="G946" t="n">
        <v>3.1</v>
      </c>
      <c r="H946" t="n">
        <v>0</v>
      </c>
      <c r="I946" t="n">
        <v>0</v>
      </c>
      <c r="J946" t="n">
        <v>0</v>
      </c>
      <c r="K946" t="n">
        <v>0</v>
      </c>
      <c r="L946" t="n">
        <v>0</v>
      </c>
      <c r="M946" t="n">
        <v>0</v>
      </c>
      <c r="N946" t="n">
        <v>0</v>
      </c>
      <c r="O946" t="n">
        <v>0</v>
      </c>
      <c r="P946" t="n">
        <v>0</v>
      </c>
      <c r="Q946" t="n">
        <v>0</v>
      </c>
      <c r="R946" s="2" t="inlineStr"/>
    </row>
    <row r="947" ht="15" customHeight="1">
      <c r="A947" t="inlineStr">
        <is>
          <t>A 25619-2022</t>
        </is>
      </c>
      <c r="B947" s="1" t="n">
        <v>44732</v>
      </c>
      <c r="C947" s="1" t="n">
        <v>46167</v>
      </c>
      <c r="D947" t="inlineStr">
        <is>
          <t>STOCKHOLMS LÄN</t>
        </is>
      </c>
      <c r="E947" t="inlineStr">
        <is>
          <t>NORRTÄLJE</t>
        </is>
      </c>
      <c r="G947" t="n">
        <v>3.9</v>
      </c>
      <c r="H947" t="n">
        <v>0</v>
      </c>
      <c r="I947" t="n">
        <v>0</v>
      </c>
      <c r="J947" t="n">
        <v>0</v>
      </c>
      <c r="K947" t="n">
        <v>0</v>
      </c>
      <c r="L947" t="n">
        <v>0</v>
      </c>
      <c r="M947" t="n">
        <v>0</v>
      </c>
      <c r="N947" t="n">
        <v>0</v>
      </c>
      <c r="O947" t="n">
        <v>0</v>
      </c>
      <c r="P947" t="n">
        <v>0</v>
      </c>
      <c r="Q947" t="n">
        <v>0</v>
      </c>
      <c r="R947" s="2" t="inlineStr"/>
    </row>
    <row r="948" ht="15" customHeight="1">
      <c r="A948" t="inlineStr">
        <is>
          <t>A 36246-2021</t>
        </is>
      </c>
      <c r="B948" s="1" t="n">
        <v>44390</v>
      </c>
      <c r="C948" s="1" t="n">
        <v>46167</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14475-2026</t>
        </is>
      </c>
      <c r="B949" s="1" t="n">
        <v>46100.57251157407</v>
      </c>
      <c r="C949" s="1" t="n">
        <v>46167</v>
      </c>
      <c r="D949" t="inlineStr">
        <is>
          <t>STOCKHOLMS LÄN</t>
        </is>
      </c>
      <c r="E949" t="inlineStr">
        <is>
          <t>NORRTÄLJE</t>
        </is>
      </c>
      <c r="G949" t="n">
        <v>12.3</v>
      </c>
      <c r="H949" t="n">
        <v>0</v>
      </c>
      <c r="I949" t="n">
        <v>0</v>
      </c>
      <c r="J949" t="n">
        <v>0</v>
      </c>
      <c r="K949" t="n">
        <v>0</v>
      </c>
      <c r="L949" t="n">
        <v>0</v>
      </c>
      <c r="M949" t="n">
        <v>0</v>
      </c>
      <c r="N949" t="n">
        <v>0</v>
      </c>
      <c r="O949" t="n">
        <v>0</v>
      </c>
      <c r="P949" t="n">
        <v>0</v>
      </c>
      <c r="Q949" t="n">
        <v>0</v>
      </c>
      <c r="R949" s="2" t="inlineStr"/>
    </row>
    <row r="950" ht="15" customHeight="1">
      <c r="A950" t="inlineStr">
        <is>
          <t>A 19952-2023</t>
        </is>
      </c>
      <c r="B950" s="1" t="n">
        <v>45054.54091435186</v>
      </c>
      <c r="C950" s="1" t="n">
        <v>46167</v>
      </c>
      <c r="D950" t="inlineStr">
        <is>
          <t>STOCKHOLMS LÄN</t>
        </is>
      </c>
      <c r="E950" t="inlineStr">
        <is>
          <t>NORRTÄLJE</t>
        </is>
      </c>
      <c r="G950" t="n">
        <v>0.5</v>
      </c>
      <c r="H950" t="n">
        <v>0</v>
      </c>
      <c r="I950" t="n">
        <v>0</v>
      </c>
      <c r="J950" t="n">
        <v>0</v>
      </c>
      <c r="K950" t="n">
        <v>0</v>
      </c>
      <c r="L950" t="n">
        <v>0</v>
      </c>
      <c r="M950" t="n">
        <v>0</v>
      </c>
      <c r="N950" t="n">
        <v>0</v>
      </c>
      <c r="O950" t="n">
        <v>0</v>
      </c>
      <c r="P950" t="n">
        <v>0</v>
      </c>
      <c r="Q950" t="n">
        <v>0</v>
      </c>
      <c r="R950" s="2" t="inlineStr"/>
    </row>
    <row r="951" ht="15" customHeight="1">
      <c r="A951" t="inlineStr">
        <is>
          <t>A 19994-2023</t>
        </is>
      </c>
      <c r="B951" s="1" t="n">
        <v>45054</v>
      </c>
      <c r="C951" s="1" t="n">
        <v>46167</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14130-2025</t>
        </is>
      </c>
      <c r="B952" s="1" t="n">
        <v>45740.47288194444</v>
      </c>
      <c r="C952" s="1" t="n">
        <v>46167</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574-2023</t>
        </is>
      </c>
      <c r="B953" s="1" t="n">
        <v>44925</v>
      </c>
      <c r="C953" s="1" t="n">
        <v>46167</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14348-2026</t>
        </is>
      </c>
      <c r="B954" s="1" t="n">
        <v>46100.34112268518</v>
      </c>
      <c r="C954" s="1" t="n">
        <v>46167</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30283-2022</t>
        </is>
      </c>
      <c r="B955" s="1" t="n">
        <v>44760</v>
      </c>
      <c r="C955" s="1" t="n">
        <v>46167</v>
      </c>
      <c r="D955" t="inlineStr">
        <is>
          <t>STOCKHOLMS LÄN</t>
        </is>
      </c>
      <c r="E955" t="inlineStr">
        <is>
          <t>NORRTÄLJE</t>
        </is>
      </c>
      <c r="G955" t="n">
        <v>6.2</v>
      </c>
      <c r="H955" t="n">
        <v>0</v>
      </c>
      <c r="I955" t="n">
        <v>0</v>
      </c>
      <c r="J955" t="n">
        <v>0</v>
      </c>
      <c r="K955" t="n">
        <v>0</v>
      </c>
      <c r="L955" t="n">
        <v>0</v>
      </c>
      <c r="M955" t="n">
        <v>0</v>
      </c>
      <c r="N955" t="n">
        <v>0</v>
      </c>
      <c r="O955" t="n">
        <v>0</v>
      </c>
      <c r="P955" t="n">
        <v>0</v>
      </c>
      <c r="Q955" t="n">
        <v>0</v>
      </c>
      <c r="R955" s="2" t="inlineStr"/>
    </row>
    <row r="956" ht="15" customHeight="1">
      <c r="A956" t="inlineStr">
        <is>
          <t>A 30290-2022</t>
        </is>
      </c>
      <c r="B956" s="1" t="n">
        <v>44760</v>
      </c>
      <c r="C956" s="1" t="n">
        <v>46167</v>
      </c>
      <c r="D956" t="inlineStr">
        <is>
          <t>STOCKHOLMS LÄN</t>
        </is>
      </c>
      <c r="E956" t="inlineStr">
        <is>
          <t>NORRTÄLJE</t>
        </is>
      </c>
      <c r="G956" t="n">
        <v>4.8</v>
      </c>
      <c r="H956" t="n">
        <v>0</v>
      </c>
      <c r="I956" t="n">
        <v>0</v>
      </c>
      <c r="J956" t="n">
        <v>0</v>
      </c>
      <c r="K956" t="n">
        <v>0</v>
      </c>
      <c r="L956" t="n">
        <v>0</v>
      </c>
      <c r="M956" t="n">
        <v>0</v>
      </c>
      <c r="N956" t="n">
        <v>0</v>
      </c>
      <c r="O956" t="n">
        <v>0</v>
      </c>
      <c r="P956" t="n">
        <v>0</v>
      </c>
      <c r="Q956" t="n">
        <v>0</v>
      </c>
      <c r="R956" s="2" t="inlineStr"/>
    </row>
    <row r="957" ht="15" customHeight="1">
      <c r="A957" t="inlineStr">
        <is>
          <t>A 29684-2021</t>
        </is>
      </c>
      <c r="B957" s="1" t="n">
        <v>44362.37172453704</v>
      </c>
      <c r="C957" s="1" t="n">
        <v>46167</v>
      </c>
      <c r="D957" t="inlineStr">
        <is>
          <t>STOCKHOLMS LÄN</t>
        </is>
      </c>
      <c r="E957" t="inlineStr">
        <is>
          <t>NORRTÄLJE</t>
        </is>
      </c>
      <c r="F957" t="inlineStr">
        <is>
          <t>Holmen skog AB</t>
        </is>
      </c>
      <c r="G957" t="n">
        <v>1.5</v>
      </c>
      <c r="H957" t="n">
        <v>0</v>
      </c>
      <c r="I957" t="n">
        <v>0</v>
      </c>
      <c r="J957" t="n">
        <v>0</v>
      </c>
      <c r="K957" t="n">
        <v>0</v>
      </c>
      <c r="L957" t="n">
        <v>0</v>
      </c>
      <c r="M957" t="n">
        <v>0</v>
      </c>
      <c r="N957" t="n">
        <v>0</v>
      </c>
      <c r="O957" t="n">
        <v>0</v>
      </c>
      <c r="P957" t="n">
        <v>0</v>
      </c>
      <c r="Q957" t="n">
        <v>0</v>
      </c>
      <c r="R957" s="2" t="inlineStr"/>
    </row>
    <row r="958" ht="15" customHeight="1">
      <c r="A958" t="inlineStr">
        <is>
          <t>A 60884-2024</t>
        </is>
      </c>
      <c r="B958" s="1" t="n">
        <v>45644.90815972222</v>
      </c>
      <c r="C958" s="1" t="n">
        <v>46167</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44813.59915509259</v>
      </c>
      <c r="C959" s="1" t="n">
        <v>46167</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10090-2022</t>
        </is>
      </c>
      <c r="B960" s="1" t="n">
        <v>44621</v>
      </c>
      <c r="C960" s="1" t="n">
        <v>46167</v>
      </c>
      <c r="D960" t="inlineStr">
        <is>
          <t>STOCKHOLMS LÄN</t>
        </is>
      </c>
      <c r="E960" t="inlineStr">
        <is>
          <t>NORRTÄLJE</t>
        </is>
      </c>
      <c r="G960" t="n">
        <v>5.2</v>
      </c>
      <c r="H960" t="n">
        <v>0</v>
      </c>
      <c r="I960" t="n">
        <v>0</v>
      </c>
      <c r="J960" t="n">
        <v>0</v>
      </c>
      <c r="K960" t="n">
        <v>0</v>
      </c>
      <c r="L960" t="n">
        <v>0</v>
      </c>
      <c r="M960" t="n">
        <v>0</v>
      </c>
      <c r="N960" t="n">
        <v>0</v>
      </c>
      <c r="O960" t="n">
        <v>0</v>
      </c>
      <c r="P960" t="n">
        <v>0</v>
      </c>
      <c r="Q960" t="n">
        <v>0</v>
      </c>
      <c r="R960" s="2" t="inlineStr"/>
    </row>
    <row r="961" ht="15" customHeight="1">
      <c r="A961" t="inlineStr">
        <is>
          <t>A 14724-2022</t>
        </is>
      </c>
      <c r="B961" s="1" t="n">
        <v>44656</v>
      </c>
      <c r="C961" s="1" t="n">
        <v>46167</v>
      </c>
      <c r="D961" t="inlineStr">
        <is>
          <t>STOCKHOLMS LÄN</t>
        </is>
      </c>
      <c r="E961" t="inlineStr">
        <is>
          <t>NORRTÄLJE</t>
        </is>
      </c>
      <c r="F961" t="inlineStr">
        <is>
          <t>Sveaskog</t>
        </is>
      </c>
      <c r="G961" t="n">
        <v>9</v>
      </c>
      <c r="H961" t="n">
        <v>0</v>
      </c>
      <c r="I961" t="n">
        <v>0</v>
      </c>
      <c r="J961" t="n">
        <v>0</v>
      </c>
      <c r="K961" t="n">
        <v>0</v>
      </c>
      <c r="L961" t="n">
        <v>0</v>
      </c>
      <c r="M961" t="n">
        <v>0</v>
      </c>
      <c r="N961" t="n">
        <v>0</v>
      </c>
      <c r="O961" t="n">
        <v>0</v>
      </c>
      <c r="P961" t="n">
        <v>0</v>
      </c>
      <c r="Q961" t="n">
        <v>0</v>
      </c>
      <c r="R961" s="2" t="inlineStr"/>
    </row>
    <row r="962" ht="15" customHeight="1">
      <c r="A962" t="inlineStr">
        <is>
          <t>A 18846-2022</t>
        </is>
      </c>
      <c r="B962" s="1" t="n">
        <v>44690</v>
      </c>
      <c r="C962" s="1" t="n">
        <v>46167</v>
      </c>
      <c r="D962" t="inlineStr">
        <is>
          <t>STOCKHOLMS LÄN</t>
        </is>
      </c>
      <c r="E962" t="inlineStr">
        <is>
          <t>NORRTÄLJE</t>
        </is>
      </c>
      <c r="G962" t="n">
        <v>7</v>
      </c>
      <c r="H962" t="n">
        <v>0</v>
      </c>
      <c r="I962" t="n">
        <v>0</v>
      </c>
      <c r="J962" t="n">
        <v>0</v>
      </c>
      <c r="K962" t="n">
        <v>0</v>
      </c>
      <c r="L962" t="n">
        <v>0</v>
      </c>
      <c r="M962" t="n">
        <v>0</v>
      </c>
      <c r="N962" t="n">
        <v>0</v>
      </c>
      <c r="O962" t="n">
        <v>0</v>
      </c>
      <c r="P962" t="n">
        <v>0</v>
      </c>
      <c r="Q962" t="n">
        <v>0</v>
      </c>
      <c r="R962" s="2" t="inlineStr"/>
    </row>
    <row r="963" ht="15" customHeight="1">
      <c r="A963" t="inlineStr">
        <is>
          <t>A 43300-2023</t>
        </is>
      </c>
      <c r="B963" s="1" t="n">
        <v>45183</v>
      </c>
      <c r="C963" s="1" t="n">
        <v>46167</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25654-2023</t>
        </is>
      </c>
      <c r="B964" s="1" t="n">
        <v>45089</v>
      </c>
      <c r="C964" s="1" t="n">
        <v>46167</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23125-2022</t>
        </is>
      </c>
      <c r="B965" s="1" t="n">
        <v>44719</v>
      </c>
      <c r="C965" s="1" t="n">
        <v>46167</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20121-2022</t>
        </is>
      </c>
      <c r="B966" s="1" t="n">
        <v>44698</v>
      </c>
      <c r="C966" s="1" t="n">
        <v>46167</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33385-2024</t>
        </is>
      </c>
      <c r="B967" s="1" t="n">
        <v>45519</v>
      </c>
      <c r="C967" s="1" t="n">
        <v>46167</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41172-2023</t>
        </is>
      </c>
      <c r="B968" s="1" t="n">
        <v>45170</v>
      </c>
      <c r="C968" s="1" t="n">
        <v>46167</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73307-2021</t>
        </is>
      </c>
      <c r="B969" s="1" t="n">
        <v>44549</v>
      </c>
      <c r="C969" s="1" t="n">
        <v>46167</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50534-2024</t>
        </is>
      </c>
      <c r="B970" s="1" t="n">
        <v>45601.56726851852</v>
      </c>
      <c r="C970" s="1" t="n">
        <v>46167</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65499-2021</t>
        </is>
      </c>
      <c r="B971" s="1" t="n">
        <v>44516</v>
      </c>
      <c r="C971" s="1" t="n">
        <v>46167</v>
      </c>
      <c r="D971" t="inlineStr">
        <is>
          <t>STOCKHOLMS LÄN</t>
        </is>
      </c>
      <c r="E971" t="inlineStr">
        <is>
          <t>NORRTÄLJE</t>
        </is>
      </c>
      <c r="F971" t="inlineStr">
        <is>
          <t>Kommuner</t>
        </is>
      </c>
      <c r="G971" t="n">
        <v>5.2</v>
      </c>
      <c r="H971" t="n">
        <v>0</v>
      </c>
      <c r="I971" t="n">
        <v>0</v>
      </c>
      <c r="J971" t="n">
        <v>0</v>
      </c>
      <c r="K971" t="n">
        <v>0</v>
      </c>
      <c r="L971" t="n">
        <v>0</v>
      </c>
      <c r="M971" t="n">
        <v>0</v>
      </c>
      <c r="N971" t="n">
        <v>0</v>
      </c>
      <c r="O971" t="n">
        <v>0</v>
      </c>
      <c r="P971" t="n">
        <v>0</v>
      </c>
      <c r="Q971" t="n">
        <v>0</v>
      </c>
      <c r="R971" s="2" t="inlineStr"/>
    </row>
    <row r="972" ht="15" customHeight="1">
      <c r="A972" t="inlineStr">
        <is>
          <t>A 65511-2021</t>
        </is>
      </c>
      <c r="B972" s="1" t="n">
        <v>44516.40674768519</v>
      </c>
      <c r="C972" s="1" t="n">
        <v>46167</v>
      </c>
      <c r="D972" t="inlineStr">
        <is>
          <t>STOCKHOLMS LÄN</t>
        </is>
      </c>
      <c r="E972" t="inlineStr">
        <is>
          <t>NORRTÄLJE</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22833-2024</t>
        </is>
      </c>
      <c r="B973" s="1" t="n">
        <v>45448.56746527777</v>
      </c>
      <c r="C973" s="1" t="n">
        <v>46167</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32514-2022</t>
        </is>
      </c>
      <c r="B974" s="1" t="n">
        <v>44782</v>
      </c>
      <c r="C974" s="1" t="n">
        <v>46167</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29362-2022</t>
        </is>
      </c>
      <c r="B975" s="1" t="n">
        <v>44753</v>
      </c>
      <c r="C975" s="1" t="n">
        <v>46167</v>
      </c>
      <c r="D975" t="inlineStr">
        <is>
          <t>STOCKHOLMS LÄN</t>
        </is>
      </c>
      <c r="E975" t="inlineStr">
        <is>
          <t>NORRTÄLJE</t>
        </is>
      </c>
      <c r="G975" t="n">
        <v>3.8</v>
      </c>
      <c r="H975" t="n">
        <v>0</v>
      </c>
      <c r="I975" t="n">
        <v>0</v>
      </c>
      <c r="J975" t="n">
        <v>0</v>
      </c>
      <c r="K975" t="n">
        <v>0</v>
      </c>
      <c r="L975" t="n">
        <v>0</v>
      </c>
      <c r="M975" t="n">
        <v>0</v>
      </c>
      <c r="N975" t="n">
        <v>0</v>
      </c>
      <c r="O975" t="n">
        <v>0</v>
      </c>
      <c r="P975" t="n">
        <v>0</v>
      </c>
      <c r="Q975" t="n">
        <v>0</v>
      </c>
      <c r="R975" s="2" t="inlineStr"/>
    </row>
    <row r="976" ht="15" customHeight="1">
      <c r="A976" t="inlineStr">
        <is>
          <t>A 58492-2022</t>
        </is>
      </c>
      <c r="B976" s="1" t="n">
        <v>44902</v>
      </c>
      <c r="C976" s="1" t="n">
        <v>46167</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51315-2021</t>
        </is>
      </c>
      <c r="B977" s="1" t="n">
        <v>44461</v>
      </c>
      <c r="C977" s="1" t="n">
        <v>46167</v>
      </c>
      <c r="D977" t="inlineStr">
        <is>
          <t>STOCKHOLMS LÄN</t>
        </is>
      </c>
      <c r="E977" t="inlineStr">
        <is>
          <t>NORRTÄLJE</t>
        </is>
      </c>
      <c r="F977" t="inlineStr">
        <is>
          <t>Holmen skog AB</t>
        </is>
      </c>
      <c r="G977" t="n">
        <v>2.2</v>
      </c>
      <c r="H977" t="n">
        <v>0</v>
      </c>
      <c r="I977" t="n">
        <v>0</v>
      </c>
      <c r="J977" t="n">
        <v>0</v>
      </c>
      <c r="K977" t="n">
        <v>0</v>
      </c>
      <c r="L977" t="n">
        <v>0</v>
      </c>
      <c r="M977" t="n">
        <v>0</v>
      </c>
      <c r="N977" t="n">
        <v>0</v>
      </c>
      <c r="O977" t="n">
        <v>0</v>
      </c>
      <c r="P977" t="n">
        <v>0</v>
      </c>
      <c r="Q977" t="n">
        <v>0</v>
      </c>
      <c r="R977" s="2" t="inlineStr"/>
    </row>
    <row r="978" ht="15" customHeight="1">
      <c r="A978" t="inlineStr">
        <is>
          <t>A 21780-2026</t>
        </is>
      </c>
      <c r="B978" s="1" t="n">
        <v>46150.37418981481</v>
      </c>
      <c r="C978" s="1" t="n">
        <v>46167</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14873-2025</t>
        </is>
      </c>
      <c r="B979" s="1" t="n">
        <v>45743.44953703704</v>
      </c>
      <c r="C979" s="1" t="n">
        <v>46167</v>
      </c>
      <c r="D979" t="inlineStr">
        <is>
          <t>STOCKHOLMS LÄN</t>
        </is>
      </c>
      <c r="E979" t="inlineStr">
        <is>
          <t>NORRTÄLJE</t>
        </is>
      </c>
      <c r="G979" t="n">
        <v>10.2</v>
      </c>
      <c r="H979" t="n">
        <v>0</v>
      </c>
      <c r="I979" t="n">
        <v>0</v>
      </c>
      <c r="J979" t="n">
        <v>0</v>
      </c>
      <c r="K979" t="n">
        <v>0</v>
      </c>
      <c r="L979" t="n">
        <v>0</v>
      </c>
      <c r="M979" t="n">
        <v>0</v>
      </c>
      <c r="N979" t="n">
        <v>0</v>
      </c>
      <c r="O979" t="n">
        <v>0</v>
      </c>
      <c r="P979" t="n">
        <v>0</v>
      </c>
      <c r="Q979" t="n">
        <v>0</v>
      </c>
      <c r="R979" s="2" t="inlineStr"/>
    </row>
    <row r="980" ht="15" customHeight="1">
      <c r="A980" t="inlineStr">
        <is>
          <t>A 34773-2022</t>
        </is>
      </c>
      <c r="B980" s="1" t="n">
        <v>44795</v>
      </c>
      <c r="C980" s="1" t="n">
        <v>46167</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33173-2024</t>
        </is>
      </c>
      <c r="B981" s="1" t="n">
        <v>45518</v>
      </c>
      <c r="C981" s="1" t="n">
        <v>46167</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21818-2026</t>
        </is>
      </c>
      <c r="B982" s="1" t="n">
        <v>46150.47383101852</v>
      </c>
      <c r="C982" s="1" t="n">
        <v>46167</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14937-2026</t>
        </is>
      </c>
      <c r="B983" s="1" t="n">
        <v>46104</v>
      </c>
      <c r="C983" s="1" t="n">
        <v>46167</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21786-2026</t>
        </is>
      </c>
      <c r="B984" s="1" t="n">
        <v>46150.3862037037</v>
      </c>
      <c r="C984" s="1" t="n">
        <v>46167</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21815-2026</t>
        </is>
      </c>
      <c r="B985" s="1" t="n">
        <v>46150.47024305556</v>
      </c>
      <c r="C985" s="1" t="n">
        <v>46167</v>
      </c>
      <c r="D985" t="inlineStr">
        <is>
          <t>STOCKHOLMS LÄN</t>
        </is>
      </c>
      <c r="E985" t="inlineStr">
        <is>
          <t>NORRTÄLJE</t>
        </is>
      </c>
      <c r="G985" t="n">
        <v>2.8</v>
      </c>
      <c r="H985" t="n">
        <v>0</v>
      </c>
      <c r="I985" t="n">
        <v>0</v>
      </c>
      <c r="J985" t="n">
        <v>0</v>
      </c>
      <c r="K985" t="n">
        <v>0</v>
      </c>
      <c r="L985" t="n">
        <v>0</v>
      </c>
      <c r="M985" t="n">
        <v>0</v>
      </c>
      <c r="N985" t="n">
        <v>0</v>
      </c>
      <c r="O985" t="n">
        <v>0</v>
      </c>
      <c r="P985" t="n">
        <v>0</v>
      </c>
      <c r="Q985" t="n">
        <v>0</v>
      </c>
      <c r="R985" s="2" t="inlineStr"/>
    </row>
    <row r="986" ht="15" customHeight="1">
      <c r="A986" t="inlineStr">
        <is>
          <t>A 21753-2026</t>
        </is>
      </c>
      <c r="B986" s="1" t="n">
        <v>46149.68605324074</v>
      </c>
      <c r="C986" s="1" t="n">
        <v>46167</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21820-2026</t>
        </is>
      </c>
      <c r="B987" s="1" t="n">
        <v>46150.4799537037</v>
      </c>
      <c r="C987" s="1" t="n">
        <v>46167</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4484-2025</t>
        </is>
      </c>
      <c r="B988" s="1" t="n">
        <v>45686.65545138889</v>
      </c>
      <c r="C988" s="1" t="n">
        <v>46167</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33878-2024</t>
        </is>
      </c>
      <c r="B989" s="1" t="n">
        <v>45522.44414351852</v>
      </c>
      <c r="C989" s="1" t="n">
        <v>46167</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9246-2024</t>
        </is>
      </c>
      <c r="B990" s="1" t="n">
        <v>45357</v>
      </c>
      <c r="C990" s="1" t="n">
        <v>46167</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35698-2023</t>
        </is>
      </c>
      <c r="B991" s="1" t="n">
        <v>45147</v>
      </c>
      <c r="C991" s="1" t="n">
        <v>46167</v>
      </c>
      <c r="D991" t="inlineStr">
        <is>
          <t>STOCKHOLMS LÄN</t>
        </is>
      </c>
      <c r="E991" t="inlineStr">
        <is>
          <t>NORRTÄLJE</t>
        </is>
      </c>
      <c r="G991" t="n">
        <v>2.1</v>
      </c>
      <c r="H991" t="n">
        <v>0</v>
      </c>
      <c r="I991" t="n">
        <v>0</v>
      </c>
      <c r="J991" t="n">
        <v>0</v>
      </c>
      <c r="K991" t="n">
        <v>0</v>
      </c>
      <c r="L991" t="n">
        <v>0</v>
      </c>
      <c r="M991" t="n">
        <v>0</v>
      </c>
      <c r="N991" t="n">
        <v>0</v>
      </c>
      <c r="O991" t="n">
        <v>0</v>
      </c>
      <c r="P991" t="n">
        <v>0</v>
      </c>
      <c r="Q991" t="n">
        <v>0</v>
      </c>
      <c r="R991" s="2" t="inlineStr"/>
    </row>
    <row r="992" ht="15" customHeight="1">
      <c r="A992" t="inlineStr">
        <is>
          <t>A 62398-2022</t>
        </is>
      </c>
      <c r="B992" s="1" t="n">
        <v>44923.90159722222</v>
      </c>
      <c r="C992" s="1" t="n">
        <v>46167</v>
      </c>
      <c r="D992" t="inlineStr">
        <is>
          <t>STOCKHOLMS LÄN</t>
        </is>
      </c>
      <c r="E992" t="inlineStr">
        <is>
          <t>NORRTÄLJE</t>
        </is>
      </c>
      <c r="G992" t="n">
        <v>4</v>
      </c>
      <c r="H992" t="n">
        <v>0</v>
      </c>
      <c r="I992" t="n">
        <v>0</v>
      </c>
      <c r="J992" t="n">
        <v>0</v>
      </c>
      <c r="K992" t="n">
        <v>0</v>
      </c>
      <c r="L992" t="n">
        <v>0</v>
      </c>
      <c r="M992" t="n">
        <v>0</v>
      </c>
      <c r="N992" t="n">
        <v>0</v>
      </c>
      <c r="O992" t="n">
        <v>0</v>
      </c>
      <c r="P992" t="n">
        <v>0</v>
      </c>
      <c r="Q992" t="n">
        <v>0</v>
      </c>
      <c r="R992" s="2" t="inlineStr"/>
    </row>
    <row r="993" ht="15" customHeight="1">
      <c r="A993" t="inlineStr">
        <is>
          <t>A 49700-2023</t>
        </is>
      </c>
      <c r="B993" s="1" t="n">
        <v>45212</v>
      </c>
      <c r="C993" s="1" t="n">
        <v>46167</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32071-2023</t>
        </is>
      </c>
      <c r="B994" s="1" t="n">
        <v>45119.57728009259</v>
      </c>
      <c r="C994" s="1" t="n">
        <v>46167</v>
      </c>
      <c r="D994" t="inlineStr">
        <is>
          <t>STOCKHOLMS LÄN</t>
        </is>
      </c>
      <c r="E994" t="inlineStr">
        <is>
          <t>NORRTÄLJE</t>
        </is>
      </c>
      <c r="G994" t="n">
        <v>6.5</v>
      </c>
      <c r="H994" t="n">
        <v>0</v>
      </c>
      <c r="I994" t="n">
        <v>0</v>
      </c>
      <c r="J994" t="n">
        <v>0</v>
      </c>
      <c r="K994" t="n">
        <v>0</v>
      </c>
      <c r="L994" t="n">
        <v>0</v>
      </c>
      <c r="M994" t="n">
        <v>0</v>
      </c>
      <c r="N994" t="n">
        <v>0</v>
      </c>
      <c r="O994" t="n">
        <v>0</v>
      </c>
      <c r="P994" t="n">
        <v>0</v>
      </c>
      <c r="Q994" t="n">
        <v>0</v>
      </c>
      <c r="R994" s="2" t="inlineStr"/>
    </row>
    <row r="995" ht="15" customHeight="1">
      <c r="A995" t="inlineStr">
        <is>
          <t>A 1425-2025</t>
        </is>
      </c>
      <c r="B995" s="1" t="n">
        <v>45668.67446759259</v>
      </c>
      <c r="C995" s="1" t="n">
        <v>46167</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17775-2022</t>
        </is>
      </c>
      <c r="B996" s="1" t="n">
        <v>44682.78430555556</v>
      </c>
      <c r="C996" s="1" t="n">
        <v>46167</v>
      </c>
      <c r="D996" t="inlineStr">
        <is>
          <t>STOCKHOLMS LÄN</t>
        </is>
      </c>
      <c r="E996" t="inlineStr">
        <is>
          <t>NORRTÄLJE</t>
        </is>
      </c>
      <c r="G996" t="n">
        <v>4.7</v>
      </c>
      <c r="H996" t="n">
        <v>0</v>
      </c>
      <c r="I996" t="n">
        <v>0</v>
      </c>
      <c r="J996" t="n">
        <v>0</v>
      </c>
      <c r="K996" t="n">
        <v>0</v>
      </c>
      <c r="L996" t="n">
        <v>0</v>
      </c>
      <c r="M996" t="n">
        <v>0</v>
      </c>
      <c r="N996" t="n">
        <v>0</v>
      </c>
      <c r="O996" t="n">
        <v>0</v>
      </c>
      <c r="P996" t="n">
        <v>0</v>
      </c>
      <c r="Q996" t="n">
        <v>0</v>
      </c>
      <c r="R996" s="2" t="inlineStr"/>
    </row>
    <row r="997" ht="15" customHeight="1">
      <c r="A997" t="inlineStr">
        <is>
          <t>A 38720-2022</t>
        </is>
      </c>
      <c r="B997" s="1" t="n">
        <v>44815.74539351852</v>
      </c>
      <c r="C997" s="1" t="n">
        <v>46167</v>
      </c>
      <c r="D997" t="inlineStr">
        <is>
          <t>STOCKHOLMS LÄN</t>
        </is>
      </c>
      <c r="E997" t="inlineStr">
        <is>
          <t>NORRTÄLJE</t>
        </is>
      </c>
      <c r="G997" t="n">
        <v>2.5</v>
      </c>
      <c r="H997" t="n">
        <v>0</v>
      </c>
      <c r="I997" t="n">
        <v>0</v>
      </c>
      <c r="J997" t="n">
        <v>0</v>
      </c>
      <c r="K997" t="n">
        <v>0</v>
      </c>
      <c r="L997" t="n">
        <v>0</v>
      </c>
      <c r="M997" t="n">
        <v>0</v>
      </c>
      <c r="N997" t="n">
        <v>0</v>
      </c>
      <c r="O997" t="n">
        <v>0</v>
      </c>
      <c r="P997" t="n">
        <v>0</v>
      </c>
      <c r="Q997" t="n">
        <v>0</v>
      </c>
      <c r="R997" s="2" t="inlineStr"/>
    </row>
    <row r="998" ht="15" customHeight="1">
      <c r="A998" t="inlineStr">
        <is>
          <t>A 10215-2023</t>
        </is>
      </c>
      <c r="B998" s="1" t="n">
        <v>44986.5887962963</v>
      </c>
      <c r="C998" s="1" t="n">
        <v>46167</v>
      </c>
      <c r="D998" t="inlineStr">
        <is>
          <t>STOCKHOLMS LÄN</t>
        </is>
      </c>
      <c r="E998" t="inlineStr">
        <is>
          <t>NORRTÄLJE</t>
        </is>
      </c>
      <c r="G998" t="n">
        <v>6.5</v>
      </c>
      <c r="H998" t="n">
        <v>0</v>
      </c>
      <c r="I998" t="n">
        <v>0</v>
      </c>
      <c r="J998" t="n">
        <v>0</v>
      </c>
      <c r="K998" t="n">
        <v>0</v>
      </c>
      <c r="L998" t="n">
        <v>0</v>
      </c>
      <c r="M998" t="n">
        <v>0</v>
      </c>
      <c r="N998" t="n">
        <v>0</v>
      </c>
      <c r="O998" t="n">
        <v>0</v>
      </c>
      <c r="P998" t="n">
        <v>0</v>
      </c>
      <c r="Q998" t="n">
        <v>0</v>
      </c>
      <c r="R998" s="2" t="inlineStr"/>
    </row>
    <row r="999" ht="15" customHeight="1">
      <c r="A999" t="inlineStr">
        <is>
          <t>A 25609-2023</t>
        </is>
      </c>
      <c r="B999" s="1" t="n">
        <v>45089</v>
      </c>
      <c r="C999" s="1" t="n">
        <v>46167</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20014-2025</t>
        </is>
      </c>
      <c r="B1000" s="1" t="n">
        <v>45772.3078125</v>
      </c>
      <c r="C1000" s="1" t="n">
        <v>46167</v>
      </c>
      <c r="D1000" t="inlineStr">
        <is>
          <t>STOCKHOLMS LÄN</t>
        </is>
      </c>
      <c r="E1000" t="inlineStr">
        <is>
          <t>NORRTÄLJE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20136-2025</t>
        </is>
      </c>
      <c r="B1001" s="1" t="n">
        <v>45772.51127314815</v>
      </c>
      <c r="C1001" s="1" t="n">
        <v>46167</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2287-2024</t>
        </is>
      </c>
      <c r="B1002" s="1" t="n">
        <v>45310</v>
      </c>
      <c r="C1002" s="1" t="n">
        <v>46167</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13785-2024</t>
        </is>
      </c>
      <c r="B1003" s="1" t="n">
        <v>45391.3395949074</v>
      </c>
      <c r="C1003" s="1" t="n">
        <v>46167</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44866.49827546296</v>
      </c>
      <c r="C1004" s="1" t="n">
        <v>46167</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51116-2022</t>
        </is>
      </c>
      <c r="B1005" s="1" t="n">
        <v>44868.45741898148</v>
      </c>
      <c r="C1005" s="1" t="n">
        <v>46167</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60217-2021</t>
        </is>
      </c>
      <c r="B1006" s="1" t="n">
        <v>44495.5893287037</v>
      </c>
      <c r="C1006" s="1" t="n">
        <v>46167</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5839-2023</t>
        </is>
      </c>
      <c r="B1007" s="1" t="n">
        <v>44963</v>
      </c>
      <c r="C1007" s="1" t="n">
        <v>46167</v>
      </c>
      <c r="D1007" t="inlineStr">
        <is>
          <t>STOCKHOLMS LÄN</t>
        </is>
      </c>
      <c r="E1007" t="inlineStr">
        <is>
          <t>NORRTÄLJE</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38985-2022</t>
        </is>
      </c>
      <c r="B1008" s="1" t="n">
        <v>44816</v>
      </c>
      <c r="C1008" s="1" t="n">
        <v>46167</v>
      </c>
      <c r="D1008" t="inlineStr">
        <is>
          <t>STOCKHOLMS LÄN</t>
        </is>
      </c>
      <c r="E1008" t="inlineStr">
        <is>
          <t>NORRTÄLJE</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5665-2025</t>
        </is>
      </c>
      <c r="B1009" s="1" t="n">
        <v>45693</v>
      </c>
      <c r="C1009" s="1" t="n">
        <v>46167</v>
      </c>
      <c r="D1009" t="inlineStr">
        <is>
          <t>STOCKHOLMS LÄN</t>
        </is>
      </c>
      <c r="E1009" t="inlineStr">
        <is>
          <t>NORRTÄLJE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3426-2025</t>
        </is>
      </c>
      <c r="B1010" s="1" t="n">
        <v>45680.42665509259</v>
      </c>
      <c r="C1010" s="1" t="n">
        <v>46167</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58530-2024</t>
        </is>
      </c>
      <c r="B1011" s="1" t="n">
        <v>45635.44788194444</v>
      </c>
      <c r="C1011" s="1" t="n">
        <v>46167</v>
      </c>
      <c r="D1011" t="inlineStr">
        <is>
          <t>STOCKHOLMS LÄN</t>
        </is>
      </c>
      <c r="E1011" t="inlineStr">
        <is>
          <t>NORRTÄLJE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40761-2024</t>
        </is>
      </c>
      <c r="B1012" s="1" t="n">
        <v>45558.46283564815</v>
      </c>
      <c r="C1012" s="1" t="n">
        <v>46167</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4553-2023</t>
        </is>
      </c>
      <c r="B1013" s="1" t="n">
        <v>44956.65920138889</v>
      </c>
      <c r="C1013" s="1" t="n">
        <v>46167</v>
      </c>
      <c r="D1013" t="inlineStr">
        <is>
          <t>STOCKHOLMS LÄN</t>
        </is>
      </c>
      <c r="E1013" t="inlineStr">
        <is>
          <t>NORRTÄLJE</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4593-2023</t>
        </is>
      </c>
      <c r="B1014" s="1" t="n">
        <v>44956</v>
      </c>
      <c r="C1014" s="1" t="n">
        <v>46167</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13171-2025</t>
        </is>
      </c>
      <c r="B1015" s="1" t="n">
        <v>45735.36594907408</v>
      </c>
      <c r="C1015" s="1" t="n">
        <v>46167</v>
      </c>
      <c r="D1015" t="inlineStr">
        <is>
          <t>STOCKHOLMS LÄN</t>
        </is>
      </c>
      <c r="E1015" t="inlineStr">
        <is>
          <t>NORRTÄLJE</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51978-2023</t>
        </is>
      </c>
      <c r="B1016" s="1" t="n">
        <v>45223</v>
      </c>
      <c r="C1016" s="1" t="n">
        <v>46167</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18092-2022</t>
        </is>
      </c>
      <c r="B1017" s="1" t="n">
        <v>44684</v>
      </c>
      <c r="C1017" s="1" t="n">
        <v>46167</v>
      </c>
      <c r="D1017" t="inlineStr">
        <is>
          <t>STOCKHOLMS LÄN</t>
        </is>
      </c>
      <c r="E1017" t="inlineStr">
        <is>
          <t>NORRTÄLJE</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59310-2023</t>
        </is>
      </c>
      <c r="B1018" s="1" t="n">
        <v>45253.61146990741</v>
      </c>
      <c r="C1018" s="1" t="n">
        <v>46167</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9329-2023</t>
        </is>
      </c>
      <c r="B1019" s="1" t="n">
        <v>44980</v>
      </c>
      <c r="C1019" s="1" t="n">
        <v>46167</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59878-2024</t>
        </is>
      </c>
      <c r="B1020" s="1" t="n">
        <v>45640.60240740741</v>
      </c>
      <c r="C1020" s="1" t="n">
        <v>46167</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41335-2023</t>
        </is>
      </c>
      <c r="B1021" s="1" t="n">
        <v>45174.68702546296</v>
      </c>
      <c r="C1021" s="1" t="n">
        <v>46167</v>
      </c>
      <c r="D1021" t="inlineStr">
        <is>
          <t>STOCKHOLMS LÄN</t>
        </is>
      </c>
      <c r="E1021" t="inlineStr">
        <is>
          <t>NORRTÄLJE</t>
        </is>
      </c>
      <c r="F1021" t="inlineStr">
        <is>
          <t>Holmen skog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33040-2021</t>
        </is>
      </c>
      <c r="B1022" s="1" t="n">
        <v>44376.50728009259</v>
      </c>
      <c r="C1022" s="1" t="n">
        <v>46167</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33053-2021</t>
        </is>
      </c>
      <c r="B1023" s="1" t="n">
        <v>44376</v>
      </c>
      <c r="C1023" s="1" t="n">
        <v>46167</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43150-2023</t>
        </is>
      </c>
      <c r="B1024" s="1" t="n">
        <v>45183</v>
      </c>
      <c r="C1024" s="1" t="n">
        <v>46167</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54259-2023</t>
        </is>
      </c>
      <c r="B1025" s="1" t="n">
        <v>45232</v>
      </c>
      <c r="C1025" s="1" t="n">
        <v>46167</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60822-2023</t>
        </is>
      </c>
      <c r="B1026" s="1" t="n">
        <v>45259</v>
      </c>
      <c r="C1026" s="1" t="n">
        <v>46167</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27381-2024</t>
        </is>
      </c>
      <c r="B1027" s="1" t="n">
        <v>45473.94501157408</v>
      </c>
      <c r="C1027" s="1" t="n">
        <v>46167</v>
      </c>
      <c r="D1027" t="inlineStr">
        <is>
          <t>STOCKHOLMS LÄN</t>
        </is>
      </c>
      <c r="E1027" t="inlineStr">
        <is>
          <t>NORRTÄLJE</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23265-2023</t>
        </is>
      </c>
      <c r="B1028" s="1" t="n">
        <v>45075.90703703704</v>
      </c>
      <c r="C1028" s="1" t="n">
        <v>46167</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26117-2024</t>
        </is>
      </c>
      <c r="B1029" s="1" t="n">
        <v>45468.45877314815</v>
      </c>
      <c r="C1029" s="1" t="n">
        <v>46167</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20336-2024</t>
        </is>
      </c>
      <c r="B1030" s="1" t="n">
        <v>45435.43123842592</v>
      </c>
      <c r="C1030" s="1" t="n">
        <v>46167</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1847-2023</t>
        </is>
      </c>
      <c r="B1031" s="1" t="n">
        <v>44938</v>
      </c>
      <c r="C1031" s="1" t="n">
        <v>46167</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59721-2024</t>
        </is>
      </c>
      <c r="B1032" s="1" t="n">
        <v>45639.47385416667</v>
      </c>
      <c r="C1032" s="1" t="n">
        <v>46167</v>
      </c>
      <c r="D1032" t="inlineStr">
        <is>
          <t>STOCKHOLMS LÄN</t>
        </is>
      </c>
      <c r="E1032" t="inlineStr">
        <is>
          <t>NORRTÄLJE</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46167</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46167</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46167</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50182-2024</t>
        </is>
      </c>
      <c r="B1036" s="1" t="n">
        <v>45600.47275462963</v>
      </c>
      <c r="C1036" s="1" t="n">
        <v>46167</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12629-2024</t>
        </is>
      </c>
      <c r="B1037" s="1" t="n">
        <v>45383</v>
      </c>
      <c r="C1037" s="1" t="n">
        <v>46167</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35708-2022</t>
        </is>
      </c>
      <c r="B1038" s="1" t="n">
        <v>44799.65013888889</v>
      </c>
      <c r="C1038" s="1" t="n">
        <v>46167</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45220-2024</t>
        </is>
      </c>
      <c r="B1039" s="1" t="n">
        <v>45575</v>
      </c>
      <c r="C1039" s="1" t="n">
        <v>46167</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21731-2023</t>
        </is>
      </c>
      <c r="B1040" s="1" t="n">
        <v>45063</v>
      </c>
      <c r="C1040" s="1" t="n">
        <v>46167</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23266-2023</t>
        </is>
      </c>
      <c r="B1041" s="1" t="n">
        <v>45075.90817129629</v>
      </c>
      <c r="C1041" s="1" t="n">
        <v>46167</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47521-2024</t>
        </is>
      </c>
      <c r="B1042" s="1" t="n">
        <v>45587.62565972222</v>
      </c>
      <c r="C1042" s="1" t="n">
        <v>46167</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58260-2023</t>
        </is>
      </c>
      <c r="B1043" s="1" t="n">
        <v>45245</v>
      </c>
      <c r="C1043" s="1" t="n">
        <v>46167</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58261-2023</t>
        </is>
      </c>
      <c r="B1044" s="1" t="n">
        <v>45245</v>
      </c>
      <c r="C1044" s="1" t="n">
        <v>46167</v>
      </c>
      <c r="D1044" t="inlineStr">
        <is>
          <t>STOCKHOLMS LÄN</t>
        </is>
      </c>
      <c r="E1044" t="inlineStr">
        <is>
          <t>NORRTÄLJE</t>
        </is>
      </c>
      <c r="G1044" t="n">
        <v>53.5</v>
      </c>
      <c r="H1044" t="n">
        <v>0</v>
      </c>
      <c r="I1044" t="n">
        <v>0</v>
      </c>
      <c r="J1044" t="n">
        <v>0</v>
      </c>
      <c r="K1044" t="n">
        <v>0</v>
      </c>
      <c r="L1044" t="n">
        <v>0</v>
      </c>
      <c r="M1044" t="n">
        <v>0</v>
      </c>
      <c r="N1044" t="n">
        <v>0</v>
      </c>
      <c r="O1044" t="n">
        <v>0</v>
      </c>
      <c r="P1044" t="n">
        <v>0</v>
      </c>
      <c r="Q1044" t="n">
        <v>0</v>
      </c>
      <c r="R1044" s="2" t="inlineStr"/>
    </row>
    <row r="1045" ht="15" customHeight="1">
      <c r="A1045" t="inlineStr">
        <is>
          <t>A 29266-2022</t>
        </is>
      </c>
      <c r="B1045" s="1" t="n">
        <v>44750.66068287037</v>
      </c>
      <c r="C1045" s="1" t="n">
        <v>46167</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29278-2022</t>
        </is>
      </c>
      <c r="B1046" s="1" t="n">
        <v>44750</v>
      </c>
      <c r="C1046" s="1" t="n">
        <v>46167</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37273-2024</t>
        </is>
      </c>
      <c r="B1047" s="1" t="n">
        <v>45540</v>
      </c>
      <c r="C1047" s="1" t="n">
        <v>46167</v>
      </c>
      <c r="D1047" t="inlineStr">
        <is>
          <t>STOCKHOLMS LÄN</t>
        </is>
      </c>
      <c r="E1047" t="inlineStr">
        <is>
          <t>NORRTÄLJE</t>
        </is>
      </c>
      <c r="F1047" t="inlineStr">
        <is>
          <t>Sveaskog</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46167</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23060-2023</t>
        </is>
      </c>
      <c r="B1049" s="1" t="n">
        <v>45075</v>
      </c>
      <c r="C1049" s="1" t="n">
        <v>46167</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32103-2022</t>
        </is>
      </c>
      <c r="B1050" s="1" t="n">
        <v>44778</v>
      </c>
      <c r="C1050" s="1" t="n">
        <v>46167</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46167</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46167</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52321-2024</t>
        </is>
      </c>
      <c r="B1053" s="1" t="n">
        <v>45608</v>
      </c>
      <c r="C1053" s="1" t="n">
        <v>46167</v>
      </c>
      <c r="D1053" t="inlineStr">
        <is>
          <t>STOCKHOLMS LÄN</t>
        </is>
      </c>
      <c r="E1053" t="inlineStr">
        <is>
          <t>NORRTÄLJE</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48151-2024</t>
        </is>
      </c>
      <c r="B1054" s="1" t="n">
        <v>45589.68289351852</v>
      </c>
      <c r="C1054" s="1" t="n">
        <v>46167</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20370-2025</t>
        </is>
      </c>
      <c r="B1055" s="1" t="n">
        <v>45775.41451388889</v>
      </c>
      <c r="C1055" s="1" t="n">
        <v>46167</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19580-2022</t>
        </is>
      </c>
      <c r="B1056" s="1" t="n">
        <v>44693</v>
      </c>
      <c r="C1056" s="1" t="n">
        <v>46167</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30731-2023</t>
        </is>
      </c>
      <c r="B1057" s="1" t="n">
        <v>45112</v>
      </c>
      <c r="C1057" s="1" t="n">
        <v>46167</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4580-2025</t>
        </is>
      </c>
      <c r="B1058" s="1" t="n">
        <v>45687.5038425926</v>
      </c>
      <c r="C1058" s="1" t="n">
        <v>46167</v>
      </c>
      <c r="D1058" t="inlineStr">
        <is>
          <t>STOCKHOLMS LÄN</t>
        </is>
      </c>
      <c r="E1058" t="inlineStr">
        <is>
          <t>NORRTÄLJE</t>
        </is>
      </c>
      <c r="F1058" t="inlineStr">
        <is>
          <t>Holmen skog AB</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31057-2022</t>
        </is>
      </c>
      <c r="B1059" s="1" t="n">
        <v>44769</v>
      </c>
      <c r="C1059" s="1" t="n">
        <v>46167</v>
      </c>
      <c r="D1059" t="inlineStr">
        <is>
          <t>STOCKHOLMS LÄN</t>
        </is>
      </c>
      <c r="E1059" t="inlineStr">
        <is>
          <t>NORRTÄLJE</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31140-2023</t>
        </is>
      </c>
      <c r="B1060" s="1" t="n">
        <v>45113</v>
      </c>
      <c r="C1060" s="1" t="n">
        <v>46167</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31149-2023</t>
        </is>
      </c>
      <c r="B1061" s="1" t="n">
        <v>45113</v>
      </c>
      <c r="C1061" s="1" t="n">
        <v>46167</v>
      </c>
      <c r="D1061" t="inlineStr">
        <is>
          <t>STOCKHOLMS LÄN</t>
        </is>
      </c>
      <c r="E1061" t="inlineStr">
        <is>
          <t>NORRTÄLJE</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4658-2024</t>
        </is>
      </c>
      <c r="B1062" s="1" t="n">
        <v>45328.46336805556</v>
      </c>
      <c r="C1062" s="1" t="n">
        <v>46167</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19131-2025</t>
        </is>
      </c>
      <c r="B1063" s="1" t="n">
        <v>45769</v>
      </c>
      <c r="C1063" s="1" t="n">
        <v>46167</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7571-2024</t>
        </is>
      </c>
      <c r="B1064" s="1" t="n">
        <v>45348.46300925926</v>
      </c>
      <c r="C1064" s="1" t="n">
        <v>46167</v>
      </c>
      <c r="D1064" t="inlineStr">
        <is>
          <t>STOCKHOLMS LÄN</t>
        </is>
      </c>
      <c r="E1064" t="inlineStr">
        <is>
          <t>NORRTÄLJE</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11849-2025</t>
        </is>
      </c>
      <c r="B1065" s="1" t="n">
        <v>45728.38409722222</v>
      </c>
      <c r="C1065" s="1" t="n">
        <v>46167</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40425-2021</t>
        </is>
      </c>
      <c r="B1066" s="1" t="n">
        <v>44419</v>
      </c>
      <c r="C1066" s="1" t="n">
        <v>46167</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58990-2021</t>
        </is>
      </c>
      <c r="B1067" s="1" t="n">
        <v>44490.03621527777</v>
      </c>
      <c r="C1067" s="1" t="n">
        <v>46167</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20790-2025</t>
        </is>
      </c>
      <c r="B1068" s="1" t="n">
        <v>45776.62563657408</v>
      </c>
      <c r="C1068" s="1" t="n">
        <v>46167</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20699-2025</t>
        </is>
      </c>
      <c r="B1069" s="1" t="n">
        <v>45776.47346064815</v>
      </c>
      <c r="C1069" s="1" t="n">
        <v>46167</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3152-2024</t>
        </is>
      </c>
      <c r="B1070" s="1" t="n">
        <v>45316.60306712963</v>
      </c>
      <c r="C1070" s="1" t="n">
        <v>46167</v>
      </c>
      <c r="D1070" t="inlineStr">
        <is>
          <t>STOCKHOLMS LÄN</t>
        </is>
      </c>
      <c r="E1070" t="inlineStr">
        <is>
          <t>NORRTÄLJE</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59326-2023</t>
        </is>
      </c>
      <c r="B1071" s="1" t="n">
        <v>45253.63089120371</v>
      </c>
      <c r="C1071" s="1" t="n">
        <v>46167</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44836-2023</t>
        </is>
      </c>
      <c r="B1072" s="1" t="n">
        <v>45190.55609953704</v>
      </c>
      <c r="C1072" s="1" t="n">
        <v>46167</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20779-2025</t>
        </is>
      </c>
      <c r="B1073" s="1" t="n">
        <v>45776.59871527777</v>
      </c>
      <c r="C1073" s="1" t="n">
        <v>46167</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21771-2025</t>
        </is>
      </c>
      <c r="B1074" s="1" t="n">
        <v>45783</v>
      </c>
      <c r="C1074" s="1" t="n">
        <v>46167</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21778-2025</t>
        </is>
      </c>
      <c r="B1075" s="1" t="n">
        <v>45783.66429398148</v>
      </c>
      <c r="C1075" s="1" t="n">
        <v>46167</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22202-2025</t>
        </is>
      </c>
      <c r="B1076" s="1" t="n">
        <v>45785.65300925926</v>
      </c>
      <c r="C1076" s="1" t="n">
        <v>46167</v>
      </c>
      <c r="D1076" t="inlineStr">
        <is>
          <t>STOCKHOLMS LÄN</t>
        </is>
      </c>
      <c r="E1076" t="inlineStr">
        <is>
          <t>NORRTÄLJE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16620-2024</t>
        </is>
      </c>
      <c r="B1077" s="1" t="n">
        <v>45408.57707175926</v>
      </c>
      <c r="C1077" s="1" t="n">
        <v>46167</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22416-2025</t>
        </is>
      </c>
      <c r="B1078" s="1" t="n">
        <v>45786.55645833333</v>
      </c>
      <c r="C1078" s="1" t="n">
        <v>46167</v>
      </c>
      <c r="D1078" t="inlineStr">
        <is>
          <t>STOCKHOLMS LÄN</t>
        </is>
      </c>
      <c r="E1078" t="inlineStr">
        <is>
          <t>NORRTÄLJE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58785-2024</t>
        </is>
      </c>
      <c r="B1079" s="1" t="n">
        <v>45635.88849537037</v>
      </c>
      <c r="C1079" s="1" t="n">
        <v>46167</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2182-2022</t>
        </is>
      </c>
      <c r="B1080" s="1" t="n">
        <v>44578</v>
      </c>
      <c r="C1080" s="1" t="n">
        <v>46167</v>
      </c>
      <c r="D1080" t="inlineStr">
        <is>
          <t>STOCKHOLMS LÄN</t>
        </is>
      </c>
      <c r="E1080" t="inlineStr">
        <is>
          <t>NORRTÄLJE</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13268-2025</t>
        </is>
      </c>
      <c r="B1081" s="1" t="n">
        <v>45735</v>
      </c>
      <c r="C1081" s="1" t="n">
        <v>46167</v>
      </c>
      <c r="D1081" t="inlineStr">
        <is>
          <t>STOCKHOLMS LÄN</t>
        </is>
      </c>
      <c r="E1081" t="inlineStr">
        <is>
          <t>NORRTÄLJE</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8414-2025</t>
        </is>
      </c>
      <c r="B1082" s="1" t="n">
        <v>45709.39361111111</v>
      </c>
      <c r="C1082" s="1" t="n">
        <v>46167</v>
      </c>
      <c r="D1082" t="inlineStr">
        <is>
          <t>STOCKHOLMS LÄN</t>
        </is>
      </c>
      <c r="E1082" t="inlineStr">
        <is>
          <t>NORRTÄLJE</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36625-2024</t>
        </is>
      </c>
      <c r="B1083" s="1" t="n">
        <v>45537</v>
      </c>
      <c r="C1083" s="1" t="n">
        <v>46167</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44891-2023</t>
        </is>
      </c>
      <c r="B1084" s="1" t="n">
        <v>45187</v>
      </c>
      <c r="C1084" s="1" t="n">
        <v>46167</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12902-2024</t>
        </is>
      </c>
      <c r="B1085" s="1" t="n">
        <v>45385.38146990741</v>
      </c>
      <c r="C1085" s="1" t="n">
        <v>46167</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44032-2024</t>
        </is>
      </c>
      <c r="B1086" s="1" t="n">
        <v>45572.57828703704</v>
      </c>
      <c r="C1086" s="1" t="n">
        <v>46167</v>
      </c>
      <c r="D1086" t="inlineStr">
        <is>
          <t>STOCKHOLMS LÄN</t>
        </is>
      </c>
      <c r="E1086" t="inlineStr">
        <is>
          <t>NORRTÄLJE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24563-2024</t>
        </is>
      </c>
      <c r="B1087" s="1" t="n">
        <v>45460.44347222222</v>
      </c>
      <c r="C1087" s="1" t="n">
        <v>46167</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39237-2024</t>
        </is>
      </c>
      <c r="B1088" s="1" t="n">
        <v>45549</v>
      </c>
      <c r="C1088" s="1" t="n">
        <v>46167</v>
      </c>
      <c r="D1088" t="inlineStr">
        <is>
          <t>STOCKHOLMS LÄN</t>
        </is>
      </c>
      <c r="E1088" t="inlineStr">
        <is>
          <t>NORRTÄLJE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45746-2024</t>
        </is>
      </c>
      <c r="B1089" s="1" t="n">
        <v>45579</v>
      </c>
      <c r="C1089" s="1" t="n">
        <v>46167</v>
      </c>
      <c r="D1089" t="inlineStr">
        <is>
          <t>STOCKHOLMS LÄN</t>
        </is>
      </c>
      <c r="E1089" t="inlineStr">
        <is>
          <t>NORRTÄLJE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8400-2024</t>
        </is>
      </c>
      <c r="B1090" s="1" t="n">
        <v>45352.74090277778</v>
      </c>
      <c r="C1090" s="1" t="n">
        <v>46167</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62998-2023</t>
        </is>
      </c>
      <c r="B1091" s="1" t="n">
        <v>45272.64479166667</v>
      </c>
      <c r="C1091" s="1" t="n">
        <v>46167</v>
      </c>
      <c r="D1091" t="inlineStr">
        <is>
          <t>STOCKHOLMS LÄN</t>
        </is>
      </c>
      <c r="E1091" t="inlineStr">
        <is>
          <t>NORRTÄLJE</t>
        </is>
      </c>
      <c r="G1091" t="n">
        <v>16.3</v>
      </c>
      <c r="H1091" t="n">
        <v>0</v>
      </c>
      <c r="I1091" t="n">
        <v>0</v>
      </c>
      <c r="J1091" t="n">
        <v>0</v>
      </c>
      <c r="K1091" t="n">
        <v>0</v>
      </c>
      <c r="L1091" t="n">
        <v>0</v>
      </c>
      <c r="M1091" t="n">
        <v>0</v>
      </c>
      <c r="N1091" t="n">
        <v>0</v>
      </c>
      <c r="O1091" t="n">
        <v>0</v>
      </c>
      <c r="P1091" t="n">
        <v>0</v>
      </c>
      <c r="Q1091" t="n">
        <v>0</v>
      </c>
      <c r="R1091" s="2" t="inlineStr"/>
    </row>
    <row r="1092" ht="15" customHeight="1">
      <c r="A1092" t="inlineStr">
        <is>
          <t>A 63015-2023</t>
        </is>
      </c>
      <c r="B1092" s="1" t="n">
        <v>45272</v>
      </c>
      <c r="C1092" s="1" t="n">
        <v>46167</v>
      </c>
      <c r="D1092" t="inlineStr">
        <is>
          <t>STOCKHOLMS LÄN</t>
        </is>
      </c>
      <c r="E1092" t="inlineStr">
        <is>
          <t>NORRTÄLJE</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46167</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33175-2024</t>
        </is>
      </c>
      <c r="B1094" s="1" t="n">
        <v>45518</v>
      </c>
      <c r="C1094" s="1" t="n">
        <v>46167</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46167</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46167</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46167</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8950-2025</t>
        </is>
      </c>
      <c r="B1098" s="1" t="n">
        <v>45713</v>
      </c>
      <c r="C1098" s="1" t="n">
        <v>46167</v>
      </c>
      <c r="D1098" t="inlineStr">
        <is>
          <t>STOCKHOLMS LÄN</t>
        </is>
      </c>
      <c r="E1098" t="inlineStr">
        <is>
          <t>NORRTÄLJE</t>
        </is>
      </c>
      <c r="F1098" t="inlineStr">
        <is>
          <t>Övriga Aktiebolag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12301-2025</t>
        </is>
      </c>
      <c r="B1099" s="1" t="n">
        <v>45729.7271875</v>
      </c>
      <c r="C1099" s="1" t="n">
        <v>46167</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24351-2025</t>
        </is>
      </c>
      <c r="B1100" s="1" t="n">
        <v>45797.58399305555</v>
      </c>
      <c r="C1100" s="1" t="n">
        <v>46167</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13283-2025</t>
        </is>
      </c>
      <c r="B1101" s="1" t="n">
        <v>45735</v>
      </c>
      <c r="C1101" s="1" t="n">
        <v>46167</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24687-2025</t>
        </is>
      </c>
      <c r="B1102" s="1" t="n">
        <v>45798.66767361111</v>
      </c>
      <c r="C1102" s="1" t="n">
        <v>46167</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24638-2025</t>
        </is>
      </c>
      <c r="B1103" s="1" t="n">
        <v>45798</v>
      </c>
      <c r="C1103" s="1" t="n">
        <v>46167</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28603-2024</t>
        </is>
      </c>
      <c r="B1104" s="1" t="n">
        <v>45478.42887731481</v>
      </c>
      <c r="C1104" s="1" t="n">
        <v>46167</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24690-2025</t>
        </is>
      </c>
      <c r="B1105" s="1" t="n">
        <v>45798.67082175926</v>
      </c>
      <c r="C1105" s="1" t="n">
        <v>46167</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47259-2024</t>
        </is>
      </c>
      <c r="B1106" s="1" t="n">
        <v>45586</v>
      </c>
      <c r="C1106" s="1" t="n">
        <v>46167</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25702-2025</t>
        </is>
      </c>
      <c r="B1107" s="1" t="n">
        <v>45800</v>
      </c>
      <c r="C1107" s="1" t="n">
        <v>46167</v>
      </c>
      <c r="D1107" t="inlineStr">
        <is>
          <t>STOCKHOLMS LÄN</t>
        </is>
      </c>
      <c r="E1107" t="inlineStr">
        <is>
          <t>NORRTÄLJE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25712-2025</t>
        </is>
      </c>
      <c r="B1108" s="1" t="n">
        <v>45803.69228009259</v>
      </c>
      <c r="C1108" s="1" t="n">
        <v>46167</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25733-2025</t>
        </is>
      </c>
      <c r="B1109" s="1" t="n">
        <v>45800</v>
      </c>
      <c r="C1109" s="1" t="n">
        <v>46167</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39238-2024</t>
        </is>
      </c>
      <c r="B1110" s="1" t="n">
        <v>45549</v>
      </c>
      <c r="C1110" s="1" t="n">
        <v>46167</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25571-2025</t>
        </is>
      </c>
      <c r="B1111" s="1" t="n">
        <v>45803.4675</v>
      </c>
      <c r="C1111" s="1" t="n">
        <v>46167</v>
      </c>
      <c r="D1111" t="inlineStr">
        <is>
          <t>STOCKHOLMS LÄN</t>
        </is>
      </c>
      <c r="E1111" t="inlineStr">
        <is>
          <t>NORRTÄLJE</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25721-2025</t>
        </is>
      </c>
      <c r="B1112" s="1" t="n">
        <v>45800</v>
      </c>
      <c r="C1112" s="1" t="n">
        <v>46167</v>
      </c>
      <c r="D1112" t="inlineStr">
        <is>
          <t>STOCKHOLMS LÄN</t>
        </is>
      </c>
      <c r="E1112" t="inlineStr">
        <is>
          <t>NORRTÄLJE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25697-2025</t>
        </is>
      </c>
      <c r="B1113" s="1" t="n">
        <v>45803.66587962963</v>
      </c>
      <c r="C1113" s="1" t="n">
        <v>46167</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41218-2024</t>
        </is>
      </c>
      <c r="B1114" s="1" t="n">
        <v>45559.54706018518</v>
      </c>
      <c r="C1114" s="1" t="n">
        <v>46167</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38449-2022</t>
        </is>
      </c>
      <c r="B1115" s="1" t="n">
        <v>44813</v>
      </c>
      <c r="C1115" s="1" t="n">
        <v>46167</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53561-2023</t>
        </is>
      </c>
      <c r="B1116" s="1" t="n">
        <v>45224</v>
      </c>
      <c r="C1116" s="1" t="n">
        <v>46167</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26051-2025</t>
        </is>
      </c>
      <c r="B1117" s="1" t="n">
        <v>45804.74479166666</v>
      </c>
      <c r="C1117" s="1" t="n">
        <v>46167</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26708-2025</t>
        </is>
      </c>
      <c r="B1118" s="1" t="n">
        <v>45810.45633101852</v>
      </c>
      <c r="C1118" s="1" t="n">
        <v>46167</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26702-2025</t>
        </is>
      </c>
      <c r="B1119" s="1" t="n">
        <v>45810.45236111111</v>
      </c>
      <c r="C1119" s="1" t="n">
        <v>46167</v>
      </c>
      <c r="D1119" t="inlineStr">
        <is>
          <t>STOCKHOLMS LÄN</t>
        </is>
      </c>
      <c r="E1119" t="inlineStr">
        <is>
          <t>NORRTÄLJE</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23061-2025</t>
        </is>
      </c>
      <c r="B1120" s="1" t="n">
        <v>45790.81410879629</v>
      </c>
      <c r="C1120" s="1" t="n">
        <v>46167</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27040-2025</t>
        </is>
      </c>
      <c r="B1121" s="1" t="n">
        <v>45811.60451388889</v>
      </c>
      <c r="C1121" s="1" t="n">
        <v>46167</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26747-2025</t>
        </is>
      </c>
      <c r="B1122" s="1" t="n">
        <v>45810.5333912037</v>
      </c>
      <c r="C1122" s="1" t="n">
        <v>46167</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26675-2025</t>
        </is>
      </c>
      <c r="B1123" s="1" t="n">
        <v>45810.42393518519</v>
      </c>
      <c r="C1123" s="1" t="n">
        <v>46167</v>
      </c>
      <c r="D1123" t="inlineStr">
        <is>
          <t>STOCKHOLMS LÄN</t>
        </is>
      </c>
      <c r="E1123" t="inlineStr">
        <is>
          <t>NORRTÄLJE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27554-2025</t>
        </is>
      </c>
      <c r="B1124" s="1" t="n">
        <v>45813.4709375</v>
      </c>
      <c r="C1124" s="1" t="n">
        <v>46167</v>
      </c>
      <c r="D1124" t="inlineStr">
        <is>
          <t>STOCKHOLMS LÄN</t>
        </is>
      </c>
      <c r="E1124" t="inlineStr">
        <is>
          <t>NORRTÄLJE</t>
        </is>
      </c>
      <c r="F1124" t="inlineStr">
        <is>
          <t>Övriga Aktiebolag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27700-2025</t>
        </is>
      </c>
      <c r="B1125" s="1" t="n">
        <v>45813.6799537037</v>
      </c>
      <c r="C1125" s="1" t="n">
        <v>46167</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27697-2025</t>
        </is>
      </c>
      <c r="B1126" s="1" t="n">
        <v>45813.66961805556</v>
      </c>
      <c r="C1126" s="1" t="n">
        <v>46167</v>
      </c>
      <c r="D1126" t="inlineStr">
        <is>
          <t>STOCKHOLMS LÄN</t>
        </is>
      </c>
      <c r="E1126" t="inlineStr">
        <is>
          <t>NORRTÄLJE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27802-2025</t>
        </is>
      </c>
      <c r="B1127" s="1" t="n">
        <v>45817.2565625</v>
      </c>
      <c r="C1127" s="1" t="n">
        <v>46167</v>
      </c>
      <c r="D1127" t="inlineStr">
        <is>
          <t>STOCKHOLMS LÄN</t>
        </is>
      </c>
      <c r="E1127" t="inlineStr">
        <is>
          <t>NORRTÄLJE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27806-2025</t>
        </is>
      </c>
      <c r="B1128" s="1" t="n">
        <v>45817.30329861111</v>
      </c>
      <c r="C1128" s="1" t="n">
        <v>46167</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27808-2025</t>
        </is>
      </c>
      <c r="B1129" s="1" t="n">
        <v>45817.31085648148</v>
      </c>
      <c r="C1129" s="1" t="n">
        <v>46167</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27810-2025</t>
        </is>
      </c>
      <c r="B1130" s="1" t="n">
        <v>45817.31708333334</v>
      </c>
      <c r="C1130" s="1" t="n">
        <v>46167</v>
      </c>
      <c r="D1130" t="inlineStr">
        <is>
          <t>STOCKHOLMS LÄN</t>
        </is>
      </c>
      <c r="E1130" t="inlineStr">
        <is>
          <t>NORRTÄLJE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27811-2025</t>
        </is>
      </c>
      <c r="B1131" s="1" t="n">
        <v>45817.31986111111</v>
      </c>
      <c r="C1131" s="1" t="n">
        <v>46167</v>
      </c>
      <c r="D1131" t="inlineStr">
        <is>
          <t>STOCKHOLMS LÄN</t>
        </is>
      </c>
      <c r="E1131" t="inlineStr">
        <is>
          <t>NORRTÄLJE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27818-2025</t>
        </is>
      </c>
      <c r="B1132" s="1" t="n">
        <v>45817.33503472222</v>
      </c>
      <c r="C1132" s="1" t="n">
        <v>46167</v>
      </c>
      <c r="D1132" t="inlineStr">
        <is>
          <t>STOCKHOLMS LÄN</t>
        </is>
      </c>
      <c r="E1132" t="inlineStr">
        <is>
          <t>NORRTÄLJE</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27801-2025</t>
        </is>
      </c>
      <c r="B1133" s="1" t="n">
        <v>45817.25471064815</v>
      </c>
      <c r="C1133" s="1" t="n">
        <v>46167</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46167</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46167</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27821-2025</t>
        </is>
      </c>
      <c r="B1136" s="1" t="n">
        <v>45817.34083333334</v>
      </c>
      <c r="C1136" s="1" t="n">
        <v>46167</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15528-2025</t>
        </is>
      </c>
      <c r="B1137" s="1" t="n">
        <v>45747.63471064815</v>
      </c>
      <c r="C1137" s="1" t="n">
        <v>46167</v>
      </c>
      <c r="D1137" t="inlineStr">
        <is>
          <t>STOCKHOLMS LÄN</t>
        </is>
      </c>
      <c r="E1137" t="inlineStr">
        <is>
          <t>NORRTÄLJE</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11901-2024</t>
        </is>
      </c>
      <c r="B1138" s="1" t="n">
        <v>45376.55638888889</v>
      </c>
      <c r="C1138" s="1" t="n">
        <v>46167</v>
      </c>
      <c r="D1138" t="inlineStr">
        <is>
          <t>STOCKHOLMS LÄN</t>
        </is>
      </c>
      <c r="E1138" t="inlineStr">
        <is>
          <t>NORRTÄLJE</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44075-2023</t>
        </is>
      </c>
      <c r="B1139" s="1" t="n">
        <v>45188.41637731482</v>
      </c>
      <c r="C1139" s="1" t="n">
        <v>46167</v>
      </c>
      <c r="D1139" t="inlineStr">
        <is>
          <t>STOCKHOLMS LÄN</t>
        </is>
      </c>
      <c r="E1139" t="inlineStr">
        <is>
          <t>NORRTÄLJE</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46167</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30639-2025</t>
        </is>
      </c>
      <c r="B1141" s="1" t="n">
        <v>45831.4844212963</v>
      </c>
      <c r="C1141" s="1" t="n">
        <v>46167</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30668-2025</t>
        </is>
      </c>
      <c r="B1142" s="1" t="n">
        <v>45831.51659722222</v>
      </c>
      <c r="C1142" s="1" t="n">
        <v>46167</v>
      </c>
      <c r="D1142" t="inlineStr">
        <is>
          <t>STOCKHOLMS LÄN</t>
        </is>
      </c>
      <c r="E1142" t="inlineStr">
        <is>
          <t>NORRTÄLJE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31170-2025</t>
        </is>
      </c>
      <c r="B1143" s="1" t="n">
        <v>45832.66385416667</v>
      </c>
      <c r="C1143" s="1" t="n">
        <v>46167</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31880-2025</t>
        </is>
      </c>
      <c r="B1144" s="1" t="n">
        <v>45834.65538194445</v>
      </c>
      <c r="C1144" s="1" t="n">
        <v>46167</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32122-2025</t>
        </is>
      </c>
      <c r="B1145" s="1" t="n">
        <v>45835.4928125</v>
      </c>
      <c r="C1145" s="1" t="n">
        <v>46167</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31868-2025</t>
        </is>
      </c>
      <c r="B1146" s="1" t="n">
        <v>45834.6447337963</v>
      </c>
      <c r="C1146" s="1" t="n">
        <v>46167</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6413-2025</t>
        </is>
      </c>
      <c r="B1147" s="1" t="n">
        <v>45699.46283564815</v>
      </c>
      <c r="C1147" s="1" t="n">
        <v>46167</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32016-2025</t>
        </is>
      </c>
      <c r="B1148" s="1" t="n">
        <v>45835</v>
      </c>
      <c r="C1148" s="1" t="n">
        <v>46167</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46167</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31874-2025</t>
        </is>
      </c>
      <c r="B1150" s="1" t="n">
        <v>45834</v>
      </c>
      <c r="C1150" s="1" t="n">
        <v>46167</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32094-2025</t>
        </is>
      </c>
      <c r="B1151" s="1" t="n">
        <v>45835.46034722222</v>
      </c>
      <c r="C1151" s="1" t="n">
        <v>46167</v>
      </c>
      <c r="D1151" t="inlineStr">
        <is>
          <t>STOCKHOLMS LÄN</t>
        </is>
      </c>
      <c r="E1151" t="inlineStr">
        <is>
          <t>NORRTÄLJE</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46167</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46167</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32903-2025</t>
        </is>
      </c>
      <c r="B1154" s="1" t="n">
        <v>45839.62398148148</v>
      </c>
      <c r="C1154" s="1" t="n">
        <v>46167</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32395-2025</t>
        </is>
      </c>
      <c r="B1155" s="1" t="n">
        <v>45837.93730324074</v>
      </c>
      <c r="C1155" s="1" t="n">
        <v>46167</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32396-2025</t>
        </is>
      </c>
      <c r="B1156" s="1" t="n">
        <v>45837</v>
      </c>
      <c r="C1156" s="1" t="n">
        <v>46167</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32397-2025</t>
        </is>
      </c>
      <c r="B1157" s="1" t="n">
        <v>45837.94081018519</v>
      </c>
      <c r="C1157" s="1" t="n">
        <v>46167</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33702-2025</t>
        </is>
      </c>
      <c r="B1158" s="1" t="n">
        <v>45841.74596064815</v>
      </c>
      <c r="C1158" s="1" t="n">
        <v>46167</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33211-2025</t>
        </is>
      </c>
      <c r="B1159" s="1" t="n">
        <v>45840.62755787037</v>
      </c>
      <c r="C1159" s="1" t="n">
        <v>46167</v>
      </c>
      <c r="D1159" t="inlineStr">
        <is>
          <t>STOCKHOLMS LÄN</t>
        </is>
      </c>
      <c r="E1159" t="inlineStr">
        <is>
          <t>NORRTÄLJE</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33265-2025</t>
        </is>
      </c>
      <c r="B1160" s="1" t="n">
        <v>45840.67829861111</v>
      </c>
      <c r="C1160" s="1" t="n">
        <v>46167</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33552-2025</t>
        </is>
      </c>
      <c r="B1161" s="1" t="n">
        <v>45841.5737962963</v>
      </c>
      <c r="C1161" s="1" t="n">
        <v>46167</v>
      </c>
      <c r="D1161" t="inlineStr">
        <is>
          <t>STOCKHOLMS LÄN</t>
        </is>
      </c>
      <c r="E1161" t="inlineStr">
        <is>
          <t>NORRTÄLJE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33336-2025</t>
        </is>
      </c>
      <c r="B1162" s="1" t="n">
        <v>45841.35611111111</v>
      </c>
      <c r="C1162" s="1" t="n">
        <v>46167</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33824-2025</t>
        </is>
      </c>
      <c r="B1163" s="1" t="n">
        <v>45842.46885416667</v>
      </c>
      <c r="C1163" s="1" t="n">
        <v>46167</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34006-2025</t>
        </is>
      </c>
      <c r="B1164" s="1" t="n">
        <v>45844.62609953704</v>
      </c>
      <c r="C1164" s="1" t="n">
        <v>46167</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34139-2025</t>
        </is>
      </c>
      <c r="B1165" s="1" t="n">
        <v>45845</v>
      </c>
      <c r="C1165" s="1" t="n">
        <v>46167</v>
      </c>
      <c r="D1165" t="inlineStr">
        <is>
          <t>STOCKHOLMS LÄN</t>
        </is>
      </c>
      <c r="E1165" t="inlineStr">
        <is>
          <t>NORRTÄLJE</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34010-2025</t>
        </is>
      </c>
      <c r="B1166" s="1" t="n">
        <v>45844.91234953704</v>
      </c>
      <c r="C1166" s="1" t="n">
        <v>46167</v>
      </c>
      <c r="D1166" t="inlineStr">
        <is>
          <t>STOCKHOLMS LÄN</t>
        </is>
      </c>
      <c r="E1166" t="inlineStr">
        <is>
          <t>NORRTÄLJE</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36689-2023</t>
        </is>
      </c>
      <c r="B1167" s="1" t="n">
        <v>45152</v>
      </c>
      <c r="C1167" s="1" t="n">
        <v>46167</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c r="A1168" t="inlineStr">
        <is>
          <t>A 46073-2024</t>
        </is>
      </c>
      <c r="B1168" s="1" t="n">
        <v>45581</v>
      </c>
      <c r="C1168" s="1" t="n">
        <v>46167</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2026-05-25T10:54:23Z</dcterms:created>
  <dcterms:modified xmlns:dcterms="http://purl.org/dc/terms/" xmlns:xsi="http://www.w3.org/2001/XMLSchema-instance" xsi:type="dcterms:W3CDTF">2026-05-25T10:54:24Z</dcterms:modified>
</cp:coreProperties>
</file>